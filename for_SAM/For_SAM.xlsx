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for_SAM/"/>
    </mc:Choice>
  </mc:AlternateContent>
  <xr:revisionPtr revIDLastSave="413" documentId="11_AD4D9D64A577C15A4A5418A680D85C6E5BDEDD8E" xr6:coauthVersionLast="47" xr6:coauthVersionMax="47" xr10:uidLastSave="{8C2E3B1A-2C41-43D9-ACE8-1D78B83C502B}"/>
  <bookViews>
    <workbookView xWindow="-80" yWindow="-80" windowWidth="19360" windowHeight="10240" activeTab="3" xr2:uid="{00000000-000D-0000-FFFF-FFFF00000000}"/>
  </bookViews>
  <sheets>
    <sheet name="README" sheetId="8" r:id="rId1"/>
    <sheet name="Graphs_results" sheetId="7" r:id="rId2"/>
    <sheet name="Results" sheetId="5" r:id="rId3"/>
    <sheet name="Demand" sheetId="1" r:id="rId4"/>
    <sheet name="Env_LCA" sheetId="2" r:id="rId5"/>
    <sheet name="Social_eco_LCA" sheetId="4" r:id="rId6"/>
    <sheet name="Prices" sheetId="3" r:id="rId7"/>
    <sheet name="E-LCI" sheetId="6" r:id="rId8"/>
  </sheets>
  <externalReferences>
    <externalReference r:id="rId9"/>
  </externalReferences>
  <definedNames>
    <definedName name="_xlnm._FilterDatabase" localSheetId="3" hidden="1">Demand!$A$1:$L$1441</definedName>
    <definedName name="_xlnm._FilterDatabase" localSheetId="4" hidden="1">Env_LCA!$A$1:$F$1</definedName>
    <definedName name="_xlnm._FilterDatabase" localSheetId="6" hidden="1">Prices!$A$1:$D$4</definedName>
    <definedName name="_xlnm._FilterDatabase" localSheetId="5" hidden="1">Social_eco_LCA!$A$1:$L$1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L10" i="4"/>
  <c r="L9" i="4"/>
  <c r="K10" i="4"/>
  <c r="K9" i="4"/>
  <c r="L8" i="4"/>
  <c r="K8" i="4"/>
  <c r="L7" i="4"/>
  <c r="K7" i="4"/>
  <c r="L4" i="4"/>
  <c r="L3" i="4"/>
  <c r="L2" i="4"/>
  <c r="K4" i="4"/>
  <c r="K3" i="4"/>
  <c r="K2" i="4"/>
  <c r="I10" i="4"/>
  <c r="J10" i="4"/>
  <c r="I9" i="4"/>
  <c r="J9" i="4"/>
  <c r="I8" i="4"/>
  <c r="J8" i="4"/>
  <c r="H10" i="4"/>
  <c r="H9" i="4"/>
  <c r="H8" i="4"/>
  <c r="I7" i="4"/>
  <c r="J7" i="4"/>
  <c r="H7" i="4"/>
  <c r="I6" i="4"/>
  <c r="K6" i="4" s="1"/>
  <c r="J6" i="4"/>
  <c r="L6" i="4" s="1"/>
  <c r="H6" i="4"/>
  <c r="I5" i="4"/>
  <c r="K5" i="4" s="1"/>
  <c r="J5" i="4"/>
  <c r="L5" i="4" s="1"/>
  <c r="H5" i="4"/>
  <c r="I4" i="4"/>
  <c r="J4" i="4"/>
  <c r="H4" i="4"/>
  <c r="I2" i="4"/>
  <c r="J2" i="4"/>
  <c r="I3" i="4"/>
  <c r="J3" i="4"/>
  <c r="H3" i="4"/>
  <c r="H2" i="4"/>
  <c r="F19" i="2"/>
  <c r="F20" i="2"/>
  <c r="F21" i="2"/>
  <c r="F22" i="2"/>
  <c r="F23" i="2"/>
  <c r="F24" i="2"/>
  <c r="E24" i="2"/>
  <c r="E23" i="2"/>
  <c r="E22" i="2"/>
  <c r="E21" i="2"/>
  <c r="E20" i="2"/>
  <c r="E19" i="2"/>
  <c r="F18" i="2"/>
  <c r="E18" i="2"/>
  <c r="F17" i="2"/>
  <c r="E17" i="2"/>
  <c r="F16" i="2"/>
  <c r="E16" i="2"/>
  <c r="F3" i="3"/>
  <c r="F4" i="3"/>
  <c r="E2" i="3"/>
  <c r="F2" i="3"/>
  <c r="E3" i="3"/>
  <c r="E4" i="3"/>
  <c r="F11" i="2" l="1"/>
  <c r="E11" i="2"/>
  <c r="F10" i="2"/>
  <c r="E10" i="2"/>
  <c r="L1441" i="1" l="1"/>
  <c r="K1441" i="1"/>
  <c r="I1441" i="1"/>
  <c r="H1441" i="1"/>
  <c r="G1441" i="1"/>
  <c r="J1441" i="1" s="1"/>
  <c r="F1441" i="1"/>
  <c r="E1441" i="1"/>
  <c r="D1441" i="1"/>
  <c r="C1441" i="1"/>
  <c r="B1441" i="1"/>
  <c r="A1441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L1439" i="1"/>
  <c r="K1439" i="1"/>
  <c r="I1439" i="1"/>
  <c r="H1439" i="1"/>
  <c r="G1439" i="1"/>
  <c r="F1439" i="1"/>
  <c r="E1439" i="1"/>
  <c r="D1439" i="1"/>
  <c r="C1439" i="1"/>
  <c r="B1439" i="1"/>
  <c r="A1439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L1437" i="1"/>
  <c r="K1437" i="1"/>
  <c r="I1437" i="1"/>
  <c r="H1437" i="1"/>
  <c r="G1437" i="1"/>
  <c r="J1437" i="1" s="1"/>
  <c r="F1437" i="1"/>
  <c r="E1437" i="1"/>
  <c r="D1437" i="1"/>
  <c r="C1437" i="1"/>
  <c r="B1437" i="1"/>
  <c r="A1437" i="1"/>
  <c r="L1436" i="1"/>
  <c r="K1436" i="1"/>
  <c r="I1436" i="1"/>
  <c r="H1436" i="1"/>
  <c r="G1436" i="1"/>
  <c r="F1436" i="1"/>
  <c r="E1436" i="1"/>
  <c r="D1436" i="1"/>
  <c r="C1436" i="1"/>
  <c r="B1436" i="1"/>
  <c r="A1436" i="1"/>
  <c r="L1435" i="1"/>
  <c r="K1435" i="1"/>
  <c r="I1435" i="1"/>
  <c r="H1435" i="1"/>
  <c r="G1435" i="1"/>
  <c r="J1435" i="1" s="1"/>
  <c r="F1435" i="1"/>
  <c r="E1435" i="1"/>
  <c r="D1435" i="1"/>
  <c r="C1435" i="1"/>
  <c r="B1435" i="1"/>
  <c r="A1435" i="1"/>
  <c r="L1434" i="1"/>
  <c r="K1434" i="1"/>
  <c r="I1434" i="1"/>
  <c r="H1434" i="1"/>
  <c r="G1434" i="1"/>
  <c r="J1434" i="1" s="1"/>
  <c r="F1434" i="1"/>
  <c r="E1434" i="1"/>
  <c r="D1434" i="1"/>
  <c r="C1434" i="1"/>
  <c r="B1434" i="1"/>
  <c r="A1434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L1432" i="1"/>
  <c r="K1432" i="1"/>
  <c r="I1432" i="1"/>
  <c r="H1432" i="1"/>
  <c r="G1432" i="1"/>
  <c r="J1432" i="1" s="1"/>
  <c r="F1432" i="1"/>
  <c r="E1432" i="1"/>
  <c r="D1432" i="1"/>
  <c r="C1432" i="1"/>
  <c r="B1432" i="1"/>
  <c r="A1432" i="1"/>
  <c r="L1431" i="1"/>
  <c r="K1431" i="1"/>
  <c r="I1431" i="1"/>
  <c r="H1431" i="1"/>
  <c r="G1431" i="1"/>
  <c r="J1431" i="1" s="1"/>
  <c r="F1431" i="1"/>
  <c r="E1431" i="1"/>
  <c r="D1431" i="1"/>
  <c r="C1431" i="1"/>
  <c r="B1431" i="1"/>
  <c r="A1431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L1429" i="1"/>
  <c r="K1429" i="1"/>
  <c r="I1429" i="1"/>
  <c r="H1429" i="1"/>
  <c r="G1429" i="1"/>
  <c r="J1429" i="1" s="1"/>
  <c r="F1429" i="1"/>
  <c r="E1429" i="1"/>
  <c r="D1429" i="1"/>
  <c r="C1429" i="1"/>
  <c r="B1429" i="1"/>
  <c r="A1429" i="1"/>
  <c r="L1428" i="1"/>
  <c r="K1428" i="1"/>
  <c r="I1428" i="1"/>
  <c r="H1428" i="1"/>
  <c r="G1428" i="1"/>
  <c r="F1428" i="1"/>
  <c r="E1428" i="1"/>
  <c r="D1428" i="1"/>
  <c r="C1428" i="1"/>
  <c r="B1428" i="1"/>
  <c r="A1428" i="1"/>
  <c r="L1427" i="1"/>
  <c r="K1427" i="1"/>
  <c r="I1427" i="1"/>
  <c r="H1427" i="1"/>
  <c r="G1427" i="1"/>
  <c r="J1427" i="1" s="1"/>
  <c r="F1427" i="1"/>
  <c r="E1427" i="1"/>
  <c r="D1427" i="1"/>
  <c r="C1427" i="1"/>
  <c r="B1427" i="1"/>
  <c r="A1427" i="1"/>
  <c r="L1426" i="1"/>
  <c r="K1426" i="1"/>
  <c r="I1426" i="1"/>
  <c r="H1426" i="1"/>
  <c r="G1426" i="1"/>
  <c r="J1426" i="1" s="1"/>
  <c r="F1426" i="1"/>
  <c r="E1426" i="1"/>
  <c r="D1426" i="1"/>
  <c r="C1426" i="1"/>
  <c r="B1426" i="1"/>
  <c r="A1426" i="1"/>
  <c r="L1425" i="1"/>
  <c r="K1425" i="1"/>
  <c r="I1425" i="1"/>
  <c r="H1425" i="1"/>
  <c r="G1425" i="1"/>
  <c r="J1425" i="1" s="1"/>
  <c r="F1425" i="1"/>
  <c r="E1425" i="1"/>
  <c r="D1425" i="1"/>
  <c r="C1425" i="1"/>
  <c r="B1425" i="1"/>
  <c r="A1425" i="1"/>
  <c r="L1424" i="1"/>
  <c r="K1424" i="1"/>
  <c r="I1424" i="1"/>
  <c r="H1424" i="1"/>
  <c r="G1424" i="1"/>
  <c r="J1424" i="1" s="1"/>
  <c r="F1424" i="1"/>
  <c r="E1424" i="1"/>
  <c r="D1424" i="1"/>
  <c r="C1424" i="1"/>
  <c r="B1424" i="1"/>
  <c r="A1424" i="1"/>
  <c r="L1423" i="1"/>
  <c r="K1423" i="1"/>
  <c r="I1423" i="1"/>
  <c r="H1423" i="1"/>
  <c r="G1423" i="1"/>
  <c r="F1423" i="1"/>
  <c r="E1423" i="1"/>
  <c r="D1423" i="1"/>
  <c r="C1423" i="1"/>
  <c r="B1423" i="1"/>
  <c r="A1423" i="1"/>
  <c r="L1422" i="1"/>
  <c r="K1422" i="1"/>
  <c r="I1422" i="1"/>
  <c r="H1422" i="1"/>
  <c r="G1422" i="1"/>
  <c r="J1422" i="1" s="1"/>
  <c r="F1422" i="1"/>
  <c r="E1422" i="1"/>
  <c r="D1422" i="1"/>
  <c r="C1422" i="1"/>
  <c r="B1422" i="1"/>
  <c r="A1422" i="1"/>
  <c r="L1421" i="1"/>
  <c r="K1421" i="1"/>
  <c r="I1421" i="1"/>
  <c r="H1421" i="1"/>
  <c r="G1421" i="1"/>
  <c r="J1421" i="1" s="1"/>
  <c r="F1421" i="1"/>
  <c r="E1421" i="1"/>
  <c r="D1421" i="1"/>
  <c r="C1421" i="1"/>
  <c r="B1421" i="1"/>
  <c r="A1421" i="1"/>
  <c r="L1420" i="1"/>
  <c r="K1420" i="1"/>
  <c r="I1420" i="1"/>
  <c r="H1420" i="1"/>
  <c r="G1420" i="1"/>
  <c r="F1420" i="1"/>
  <c r="E1420" i="1"/>
  <c r="D1420" i="1"/>
  <c r="C1420" i="1"/>
  <c r="B1420" i="1"/>
  <c r="A1420" i="1"/>
  <c r="L1419" i="1"/>
  <c r="K1419" i="1"/>
  <c r="I1419" i="1"/>
  <c r="H1419" i="1"/>
  <c r="G1419" i="1"/>
  <c r="J1419" i="1" s="1"/>
  <c r="F1419" i="1"/>
  <c r="E1419" i="1"/>
  <c r="D1419" i="1"/>
  <c r="C1419" i="1"/>
  <c r="B1419" i="1"/>
  <c r="A1419" i="1"/>
  <c r="L1418" i="1"/>
  <c r="K1418" i="1"/>
  <c r="I1418" i="1"/>
  <c r="H1418" i="1"/>
  <c r="G1418" i="1"/>
  <c r="J1418" i="1" s="1"/>
  <c r="F1418" i="1"/>
  <c r="E1418" i="1"/>
  <c r="D1418" i="1"/>
  <c r="C1418" i="1"/>
  <c r="B1418" i="1"/>
  <c r="A1418" i="1"/>
  <c r="L1417" i="1"/>
  <c r="K1417" i="1"/>
  <c r="I1417" i="1"/>
  <c r="H1417" i="1"/>
  <c r="G1417" i="1"/>
  <c r="J1417" i="1" s="1"/>
  <c r="F1417" i="1"/>
  <c r="E1417" i="1"/>
  <c r="D1417" i="1"/>
  <c r="C1417" i="1"/>
  <c r="B1417" i="1"/>
  <c r="A1417" i="1"/>
  <c r="L1416" i="1"/>
  <c r="K1416" i="1"/>
  <c r="I1416" i="1"/>
  <c r="H1416" i="1"/>
  <c r="G1416" i="1"/>
  <c r="J1416" i="1" s="1"/>
  <c r="F1416" i="1"/>
  <c r="E1416" i="1"/>
  <c r="D1416" i="1"/>
  <c r="C1416" i="1"/>
  <c r="B1416" i="1"/>
  <c r="A1416" i="1"/>
  <c r="L1415" i="1"/>
  <c r="K1415" i="1"/>
  <c r="I1415" i="1"/>
  <c r="H1415" i="1"/>
  <c r="G1415" i="1"/>
  <c r="F1415" i="1"/>
  <c r="E1415" i="1"/>
  <c r="D1415" i="1"/>
  <c r="C1415" i="1"/>
  <c r="B1415" i="1"/>
  <c r="A1415" i="1"/>
  <c r="L1414" i="1"/>
  <c r="K1414" i="1"/>
  <c r="I1414" i="1"/>
  <c r="H1414" i="1"/>
  <c r="G1414" i="1"/>
  <c r="J1414" i="1" s="1"/>
  <c r="F1414" i="1"/>
  <c r="E1414" i="1"/>
  <c r="D1414" i="1"/>
  <c r="C1414" i="1"/>
  <c r="B1414" i="1"/>
  <c r="A1414" i="1"/>
  <c r="L1413" i="1"/>
  <c r="K1413" i="1"/>
  <c r="I1413" i="1"/>
  <c r="H1413" i="1"/>
  <c r="G1413" i="1"/>
  <c r="J1413" i="1" s="1"/>
  <c r="F1413" i="1"/>
  <c r="E1413" i="1"/>
  <c r="D1413" i="1"/>
  <c r="C1413" i="1"/>
  <c r="B1413" i="1"/>
  <c r="A1413" i="1"/>
  <c r="L1412" i="1"/>
  <c r="K1412" i="1"/>
  <c r="I1412" i="1"/>
  <c r="H1412" i="1"/>
  <c r="G1412" i="1"/>
  <c r="F1412" i="1"/>
  <c r="E1412" i="1"/>
  <c r="D1412" i="1"/>
  <c r="C1412" i="1"/>
  <c r="B1412" i="1"/>
  <c r="A1412" i="1"/>
  <c r="L1411" i="1"/>
  <c r="K1411" i="1"/>
  <c r="I1411" i="1"/>
  <c r="H1411" i="1"/>
  <c r="G1411" i="1"/>
  <c r="J1411" i="1" s="1"/>
  <c r="F1411" i="1"/>
  <c r="E1411" i="1"/>
  <c r="D1411" i="1"/>
  <c r="C1411" i="1"/>
  <c r="B1411" i="1"/>
  <c r="A1411" i="1"/>
  <c r="L1410" i="1"/>
  <c r="K1410" i="1"/>
  <c r="I1410" i="1"/>
  <c r="H1410" i="1"/>
  <c r="G1410" i="1"/>
  <c r="J1410" i="1" s="1"/>
  <c r="F1410" i="1"/>
  <c r="E1410" i="1"/>
  <c r="D1410" i="1"/>
  <c r="C1410" i="1"/>
  <c r="B1410" i="1"/>
  <c r="A1410" i="1"/>
  <c r="L1409" i="1"/>
  <c r="K1409" i="1"/>
  <c r="I1409" i="1"/>
  <c r="H1409" i="1"/>
  <c r="G1409" i="1"/>
  <c r="J1409" i="1" s="1"/>
  <c r="F1409" i="1"/>
  <c r="E1409" i="1"/>
  <c r="D1409" i="1"/>
  <c r="C1409" i="1"/>
  <c r="B1409" i="1"/>
  <c r="A1409" i="1"/>
  <c r="L1408" i="1"/>
  <c r="K1408" i="1"/>
  <c r="I1408" i="1"/>
  <c r="H1408" i="1"/>
  <c r="G1408" i="1"/>
  <c r="J1408" i="1" s="1"/>
  <c r="F1408" i="1"/>
  <c r="E1408" i="1"/>
  <c r="D1408" i="1"/>
  <c r="C1408" i="1"/>
  <c r="B1408" i="1"/>
  <c r="A1408" i="1"/>
  <c r="L1407" i="1"/>
  <c r="K1407" i="1"/>
  <c r="I1407" i="1"/>
  <c r="H1407" i="1"/>
  <c r="G1407" i="1"/>
  <c r="J1407" i="1" s="1"/>
  <c r="F1407" i="1"/>
  <c r="E1407" i="1"/>
  <c r="D1407" i="1"/>
  <c r="C1407" i="1"/>
  <c r="B1407" i="1"/>
  <c r="A1407" i="1"/>
  <c r="L1406" i="1"/>
  <c r="K1406" i="1"/>
  <c r="I1406" i="1"/>
  <c r="H1406" i="1"/>
  <c r="G1406" i="1"/>
  <c r="J1406" i="1" s="1"/>
  <c r="F1406" i="1"/>
  <c r="E1406" i="1"/>
  <c r="D1406" i="1"/>
  <c r="C1406" i="1"/>
  <c r="B1406" i="1"/>
  <c r="A1406" i="1"/>
  <c r="L1405" i="1"/>
  <c r="K1405" i="1"/>
  <c r="I1405" i="1"/>
  <c r="H1405" i="1"/>
  <c r="G1405" i="1"/>
  <c r="J1405" i="1" s="1"/>
  <c r="F1405" i="1"/>
  <c r="E1405" i="1"/>
  <c r="D1405" i="1"/>
  <c r="C1405" i="1"/>
  <c r="B1405" i="1"/>
  <c r="A1405" i="1"/>
  <c r="L1404" i="1"/>
  <c r="K1404" i="1"/>
  <c r="I1404" i="1"/>
  <c r="H1404" i="1"/>
  <c r="G1404" i="1"/>
  <c r="F1404" i="1"/>
  <c r="E1404" i="1"/>
  <c r="D1404" i="1"/>
  <c r="C1404" i="1"/>
  <c r="B1404" i="1"/>
  <c r="A1404" i="1"/>
  <c r="L1403" i="1"/>
  <c r="K1403" i="1"/>
  <c r="I1403" i="1"/>
  <c r="H1403" i="1"/>
  <c r="G1403" i="1"/>
  <c r="J1403" i="1" s="1"/>
  <c r="F1403" i="1"/>
  <c r="E1403" i="1"/>
  <c r="D1403" i="1"/>
  <c r="C1403" i="1"/>
  <c r="B1403" i="1"/>
  <c r="A1403" i="1"/>
  <c r="L1402" i="1"/>
  <c r="K1402" i="1"/>
  <c r="I1402" i="1"/>
  <c r="H1402" i="1"/>
  <c r="G1402" i="1"/>
  <c r="J1402" i="1" s="1"/>
  <c r="F1402" i="1"/>
  <c r="E1402" i="1"/>
  <c r="D1402" i="1"/>
  <c r="C1402" i="1"/>
  <c r="B1402" i="1"/>
  <c r="A1402" i="1"/>
  <c r="L1401" i="1"/>
  <c r="K1401" i="1"/>
  <c r="I1401" i="1"/>
  <c r="H1401" i="1"/>
  <c r="G1401" i="1"/>
  <c r="J1401" i="1" s="1"/>
  <c r="F1401" i="1"/>
  <c r="E1401" i="1"/>
  <c r="D1401" i="1"/>
  <c r="C1401" i="1"/>
  <c r="B1401" i="1"/>
  <c r="A1401" i="1"/>
  <c r="L1400" i="1"/>
  <c r="K1400" i="1"/>
  <c r="I1400" i="1"/>
  <c r="H1400" i="1"/>
  <c r="G1400" i="1"/>
  <c r="J1400" i="1" s="1"/>
  <c r="F1400" i="1"/>
  <c r="E1400" i="1"/>
  <c r="D1400" i="1"/>
  <c r="C1400" i="1"/>
  <c r="B1400" i="1"/>
  <c r="A1400" i="1"/>
  <c r="L1399" i="1"/>
  <c r="K1399" i="1"/>
  <c r="I1399" i="1"/>
  <c r="H1399" i="1"/>
  <c r="G1399" i="1"/>
  <c r="F1399" i="1"/>
  <c r="E1399" i="1"/>
  <c r="D1399" i="1"/>
  <c r="C1399" i="1"/>
  <c r="B1399" i="1"/>
  <c r="A1399" i="1"/>
  <c r="L1398" i="1"/>
  <c r="K1398" i="1"/>
  <c r="I1398" i="1"/>
  <c r="H1398" i="1"/>
  <c r="G1398" i="1"/>
  <c r="J1398" i="1" s="1"/>
  <c r="F1398" i="1"/>
  <c r="E1398" i="1"/>
  <c r="D1398" i="1"/>
  <c r="C1398" i="1"/>
  <c r="B1398" i="1"/>
  <c r="A1398" i="1"/>
  <c r="L1397" i="1"/>
  <c r="K1397" i="1"/>
  <c r="I1397" i="1"/>
  <c r="H1397" i="1"/>
  <c r="G1397" i="1"/>
  <c r="J1397" i="1" s="1"/>
  <c r="F1397" i="1"/>
  <c r="E1397" i="1"/>
  <c r="D1397" i="1"/>
  <c r="C1397" i="1"/>
  <c r="B1397" i="1"/>
  <c r="A1397" i="1"/>
  <c r="L1396" i="1"/>
  <c r="K1396" i="1"/>
  <c r="I1396" i="1"/>
  <c r="H1396" i="1"/>
  <c r="G1396" i="1"/>
  <c r="F1396" i="1"/>
  <c r="E1396" i="1"/>
  <c r="D1396" i="1"/>
  <c r="C1396" i="1"/>
  <c r="B1396" i="1"/>
  <c r="A1396" i="1"/>
  <c r="L1395" i="1"/>
  <c r="K1395" i="1"/>
  <c r="I1395" i="1"/>
  <c r="H1395" i="1"/>
  <c r="G1395" i="1"/>
  <c r="J1395" i="1" s="1"/>
  <c r="F1395" i="1"/>
  <c r="E1395" i="1"/>
  <c r="D1395" i="1"/>
  <c r="C1395" i="1"/>
  <c r="B1395" i="1"/>
  <c r="A1395" i="1"/>
  <c r="L1394" i="1"/>
  <c r="K1394" i="1"/>
  <c r="I1394" i="1"/>
  <c r="H1394" i="1"/>
  <c r="G1394" i="1"/>
  <c r="J1394" i="1" s="1"/>
  <c r="F1394" i="1"/>
  <c r="E1394" i="1"/>
  <c r="D1394" i="1"/>
  <c r="C1394" i="1"/>
  <c r="B1394" i="1"/>
  <c r="A1394" i="1"/>
  <c r="L1393" i="1"/>
  <c r="K1393" i="1"/>
  <c r="I1393" i="1"/>
  <c r="H1393" i="1"/>
  <c r="G1393" i="1"/>
  <c r="J1393" i="1" s="1"/>
  <c r="F1393" i="1"/>
  <c r="E1393" i="1"/>
  <c r="D1393" i="1"/>
  <c r="C1393" i="1"/>
  <c r="B1393" i="1"/>
  <c r="A1393" i="1"/>
  <c r="L1392" i="1"/>
  <c r="K1392" i="1"/>
  <c r="I1392" i="1"/>
  <c r="H1392" i="1"/>
  <c r="G1392" i="1"/>
  <c r="J1392" i="1" s="1"/>
  <c r="F1392" i="1"/>
  <c r="E1392" i="1"/>
  <c r="D1392" i="1"/>
  <c r="C1392" i="1"/>
  <c r="B1392" i="1"/>
  <c r="A1392" i="1"/>
  <c r="L1391" i="1"/>
  <c r="K1391" i="1"/>
  <c r="I1391" i="1"/>
  <c r="H1391" i="1"/>
  <c r="G1391" i="1"/>
  <c r="F1391" i="1"/>
  <c r="E1391" i="1"/>
  <c r="D1391" i="1"/>
  <c r="C1391" i="1"/>
  <c r="B1391" i="1"/>
  <c r="A1391" i="1"/>
  <c r="L1390" i="1"/>
  <c r="K1390" i="1"/>
  <c r="I1390" i="1"/>
  <c r="H1390" i="1"/>
  <c r="G1390" i="1"/>
  <c r="J1390" i="1" s="1"/>
  <c r="F1390" i="1"/>
  <c r="E1390" i="1"/>
  <c r="D1390" i="1"/>
  <c r="C1390" i="1"/>
  <c r="B1390" i="1"/>
  <c r="A1390" i="1"/>
  <c r="L1389" i="1"/>
  <c r="K1389" i="1"/>
  <c r="I1389" i="1"/>
  <c r="H1389" i="1"/>
  <c r="G1389" i="1"/>
  <c r="J1389" i="1" s="1"/>
  <c r="F1389" i="1"/>
  <c r="E1389" i="1"/>
  <c r="D1389" i="1"/>
  <c r="C1389" i="1"/>
  <c r="B1389" i="1"/>
  <c r="A1389" i="1"/>
  <c r="L1388" i="1"/>
  <c r="K1388" i="1"/>
  <c r="I1388" i="1"/>
  <c r="H1388" i="1"/>
  <c r="G1388" i="1"/>
  <c r="F1388" i="1"/>
  <c r="E1388" i="1"/>
  <c r="D1388" i="1"/>
  <c r="C1388" i="1"/>
  <c r="B1388" i="1"/>
  <c r="A1388" i="1"/>
  <c r="L1387" i="1"/>
  <c r="K1387" i="1"/>
  <c r="I1387" i="1"/>
  <c r="H1387" i="1"/>
  <c r="G1387" i="1"/>
  <c r="J1387" i="1" s="1"/>
  <c r="F1387" i="1"/>
  <c r="E1387" i="1"/>
  <c r="D1387" i="1"/>
  <c r="C1387" i="1"/>
  <c r="B1387" i="1"/>
  <c r="A1387" i="1"/>
  <c r="L1386" i="1"/>
  <c r="K1386" i="1"/>
  <c r="I1386" i="1"/>
  <c r="H1386" i="1"/>
  <c r="G1386" i="1"/>
  <c r="F1386" i="1"/>
  <c r="E1386" i="1"/>
  <c r="D1386" i="1"/>
  <c r="C1386" i="1"/>
  <c r="B1386" i="1"/>
  <c r="A1386" i="1"/>
  <c r="L1385" i="1"/>
  <c r="K1385" i="1"/>
  <c r="I1385" i="1"/>
  <c r="H1385" i="1"/>
  <c r="G1385" i="1"/>
  <c r="J1385" i="1" s="1"/>
  <c r="F1385" i="1"/>
  <c r="E1385" i="1"/>
  <c r="D1385" i="1"/>
  <c r="C1385" i="1"/>
  <c r="B1385" i="1"/>
  <c r="A1385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L1383" i="1"/>
  <c r="K1383" i="1"/>
  <c r="I1383" i="1"/>
  <c r="H1383" i="1"/>
  <c r="G1383" i="1"/>
  <c r="F1383" i="1"/>
  <c r="E1383" i="1"/>
  <c r="D1383" i="1"/>
  <c r="C1383" i="1"/>
  <c r="B1383" i="1"/>
  <c r="A1383" i="1"/>
  <c r="L1382" i="1"/>
  <c r="K1382" i="1"/>
  <c r="I1382" i="1"/>
  <c r="H1382" i="1"/>
  <c r="G1382" i="1"/>
  <c r="J1382" i="1" s="1"/>
  <c r="F1382" i="1"/>
  <c r="E1382" i="1"/>
  <c r="D1382" i="1"/>
  <c r="C1382" i="1"/>
  <c r="B1382" i="1"/>
  <c r="A1382" i="1"/>
  <c r="L1381" i="1"/>
  <c r="K1381" i="1"/>
  <c r="I1381" i="1"/>
  <c r="H1381" i="1"/>
  <c r="G1381" i="1"/>
  <c r="J1381" i="1" s="1"/>
  <c r="F1381" i="1"/>
  <c r="E1381" i="1"/>
  <c r="D1381" i="1"/>
  <c r="C1381" i="1"/>
  <c r="B1381" i="1"/>
  <c r="A1381" i="1"/>
  <c r="L1380" i="1"/>
  <c r="K1380" i="1"/>
  <c r="I1380" i="1"/>
  <c r="H1380" i="1"/>
  <c r="G1380" i="1"/>
  <c r="F1380" i="1"/>
  <c r="E1380" i="1"/>
  <c r="D1380" i="1"/>
  <c r="C1380" i="1"/>
  <c r="B1380" i="1"/>
  <c r="A1380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L1378" i="1"/>
  <c r="K1378" i="1"/>
  <c r="I1378" i="1"/>
  <c r="H1378" i="1"/>
  <c r="G1378" i="1"/>
  <c r="F1378" i="1"/>
  <c r="E1378" i="1"/>
  <c r="D1378" i="1"/>
  <c r="C1378" i="1"/>
  <c r="B1378" i="1"/>
  <c r="A1378" i="1"/>
  <c r="L1377" i="1"/>
  <c r="K1377" i="1"/>
  <c r="I1377" i="1"/>
  <c r="H1377" i="1"/>
  <c r="G1377" i="1"/>
  <c r="J1377" i="1" s="1"/>
  <c r="F1377" i="1"/>
  <c r="E1377" i="1"/>
  <c r="D1377" i="1"/>
  <c r="C1377" i="1"/>
  <c r="B1377" i="1"/>
  <c r="A1377" i="1"/>
  <c r="L1376" i="1"/>
  <c r="K1376" i="1"/>
  <c r="I1376" i="1"/>
  <c r="H1376" i="1"/>
  <c r="G1376" i="1"/>
  <c r="J1376" i="1" s="1"/>
  <c r="F1376" i="1"/>
  <c r="E1376" i="1"/>
  <c r="D1376" i="1"/>
  <c r="C1376" i="1"/>
  <c r="B1376" i="1"/>
  <c r="A1376" i="1"/>
  <c r="L1375" i="1"/>
  <c r="K1375" i="1"/>
  <c r="I1375" i="1"/>
  <c r="H1375" i="1"/>
  <c r="G1375" i="1"/>
  <c r="F1375" i="1"/>
  <c r="E1375" i="1"/>
  <c r="D1375" i="1"/>
  <c r="C1375" i="1"/>
  <c r="B1375" i="1"/>
  <c r="A1375" i="1"/>
  <c r="L1374" i="1"/>
  <c r="K1374" i="1"/>
  <c r="I1374" i="1"/>
  <c r="H1374" i="1"/>
  <c r="G1374" i="1"/>
  <c r="J1374" i="1" s="1"/>
  <c r="F1374" i="1"/>
  <c r="E1374" i="1"/>
  <c r="D1374" i="1"/>
  <c r="C1374" i="1"/>
  <c r="B1374" i="1"/>
  <c r="A1374" i="1"/>
  <c r="L1373" i="1"/>
  <c r="K1373" i="1"/>
  <c r="I1373" i="1"/>
  <c r="H1373" i="1"/>
  <c r="G1373" i="1"/>
  <c r="J1373" i="1" s="1"/>
  <c r="F1373" i="1"/>
  <c r="E1373" i="1"/>
  <c r="D1373" i="1"/>
  <c r="C1373" i="1"/>
  <c r="B1373" i="1"/>
  <c r="A1373" i="1"/>
  <c r="L1372" i="1"/>
  <c r="K1372" i="1"/>
  <c r="I1372" i="1"/>
  <c r="H1372" i="1"/>
  <c r="G1372" i="1"/>
  <c r="F1372" i="1"/>
  <c r="E1372" i="1"/>
  <c r="D1372" i="1"/>
  <c r="C1372" i="1"/>
  <c r="B1372" i="1"/>
  <c r="A1372" i="1"/>
  <c r="L1371" i="1"/>
  <c r="K1371" i="1"/>
  <c r="I1371" i="1"/>
  <c r="H1371" i="1"/>
  <c r="G1371" i="1"/>
  <c r="J1371" i="1" s="1"/>
  <c r="F1371" i="1"/>
  <c r="E1371" i="1"/>
  <c r="D1371" i="1"/>
  <c r="C1371" i="1"/>
  <c r="B1371" i="1"/>
  <c r="A1371" i="1"/>
  <c r="L1370" i="1"/>
  <c r="K1370" i="1"/>
  <c r="I1370" i="1"/>
  <c r="H1370" i="1"/>
  <c r="G1370" i="1"/>
  <c r="F1370" i="1"/>
  <c r="E1370" i="1"/>
  <c r="D1370" i="1"/>
  <c r="C1370" i="1"/>
  <c r="B1370" i="1"/>
  <c r="A1370" i="1"/>
  <c r="L1369" i="1"/>
  <c r="K1369" i="1"/>
  <c r="I1369" i="1"/>
  <c r="H1369" i="1"/>
  <c r="G1369" i="1"/>
  <c r="J1369" i="1" s="1"/>
  <c r="F1369" i="1"/>
  <c r="E1369" i="1"/>
  <c r="D1369" i="1"/>
  <c r="C1369" i="1"/>
  <c r="B1369" i="1"/>
  <c r="A1369" i="1"/>
  <c r="L1368" i="1"/>
  <c r="K1368" i="1"/>
  <c r="I1368" i="1"/>
  <c r="H1368" i="1"/>
  <c r="G1368" i="1"/>
  <c r="J1368" i="1" s="1"/>
  <c r="F1368" i="1"/>
  <c r="E1368" i="1"/>
  <c r="D1368" i="1"/>
  <c r="C1368" i="1"/>
  <c r="B1368" i="1"/>
  <c r="A1368" i="1"/>
  <c r="L1367" i="1"/>
  <c r="K1367" i="1"/>
  <c r="I1367" i="1"/>
  <c r="H1367" i="1"/>
  <c r="G1367" i="1"/>
  <c r="F1367" i="1"/>
  <c r="E1367" i="1"/>
  <c r="D1367" i="1"/>
  <c r="C1367" i="1"/>
  <c r="B1367" i="1"/>
  <c r="A1367" i="1"/>
  <c r="L1366" i="1"/>
  <c r="K1366" i="1"/>
  <c r="I1366" i="1"/>
  <c r="H1366" i="1"/>
  <c r="G1366" i="1"/>
  <c r="J1366" i="1" s="1"/>
  <c r="F1366" i="1"/>
  <c r="E1366" i="1"/>
  <c r="D1366" i="1"/>
  <c r="C1366" i="1"/>
  <c r="B1366" i="1"/>
  <c r="A1366" i="1"/>
  <c r="L1365" i="1"/>
  <c r="K1365" i="1"/>
  <c r="I1365" i="1"/>
  <c r="H1365" i="1"/>
  <c r="G1365" i="1"/>
  <c r="J1365" i="1" s="1"/>
  <c r="F1365" i="1"/>
  <c r="E1365" i="1"/>
  <c r="D1365" i="1"/>
  <c r="C1365" i="1"/>
  <c r="B1365" i="1"/>
  <c r="A1365" i="1"/>
  <c r="L1364" i="1"/>
  <c r="K1364" i="1"/>
  <c r="I1364" i="1"/>
  <c r="H1364" i="1"/>
  <c r="G1364" i="1"/>
  <c r="F1364" i="1"/>
  <c r="E1364" i="1"/>
  <c r="D1364" i="1"/>
  <c r="C1364" i="1"/>
  <c r="B1364" i="1"/>
  <c r="A1364" i="1"/>
  <c r="L1363" i="1"/>
  <c r="K1363" i="1"/>
  <c r="I1363" i="1"/>
  <c r="H1363" i="1"/>
  <c r="G1363" i="1"/>
  <c r="J1363" i="1" s="1"/>
  <c r="F1363" i="1"/>
  <c r="E1363" i="1"/>
  <c r="D1363" i="1"/>
  <c r="C1363" i="1"/>
  <c r="B1363" i="1"/>
  <c r="A1363" i="1"/>
  <c r="L1362" i="1"/>
  <c r="K1362" i="1"/>
  <c r="I1362" i="1"/>
  <c r="H1362" i="1"/>
  <c r="G1362" i="1"/>
  <c r="F1362" i="1"/>
  <c r="E1362" i="1"/>
  <c r="D1362" i="1"/>
  <c r="C1362" i="1"/>
  <c r="B1362" i="1"/>
  <c r="A1362" i="1"/>
  <c r="L1361" i="1"/>
  <c r="K1361" i="1"/>
  <c r="I1361" i="1"/>
  <c r="H1361" i="1"/>
  <c r="G1361" i="1"/>
  <c r="J1361" i="1" s="1"/>
  <c r="F1361" i="1"/>
  <c r="E1361" i="1"/>
  <c r="D1361" i="1"/>
  <c r="C1361" i="1"/>
  <c r="B1361" i="1"/>
  <c r="A1361" i="1"/>
  <c r="L1360" i="1"/>
  <c r="K1360" i="1"/>
  <c r="I1360" i="1"/>
  <c r="H1360" i="1"/>
  <c r="G1360" i="1"/>
  <c r="J1360" i="1" s="1"/>
  <c r="F1360" i="1"/>
  <c r="E1360" i="1"/>
  <c r="D1360" i="1"/>
  <c r="C1360" i="1"/>
  <c r="B1360" i="1"/>
  <c r="A1360" i="1"/>
  <c r="L1359" i="1"/>
  <c r="K1359" i="1"/>
  <c r="I1359" i="1"/>
  <c r="H1359" i="1"/>
  <c r="G1359" i="1"/>
  <c r="F1359" i="1"/>
  <c r="E1359" i="1"/>
  <c r="D1359" i="1"/>
  <c r="C1359" i="1"/>
  <c r="B1359" i="1"/>
  <c r="A1359" i="1"/>
  <c r="L1358" i="1"/>
  <c r="K1358" i="1"/>
  <c r="I1358" i="1"/>
  <c r="H1358" i="1"/>
  <c r="G1358" i="1"/>
  <c r="J1358" i="1" s="1"/>
  <c r="F1358" i="1"/>
  <c r="E1358" i="1"/>
  <c r="D1358" i="1"/>
  <c r="C1358" i="1"/>
  <c r="B1358" i="1"/>
  <c r="A1358" i="1"/>
  <c r="L1357" i="1"/>
  <c r="K1357" i="1"/>
  <c r="I1357" i="1"/>
  <c r="H1357" i="1"/>
  <c r="G1357" i="1"/>
  <c r="J1357" i="1" s="1"/>
  <c r="F1357" i="1"/>
  <c r="E1357" i="1"/>
  <c r="D1357" i="1"/>
  <c r="C1357" i="1"/>
  <c r="B1357" i="1"/>
  <c r="A1357" i="1"/>
  <c r="L1356" i="1"/>
  <c r="K1356" i="1"/>
  <c r="I1356" i="1"/>
  <c r="H1356" i="1"/>
  <c r="G1356" i="1"/>
  <c r="F1356" i="1"/>
  <c r="E1356" i="1"/>
  <c r="D1356" i="1"/>
  <c r="C1356" i="1"/>
  <c r="B1356" i="1"/>
  <c r="A1356" i="1"/>
  <c r="L1355" i="1"/>
  <c r="K1355" i="1"/>
  <c r="I1355" i="1"/>
  <c r="H1355" i="1"/>
  <c r="G1355" i="1"/>
  <c r="J1355" i="1" s="1"/>
  <c r="F1355" i="1"/>
  <c r="E1355" i="1"/>
  <c r="D1355" i="1"/>
  <c r="C1355" i="1"/>
  <c r="B1355" i="1"/>
  <c r="A1355" i="1"/>
  <c r="L1354" i="1"/>
  <c r="K1354" i="1"/>
  <c r="I1354" i="1"/>
  <c r="H1354" i="1"/>
  <c r="G1354" i="1"/>
  <c r="F1354" i="1"/>
  <c r="E1354" i="1"/>
  <c r="D1354" i="1"/>
  <c r="C1354" i="1"/>
  <c r="B1354" i="1"/>
  <c r="A1354" i="1"/>
  <c r="L1353" i="1"/>
  <c r="K1353" i="1"/>
  <c r="I1353" i="1"/>
  <c r="H1353" i="1"/>
  <c r="G1353" i="1"/>
  <c r="J1353" i="1" s="1"/>
  <c r="F1353" i="1"/>
  <c r="E1353" i="1"/>
  <c r="D1353" i="1"/>
  <c r="C1353" i="1"/>
  <c r="B1353" i="1"/>
  <c r="A1353" i="1"/>
  <c r="L1352" i="1"/>
  <c r="K1352" i="1"/>
  <c r="I1352" i="1"/>
  <c r="H1352" i="1"/>
  <c r="G1352" i="1"/>
  <c r="J1352" i="1" s="1"/>
  <c r="F1352" i="1"/>
  <c r="E1352" i="1"/>
  <c r="D1352" i="1"/>
  <c r="C1352" i="1"/>
  <c r="B1352" i="1"/>
  <c r="A1352" i="1"/>
  <c r="L1351" i="1"/>
  <c r="K1351" i="1"/>
  <c r="I1351" i="1"/>
  <c r="H1351" i="1"/>
  <c r="G1351" i="1"/>
  <c r="F1351" i="1"/>
  <c r="E1351" i="1"/>
  <c r="D1351" i="1"/>
  <c r="C1351" i="1"/>
  <c r="B1351" i="1"/>
  <c r="A1351" i="1"/>
  <c r="L1350" i="1"/>
  <c r="K1350" i="1"/>
  <c r="I1350" i="1"/>
  <c r="H1350" i="1"/>
  <c r="G1350" i="1"/>
  <c r="J1350" i="1" s="1"/>
  <c r="F1350" i="1"/>
  <c r="E1350" i="1"/>
  <c r="D1350" i="1"/>
  <c r="C1350" i="1"/>
  <c r="B1350" i="1"/>
  <c r="A1350" i="1"/>
  <c r="L1349" i="1"/>
  <c r="K1349" i="1"/>
  <c r="I1349" i="1"/>
  <c r="H1349" i="1"/>
  <c r="G1349" i="1"/>
  <c r="J1349" i="1" s="1"/>
  <c r="F1349" i="1"/>
  <c r="E1349" i="1"/>
  <c r="D1349" i="1"/>
  <c r="C1349" i="1"/>
  <c r="B1349" i="1"/>
  <c r="A1349" i="1"/>
  <c r="L1348" i="1"/>
  <c r="K1348" i="1"/>
  <c r="I1348" i="1"/>
  <c r="H1348" i="1"/>
  <c r="G1348" i="1"/>
  <c r="F1348" i="1"/>
  <c r="E1348" i="1"/>
  <c r="D1348" i="1"/>
  <c r="C1348" i="1"/>
  <c r="B1348" i="1"/>
  <c r="A1348" i="1"/>
  <c r="L1347" i="1"/>
  <c r="K1347" i="1"/>
  <c r="I1347" i="1"/>
  <c r="H1347" i="1"/>
  <c r="G1347" i="1"/>
  <c r="J1347" i="1" s="1"/>
  <c r="F1347" i="1"/>
  <c r="E1347" i="1"/>
  <c r="D1347" i="1"/>
  <c r="C1347" i="1"/>
  <c r="B1347" i="1"/>
  <c r="A1347" i="1"/>
  <c r="L1346" i="1"/>
  <c r="K1346" i="1"/>
  <c r="I1346" i="1"/>
  <c r="H1346" i="1"/>
  <c r="G1346" i="1"/>
  <c r="F1346" i="1"/>
  <c r="E1346" i="1"/>
  <c r="D1346" i="1"/>
  <c r="C1346" i="1"/>
  <c r="B1346" i="1"/>
  <c r="A1346" i="1"/>
  <c r="L1345" i="1"/>
  <c r="K1345" i="1"/>
  <c r="I1345" i="1"/>
  <c r="H1345" i="1"/>
  <c r="G1345" i="1"/>
  <c r="J1345" i="1" s="1"/>
  <c r="F1345" i="1"/>
  <c r="E1345" i="1"/>
  <c r="D1345" i="1"/>
  <c r="C1345" i="1"/>
  <c r="B1345" i="1"/>
  <c r="A1345" i="1"/>
  <c r="L1344" i="1"/>
  <c r="K1344" i="1"/>
  <c r="I1344" i="1"/>
  <c r="H1344" i="1"/>
  <c r="G1344" i="1"/>
  <c r="J1344" i="1" s="1"/>
  <c r="F1344" i="1"/>
  <c r="E1344" i="1"/>
  <c r="D1344" i="1"/>
  <c r="C1344" i="1"/>
  <c r="B1344" i="1"/>
  <c r="A1344" i="1"/>
  <c r="L1343" i="1"/>
  <c r="K1343" i="1"/>
  <c r="I1343" i="1"/>
  <c r="H1343" i="1"/>
  <c r="G1343" i="1"/>
  <c r="F1343" i="1"/>
  <c r="E1343" i="1"/>
  <c r="D1343" i="1"/>
  <c r="C1343" i="1"/>
  <c r="B1343" i="1"/>
  <c r="A1343" i="1"/>
  <c r="L1342" i="1"/>
  <c r="K1342" i="1"/>
  <c r="I1342" i="1"/>
  <c r="H1342" i="1"/>
  <c r="G1342" i="1"/>
  <c r="J1342" i="1" s="1"/>
  <c r="F1342" i="1"/>
  <c r="E1342" i="1"/>
  <c r="D1342" i="1"/>
  <c r="C1342" i="1"/>
  <c r="B1342" i="1"/>
  <c r="A1342" i="1"/>
  <c r="L1341" i="1"/>
  <c r="K1341" i="1"/>
  <c r="I1341" i="1"/>
  <c r="H1341" i="1"/>
  <c r="G1341" i="1"/>
  <c r="J1341" i="1" s="1"/>
  <c r="F1341" i="1"/>
  <c r="E1341" i="1"/>
  <c r="D1341" i="1"/>
  <c r="C1341" i="1"/>
  <c r="B1341" i="1"/>
  <c r="A1341" i="1"/>
  <c r="L1340" i="1"/>
  <c r="K1340" i="1"/>
  <c r="I1340" i="1"/>
  <c r="H1340" i="1"/>
  <c r="G1340" i="1"/>
  <c r="F1340" i="1"/>
  <c r="E1340" i="1"/>
  <c r="D1340" i="1"/>
  <c r="C1340" i="1"/>
  <c r="B1340" i="1"/>
  <c r="A1340" i="1"/>
  <c r="L1339" i="1"/>
  <c r="K1339" i="1"/>
  <c r="I1339" i="1"/>
  <c r="H1339" i="1"/>
  <c r="G1339" i="1"/>
  <c r="J1339" i="1" s="1"/>
  <c r="F1339" i="1"/>
  <c r="E1339" i="1"/>
  <c r="D1339" i="1"/>
  <c r="C1339" i="1"/>
  <c r="B1339" i="1"/>
  <c r="A1339" i="1"/>
  <c r="L1338" i="1"/>
  <c r="K1338" i="1"/>
  <c r="I1338" i="1"/>
  <c r="H1338" i="1"/>
  <c r="G1338" i="1"/>
  <c r="J1338" i="1" s="1"/>
  <c r="F1338" i="1"/>
  <c r="E1338" i="1"/>
  <c r="D1338" i="1"/>
  <c r="C1338" i="1"/>
  <c r="B1338" i="1"/>
  <c r="A1338" i="1"/>
  <c r="L1337" i="1"/>
  <c r="K1337" i="1"/>
  <c r="I1337" i="1"/>
  <c r="H1337" i="1"/>
  <c r="G1337" i="1"/>
  <c r="J1337" i="1" s="1"/>
  <c r="F1337" i="1"/>
  <c r="E1337" i="1"/>
  <c r="D1337" i="1"/>
  <c r="C1337" i="1"/>
  <c r="B1337" i="1"/>
  <c r="A1337" i="1"/>
  <c r="L1336" i="1"/>
  <c r="K1336" i="1"/>
  <c r="I1336" i="1"/>
  <c r="H1336" i="1"/>
  <c r="G1336" i="1"/>
  <c r="J1336" i="1" s="1"/>
  <c r="F1336" i="1"/>
  <c r="E1336" i="1"/>
  <c r="D1336" i="1"/>
  <c r="C1336" i="1"/>
  <c r="B1336" i="1"/>
  <c r="A1336" i="1"/>
  <c r="L1335" i="1"/>
  <c r="K1335" i="1"/>
  <c r="I1335" i="1"/>
  <c r="H1335" i="1"/>
  <c r="G1335" i="1"/>
  <c r="F1335" i="1"/>
  <c r="E1335" i="1"/>
  <c r="D1335" i="1"/>
  <c r="C1335" i="1"/>
  <c r="B1335" i="1"/>
  <c r="A1335" i="1"/>
  <c r="L1334" i="1"/>
  <c r="K1334" i="1"/>
  <c r="I1334" i="1"/>
  <c r="H1334" i="1"/>
  <c r="G1334" i="1"/>
  <c r="J1334" i="1" s="1"/>
  <c r="F1334" i="1"/>
  <c r="E1334" i="1"/>
  <c r="D1334" i="1"/>
  <c r="C1334" i="1"/>
  <c r="B1334" i="1"/>
  <c r="A1334" i="1"/>
  <c r="L1333" i="1"/>
  <c r="K1333" i="1"/>
  <c r="I1333" i="1"/>
  <c r="H1333" i="1"/>
  <c r="G1333" i="1"/>
  <c r="J1333" i="1" s="1"/>
  <c r="F1333" i="1"/>
  <c r="E1333" i="1"/>
  <c r="D1333" i="1"/>
  <c r="C1333" i="1"/>
  <c r="B1333" i="1"/>
  <c r="A1333" i="1"/>
  <c r="L1332" i="1"/>
  <c r="K1332" i="1"/>
  <c r="I1332" i="1"/>
  <c r="H1332" i="1"/>
  <c r="G1332" i="1"/>
  <c r="F1332" i="1"/>
  <c r="E1332" i="1"/>
  <c r="D1332" i="1"/>
  <c r="C1332" i="1"/>
  <c r="B1332" i="1"/>
  <c r="A1332" i="1"/>
  <c r="L1331" i="1"/>
  <c r="K1331" i="1"/>
  <c r="I1331" i="1"/>
  <c r="H1331" i="1"/>
  <c r="G1331" i="1"/>
  <c r="J1331" i="1" s="1"/>
  <c r="F1331" i="1"/>
  <c r="E1331" i="1"/>
  <c r="D1331" i="1"/>
  <c r="C1331" i="1"/>
  <c r="B1331" i="1"/>
  <c r="A1331" i="1"/>
  <c r="L1330" i="1"/>
  <c r="K1330" i="1"/>
  <c r="I1330" i="1"/>
  <c r="H1330" i="1"/>
  <c r="G1330" i="1"/>
  <c r="J1330" i="1" s="1"/>
  <c r="F1330" i="1"/>
  <c r="E1330" i="1"/>
  <c r="D1330" i="1"/>
  <c r="C1330" i="1"/>
  <c r="B1330" i="1"/>
  <c r="A1330" i="1"/>
  <c r="L1329" i="1"/>
  <c r="K1329" i="1"/>
  <c r="I1329" i="1"/>
  <c r="H1329" i="1"/>
  <c r="G1329" i="1"/>
  <c r="J1329" i="1" s="1"/>
  <c r="F1329" i="1"/>
  <c r="E1329" i="1"/>
  <c r="D1329" i="1"/>
  <c r="C1329" i="1"/>
  <c r="B1329" i="1"/>
  <c r="A1329" i="1"/>
  <c r="L1328" i="1"/>
  <c r="K1328" i="1"/>
  <c r="I1328" i="1"/>
  <c r="H1328" i="1"/>
  <c r="G1328" i="1"/>
  <c r="J1328" i="1" s="1"/>
  <c r="F1328" i="1"/>
  <c r="E1328" i="1"/>
  <c r="D1328" i="1"/>
  <c r="C1328" i="1"/>
  <c r="B1328" i="1"/>
  <c r="A1328" i="1"/>
  <c r="L1327" i="1"/>
  <c r="K1327" i="1"/>
  <c r="I1327" i="1"/>
  <c r="H1327" i="1"/>
  <c r="G1327" i="1"/>
  <c r="F1327" i="1"/>
  <c r="E1327" i="1"/>
  <c r="D1327" i="1"/>
  <c r="C1327" i="1"/>
  <c r="B1327" i="1"/>
  <c r="A1327" i="1"/>
  <c r="L1326" i="1"/>
  <c r="K1326" i="1"/>
  <c r="I1326" i="1"/>
  <c r="H1326" i="1"/>
  <c r="G1326" i="1"/>
  <c r="J1326" i="1" s="1"/>
  <c r="F1326" i="1"/>
  <c r="E1326" i="1"/>
  <c r="D1326" i="1"/>
  <c r="C1326" i="1"/>
  <c r="B1326" i="1"/>
  <c r="A1326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L1324" i="1"/>
  <c r="K1324" i="1"/>
  <c r="I1324" i="1"/>
  <c r="H1324" i="1"/>
  <c r="G1324" i="1"/>
  <c r="F1324" i="1"/>
  <c r="E1324" i="1"/>
  <c r="D1324" i="1"/>
  <c r="C1324" i="1"/>
  <c r="B1324" i="1"/>
  <c r="A1324" i="1"/>
  <c r="L1323" i="1"/>
  <c r="K1323" i="1"/>
  <c r="I1323" i="1"/>
  <c r="H1323" i="1"/>
  <c r="G1323" i="1"/>
  <c r="J1323" i="1" s="1"/>
  <c r="F1323" i="1"/>
  <c r="E1323" i="1"/>
  <c r="D1323" i="1"/>
  <c r="C1323" i="1"/>
  <c r="B1323" i="1"/>
  <c r="A1323" i="1"/>
  <c r="L1322" i="1"/>
  <c r="K1322" i="1"/>
  <c r="I1322" i="1"/>
  <c r="H1322" i="1"/>
  <c r="G1322" i="1"/>
  <c r="J1322" i="1" s="1"/>
  <c r="F1322" i="1"/>
  <c r="E1322" i="1"/>
  <c r="D1322" i="1"/>
  <c r="C1322" i="1"/>
  <c r="B1322" i="1"/>
  <c r="A1322" i="1"/>
  <c r="L1321" i="1"/>
  <c r="K1321" i="1"/>
  <c r="I1321" i="1"/>
  <c r="H1321" i="1"/>
  <c r="G1321" i="1"/>
  <c r="J1321" i="1" s="1"/>
  <c r="F1321" i="1"/>
  <c r="E1321" i="1"/>
  <c r="D1321" i="1"/>
  <c r="C1321" i="1"/>
  <c r="B1321" i="1"/>
  <c r="A1321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L1319" i="1"/>
  <c r="K1319" i="1"/>
  <c r="I1319" i="1"/>
  <c r="H1319" i="1"/>
  <c r="G1319" i="1"/>
  <c r="F1319" i="1"/>
  <c r="E1319" i="1"/>
  <c r="D1319" i="1"/>
  <c r="C1319" i="1"/>
  <c r="B1319" i="1"/>
  <c r="A1319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L1317" i="1"/>
  <c r="K1317" i="1"/>
  <c r="I1317" i="1"/>
  <c r="H1317" i="1"/>
  <c r="G1317" i="1"/>
  <c r="J1317" i="1" s="1"/>
  <c r="F1317" i="1"/>
  <c r="E1317" i="1"/>
  <c r="D1317" i="1"/>
  <c r="C1317" i="1"/>
  <c r="B1317" i="1"/>
  <c r="A1317" i="1"/>
  <c r="L1316" i="1"/>
  <c r="K1316" i="1"/>
  <c r="I1316" i="1"/>
  <c r="H1316" i="1"/>
  <c r="G1316" i="1"/>
  <c r="F1316" i="1"/>
  <c r="E1316" i="1"/>
  <c r="D1316" i="1"/>
  <c r="C1316" i="1"/>
  <c r="B1316" i="1"/>
  <c r="A1316" i="1"/>
  <c r="L1315" i="1"/>
  <c r="K1315" i="1"/>
  <c r="I1315" i="1"/>
  <c r="H1315" i="1"/>
  <c r="G1315" i="1"/>
  <c r="J1315" i="1" s="1"/>
  <c r="F1315" i="1"/>
  <c r="E1315" i="1"/>
  <c r="D1315" i="1"/>
  <c r="C1315" i="1"/>
  <c r="B1315" i="1"/>
  <c r="A1315" i="1"/>
  <c r="L1314" i="1"/>
  <c r="K1314" i="1"/>
  <c r="I1314" i="1"/>
  <c r="H1314" i="1"/>
  <c r="G1314" i="1"/>
  <c r="J1314" i="1" s="1"/>
  <c r="F1314" i="1"/>
  <c r="E1314" i="1"/>
  <c r="D1314" i="1"/>
  <c r="C1314" i="1"/>
  <c r="B1314" i="1"/>
  <c r="A1314" i="1"/>
  <c r="L1313" i="1"/>
  <c r="K1313" i="1"/>
  <c r="I1313" i="1"/>
  <c r="H1313" i="1"/>
  <c r="G1313" i="1"/>
  <c r="J1313" i="1" s="1"/>
  <c r="F1313" i="1"/>
  <c r="E1313" i="1"/>
  <c r="D1313" i="1"/>
  <c r="C1313" i="1"/>
  <c r="B1313" i="1"/>
  <c r="A1313" i="1"/>
  <c r="L1312" i="1"/>
  <c r="K1312" i="1"/>
  <c r="I1312" i="1"/>
  <c r="H1312" i="1"/>
  <c r="G1312" i="1"/>
  <c r="J1312" i="1" s="1"/>
  <c r="F1312" i="1"/>
  <c r="E1312" i="1"/>
  <c r="D1312" i="1"/>
  <c r="C1312" i="1"/>
  <c r="B1312" i="1"/>
  <c r="A1312" i="1"/>
  <c r="L1311" i="1"/>
  <c r="K1311" i="1"/>
  <c r="I1311" i="1"/>
  <c r="H1311" i="1"/>
  <c r="G1311" i="1"/>
  <c r="F1311" i="1"/>
  <c r="E1311" i="1"/>
  <c r="D1311" i="1"/>
  <c r="C1311" i="1"/>
  <c r="B1311" i="1"/>
  <c r="A1311" i="1"/>
  <c r="L1310" i="1"/>
  <c r="K1310" i="1"/>
  <c r="I1310" i="1"/>
  <c r="H1310" i="1"/>
  <c r="G1310" i="1"/>
  <c r="J1310" i="1" s="1"/>
  <c r="F1310" i="1"/>
  <c r="E1310" i="1"/>
  <c r="D1310" i="1"/>
  <c r="C1310" i="1"/>
  <c r="B1310" i="1"/>
  <c r="A1310" i="1"/>
  <c r="L1309" i="1"/>
  <c r="K1309" i="1"/>
  <c r="I1309" i="1"/>
  <c r="H1309" i="1"/>
  <c r="G1309" i="1"/>
  <c r="J1309" i="1" s="1"/>
  <c r="F1309" i="1"/>
  <c r="E1309" i="1"/>
  <c r="D1309" i="1"/>
  <c r="C1309" i="1"/>
  <c r="B1309" i="1"/>
  <c r="A1309" i="1"/>
  <c r="L1308" i="1"/>
  <c r="K1308" i="1"/>
  <c r="I1308" i="1"/>
  <c r="H1308" i="1"/>
  <c r="G1308" i="1"/>
  <c r="F1308" i="1"/>
  <c r="E1308" i="1"/>
  <c r="D1308" i="1"/>
  <c r="C1308" i="1"/>
  <c r="B1308" i="1"/>
  <c r="A1308" i="1"/>
  <c r="L1307" i="1"/>
  <c r="K1307" i="1"/>
  <c r="I1307" i="1"/>
  <c r="H1307" i="1"/>
  <c r="G1307" i="1"/>
  <c r="J1307" i="1" s="1"/>
  <c r="F1307" i="1"/>
  <c r="E1307" i="1"/>
  <c r="D1307" i="1"/>
  <c r="C1307" i="1"/>
  <c r="B1307" i="1"/>
  <c r="A1307" i="1"/>
  <c r="L1306" i="1"/>
  <c r="K1306" i="1"/>
  <c r="I1306" i="1"/>
  <c r="H1306" i="1"/>
  <c r="G1306" i="1"/>
  <c r="F1306" i="1"/>
  <c r="E1306" i="1"/>
  <c r="D1306" i="1"/>
  <c r="C1306" i="1"/>
  <c r="B1306" i="1"/>
  <c r="A1306" i="1"/>
  <c r="L1305" i="1"/>
  <c r="K1305" i="1"/>
  <c r="I1305" i="1"/>
  <c r="H1305" i="1"/>
  <c r="G1305" i="1"/>
  <c r="J1305" i="1" s="1"/>
  <c r="F1305" i="1"/>
  <c r="E1305" i="1"/>
  <c r="D1305" i="1"/>
  <c r="C1305" i="1"/>
  <c r="B1305" i="1"/>
  <c r="A1305" i="1"/>
  <c r="L1304" i="1"/>
  <c r="K1304" i="1"/>
  <c r="I1304" i="1"/>
  <c r="H1304" i="1"/>
  <c r="G1304" i="1"/>
  <c r="J1304" i="1" s="1"/>
  <c r="F1304" i="1"/>
  <c r="E1304" i="1"/>
  <c r="D1304" i="1"/>
  <c r="C1304" i="1"/>
  <c r="B1304" i="1"/>
  <c r="A1304" i="1"/>
  <c r="L1303" i="1"/>
  <c r="K1303" i="1"/>
  <c r="I1303" i="1"/>
  <c r="H1303" i="1"/>
  <c r="G1303" i="1"/>
  <c r="F1303" i="1"/>
  <c r="E1303" i="1"/>
  <c r="D1303" i="1"/>
  <c r="C1303" i="1"/>
  <c r="B1303" i="1"/>
  <c r="A1303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L1301" i="1"/>
  <c r="K1301" i="1"/>
  <c r="I1301" i="1"/>
  <c r="H1301" i="1"/>
  <c r="G1301" i="1"/>
  <c r="J1301" i="1" s="1"/>
  <c r="F1301" i="1"/>
  <c r="E1301" i="1"/>
  <c r="D1301" i="1"/>
  <c r="C1301" i="1"/>
  <c r="B1301" i="1"/>
  <c r="A1301" i="1"/>
  <c r="L1300" i="1"/>
  <c r="K1300" i="1"/>
  <c r="I1300" i="1"/>
  <c r="H1300" i="1"/>
  <c r="G1300" i="1"/>
  <c r="F1300" i="1"/>
  <c r="E1300" i="1"/>
  <c r="D1300" i="1"/>
  <c r="C1300" i="1"/>
  <c r="B1300" i="1"/>
  <c r="A1300" i="1"/>
  <c r="L1299" i="1"/>
  <c r="K1299" i="1"/>
  <c r="I1299" i="1"/>
  <c r="H1299" i="1"/>
  <c r="G1299" i="1"/>
  <c r="J1299" i="1" s="1"/>
  <c r="F1299" i="1"/>
  <c r="E1299" i="1"/>
  <c r="D1299" i="1"/>
  <c r="C1299" i="1"/>
  <c r="B1299" i="1"/>
  <c r="A1299" i="1"/>
  <c r="L1298" i="1"/>
  <c r="K1298" i="1"/>
  <c r="I1298" i="1"/>
  <c r="H1298" i="1"/>
  <c r="G1298" i="1"/>
  <c r="F1298" i="1"/>
  <c r="E1298" i="1"/>
  <c r="D1298" i="1"/>
  <c r="C1298" i="1"/>
  <c r="B1298" i="1"/>
  <c r="A1298" i="1"/>
  <c r="L1297" i="1"/>
  <c r="K1297" i="1"/>
  <c r="I1297" i="1"/>
  <c r="H1297" i="1"/>
  <c r="G1297" i="1"/>
  <c r="J1297" i="1" s="1"/>
  <c r="F1297" i="1"/>
  <c r="E1297" i="1"/>
  <c r="D1297" i="1"/>
  <c r="C1297" i="1"/>
  <c r="B1297" i="1"/>
  <c r="A1297" i="1"/>
  <c r="L1296" i="1"/>
  <c r="K1296" i="1"/>
  <c r="I1296" i="1"/>
  <c r="H1296" i="1"/>
  <c r="G1296" i="1"/>
  <c r="J1296" i="1" s="1"/>
  <c r="F1296" i="1"/>
  <c r="E1296" i="1"/>
  <c r="D1296" i="1"/>
  <c r="C1296" i="1"/>
  <c r="B1296" i="1"/>
  <c r="A1296" i="1"/>
  <c r="L1295" i="1"/>
  <c r="K1295" i="1"/>
  <c r="I1295" i="1"/>
  <c r="H1295" i="1"/>
  <c r="G1295" i="1"/>
  <c r="F1295" i="1"/>
  <c r="E1295" i="1"/>
  <c r="D1295" i="1"/>
  <c r="C1295" i="1"/>
  <c r="B1295" i="1"/>
  <c r="A1295" i="1"/>
  <c r="L1294" i="1"/>
  <c r="K1294" i="1"/>
  <c r="I1294" i="1"/>
  <c r="H1294" i="1"/>
  <c r="G1294" i="1"/>
  <c r="J1294" i="1" s="1"/>
  <c r="F1294" i="1"/>
  <c r="E1294" i="1"/>
  <c r="D1294" i="1"/>
  <c r="C1294" i="1"/>
  <c r="B1294" i="1"/>
  <c r="A1294" i="1"/>
  <c r="L1293" i="1"/>
  <c r="K1293" i="1"/>
  <c r="I1293" i="1"/>
  <c r="H1293" i="1"/>
  <c r="G1293" i="1"/>
  <c r="J1293" i="1" s="1"/>
  <c r="F1293" i="1"/>
  <c r="E1293" i="1"/>
  <c r="D1293" i="1"/>
  <c r="C1293" i="1"/>
  <c r="B1293" i="1"/>
  <c r="A1293" i="1"/>
  <c r="L1292" i="1"/>
  <c r="K1292" i="1"/>
  <c r="I1292" i="1"/>
  <c r="H1292" i="1"/>
  <c r="G1292" i="1"/>
  <c r="F1292" i="1"/>
  <c r="E1292" i="1"/>
  <c r="D1292" i="1"/>
  <c r="C1292" i="1"/>
  <c r="B1292" i="1"/>
  <c r="A1292" i="1"/>
  <c r="L1291" i="1"/>
  <c r="K1291" i="1"/>
  <c r="I1291" i="1"/>
  <c r="H1291" i="1"/>
  <c r="G1291" i="1"/>
  <c r="J1291" i="1" s="1"/>
  <c r="F1291" i="1"/>
  <c r="E1291" i="1"/>
  <c r="D1291" i="1"/>
  <c r="C1291" i="1"/>
  <c r="B1291" i="1"/>
  <c r="A1291" i="1"/>
  <c r="L1290" i="1"/>
  <c r="K1290" i="1"/>
  <c r="I1290" i="1"/>
  <c r="H1290" i="1"/>
  <c r="G1290" i="1"/>
  <c r="F1290" i="1"/>
  <c r="E1290" i="1"/>
  <c r="D1290" i="1"/>
  <c r="C1290" i="1"/>
  <c r="B1290" i="1"/>
  <c r="A1290" i="1"/>
  <c r="L1289" i="1"/>
  <c r="K1289" i="1"/>
  <c r="I1289" i="1"/>
  <c r="H1289" i="1"/>
  <c r="G1289" i="1"/>
  <c r="J1289" i="1" s="1"/>
  <c r="F1289" i="1"/>
  <c r="E1289" i="1"/>
  <c r="D1289" i="1"/>
  <c r="C1289" i="1"/>
  <c r="B1289" i="1"/>
  <c r="A1289" i="1"/>
  <c r="L1288" i="1"/>
  <c r="K1288" i="1"/>
  <c r="I1288" i="1"/>
  <c r="H1288" i="1"/>
  <c r="G1288" i="1"/>
  <c r="J1288" i="1" s="1"/>
  <c r="F1288" i="1"/>
  <c r="E1288" i="1"/>
  <c r="D1288" i="1"/>
  <c r="C1288" i="1"/>
  <c r="B1288" i="1"/>
  <c r="A1288" i="1"/>
  <c r="L1287" i="1"/>
  <c r="K1287" i="1"/>
  <c r="I1287" i="1"/>
  <c r="H1287" i="1"/>
  <c r="G1287" i="1"/>
  <c r="F1287" i="1"/>
  <c r="E1287" i="1"/>
  <c r="D1287" i="1"/>
  <c r="C1287" i="1"/>
  <c r="B1287" i="1"/>
  <c r="A1287" i="1"/>
  <c r="L1286" i="1"/>
  <c r="K1286" i="1"/>
  <c r="I1286" i="1"/>
  <c r="H1286" i="1"/>
  <c r="G1286" i="1"/>
  <c r="J1286" i="1" s="1"/>
  <c r="F1286" i="1"/>
  <c r="E1286" i="1"/>
  <c r="D1286" i="1"/>
  <c r="C1286" i="1"/>
  <c r="B1286" i="1"/>
  <c r="A1286" i="1"/>
  <c r="L1285" i="1"/>
  <c r="K1285" i="1"/>
  <c r="I1285" i="1"/>
  <c r="H1285" i="1"/>
  <c r="G1285" i="1"/>
  <c r="J1285" i="1" s="1"/>
  <c r="F1285" i="1"/>
  <c r="E1285" i="1"/>
  <c r="D1285" i="1"/>
  <c r="C1285" i="1"/>
  <c r="B1285" i="1"/>
  <c r="A1285" i="1"/>
  <c r="L1284" i="1"/>
  <c r="K1284" i="1"/>
  <c r="I1284" i="1"/>
  <c r="H1284" i="1"/>
  <c r="G1284" i="1"/>
  <c r="F1284" i="1"/>
  <c r="E1284" i="1"/>
  <c r="D1284" i="1"/>
  <c r="C1284" i="1"/>
  <c r="B1284" i="1"/>
  <c r="A1284" i="1"/>
  <c r="L1283" i="1"/>
  <c r="K1283" i="1"/>
  <c r="I1283" i="1"/>
  <c r="H1283" i="1"/>
  <c r="G1283" i="1"/>
  <c r="J1283" i="1" s="1"/>
  <c r="F1283" i="1"/>
  <c r="E1283" i="1"/>
  <c r="D1283" i="1"/>
  <c r="C1283" i="1"/>
  <c r="B1283" i="1"/>
  <c r="A1283" i="1"/>
  <c r="L1282" i="1"/>
  <c r="K1282" i="1"/>
  <c r="I1282" i="1"/>
  <c r="H1282" i="1"/>
  <c r="G1282" i="1"/>
  <c r="F1282" i="1"/>
  <c r="E1282" i="1"/>
  <c r="D1282" i="1"/>
  <c r="C1282" i="1"/>
  <c r="B1282" i="1"/>
  <c r="A1282" i="1"/>
  <c r="L1281" i="1"/>
  <c r="K1281" i="1"/>
  <c r="I1281" i="1"/>
  <c r="H1281" i="1"/>
  <c r="G1281" i="1"/>
  <c r="J1281" i="1" s="1"/>
  <c r="F1281" i="1"/>
  <c r="E1281" i="1"/>
  <c r="D1281" i="1"/>
  <c r="C1281" i="1"/>
  <c r="B1281" i="1"/>
  <c r="A1281" i="1"/>
  <c r="L1280" i="1"/>
  <c r="K1280" i="1"/>
  <c r="I1280" i="1"/>
  <c r="H1280" i="1"/>
  <c r="G1280" i="1"/>
  <c r="J1280" i="1" s="1"/>
  <c r="F1280" i="1"/>
  <c r="E1280" i="1"/>
  <c r="D1280" i="1"/>
  <c r="C1280" i="1"/>
  <c r="B1280" i="1"/>
  <c r="A1280" i="1"/>
  <c r="L1279" i="1"/>
  <c r="K1279" i="1"/>
  <c r="I1279" i="1"/>
  <c r="H1279" i="1"/>
  <c r="G1279" i="1"/>
  <c r="F1279" i="1"/>
  <c r="E1279" i="1"/>
  <c r="D1279" i="1"/>
  <c r="C1279" i="1"/>
  <c r="B1279" i="1"/>
  <c r="A1279" i="1"/>
  <c r="L1278" i="1"/>
  <c r="K1278" i="1"/>
  <c r="I1278" i="1"/>
  <c r="H1278" i="1"/>
  <c r="G1278" i="1"/>
  <c r="J1278" i="1" s="1"/>
  <c r="F1278" i="1"/>
  <c r="E1278" i="1"/>
  <c r="D1278" i="1"/>
  <c r="C1278" i="1"/>
  <c r="B1278" i="1"/>
  <c r="A1278" i="1"/>
  <c r="L1277" i="1"/>
  <c r="K1277" i="1"/>
  <c r="I1277" i="1"/>
  <c r="H1277" i="1"/>
  <c r="G1277" i="1"/>
  <c r="J1277" i="1" s="1"/>
  <c r="F1277" i="1"/>
  <c r="E1277" i="1"/>
  <c r="D1277" i="1"/>
  <c r="C1277" i="1"/>
  <c r="B1277" i="1"/>
  <c r="A1277" i="1"/>
  <c r="L1276" i="1"/>
  <c r="K1276" i="1"/>
  <c r="I1276" i="1"/>
  <c r="H1276" i="1"/>
  <c r="G1276" i="1"/>
  <c r="F1276" i="1"/>
  <c r="E1276" i="1"/>
  <c r="D1276" i="1"/>
  <c r="C1276" i="1"/>
  <c r="B1276" i="1"/>
  <c r="A1276" i="1"/>
  <c r="L1275" i="1"/>
  <c r="K1275" i="1"/>
  <c r="I1275" i="1"/>
  <c r="H1275" i="1"/>
  <c r="G1275" i="1"/>
  <c r="J1275" i="1" s="1"/>
  <c r="F1275" i="1"/>
  <c r="E1275" i="1"/>
  <c r="D1275" i="1"/>
  <c r="C1275" i="1"/>
  <c r="B1275" i="1"/>
  <c r="A1275" i="1"/>
  <c r="L1274" i="1"/>
  <c r="K1274" i="1"/>
  <c r="I1274" i="1"/>
  <c r="H1274" i="1"/>
  <c r="G1274" i="1"/>
  <c r="F1274" i="1"/>
  <c r="E1274" i="1"/>
  <c r="D1274" i="1"/>
  <c r="C1274" i="1"/>
  <c r="B1274" i="1"/>
  <c r="A1274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L1272" i="1"/>
  <c r="K1272" i="1"/>
  <c r="I1272" i="1"/>
  <c r="H1272" i="1"/>
  <c r="G1272" i="1"/>
  <c r="J1272" i="1" s="1"/>
  <c r="F1272" i="1"/>
  <c r="E1272" i="1"/>
  <c r="D1272" i="1"/>
  <c r="C1272" i="1"/>
  <c r="B1272" i="1"/>
  <c r="A1272" i="1"/>
  <c r="L1271" i="1"/>
  <c r="K1271" i="1"/>
  <c r="I1271" i="1"/>
  <c r="H1271" i="1"/>
  <c r="G1271" i="1"/>
  <c r="F1271" i="1"/>
  <c r="E1271" i="1"/>
  <c r="D1271" i="1"/>
  <c r="C1271" i="1"/>
  <c r="B1271" i="1"/>
  <c r="A1271" i="1"/>
  <c r="L1270" i="1"/>
  <c r="K1270" i="1"/>
  <c r="I1270" i="1"/>
  <c r="H1270" i="1"/>
  <c r="G1270" i="1"/>
  <c r="J1270" i="1" s="1"/>
  <c r="F1270" i="1"/>
  <c r="E1270" i="1"/>
  <c r="D1270" i="1"/>
  <c r="C1270" i="1"/>
  <c r="B1270" i="1"/>
  <c r="A1270" i="1"/>
  <c r="L1269" i="1"/>
  <c r="K1269" i="1"/>
  <c r="I1269" i="1"/>
  <c r="H1269" i="1"/>
  <c r="G1269" i="1"/>
  <c r="J1269" i="1" s="1"/>
  <c r="F1269" i="1"/>
  <c r="E1269" i="1"/>
  <c r="D1269" i="1"/>
  <c r="C1269" i="1"/>
  <c r="B1269" i="1"/>
  <c r="A1269" i="1"/>
  <c r="L1268" i="1"/>
  <c r="K1268" i="1"/>
  <c r="I1268" i="1"/>
  <c r="H1268" i="1"/>
  <c r="G1268" i="1"/>
  <c r="F1268" i="1"/>
  <c r="E1268" i="1"/>
  <c r="D1268" i="1"/>
  <c r="C1268" i="1"/>
  <c r="B1268" i="1"/>
  <c r="A1268" i="1"/>
  <c r="L1267" i="1"/>
  <c r="K1267" i="1"/>
  <c r="I1267" i="1"/>
  <c r="H1267" i="1"/>
  <c r="G1267" i="1"/>
  <c r="J1267" i="1" s="1"/>
  <c r="F1267" i="1"/>
  <c r="E1267" i="1"/>
  <c r="D1267" i="1"/>
  <c r="C1267" i="1"/>
  <c r="B1267" i="1"/>
  <c r="A1267" i="1"/>
  <c r="L1266" i="1"/>
  <c r="K1266" i="1"/>
  <c r="I1266" i="1"/>
  <c r="H1266" i="1"/>
  <c r="G1266" i="1"/>
  <c r="F1266" i="1"/>
  <c r="E1266" i="1"/>
  <c r="D1266" i="1"/>
  <c r="C1266" i="1"/>
  <c r="B1266" i="1"/>
  <c r="A1266" i="1"/>
  <c r="L1265" i="1"/>
  <c r="K1265" i="1"/>
  <c r="I1265" i="1"/>
  <c r="H1265" i="1"/>
  <c r="G1265" i="1"/>
  <c r="J1265" i="1" s="1"/>
  <c r="F1265" i="1"/>
  <c r="E1265" i="1"/>
  <c r="D1265" i="1"/>
  <c r="C1265" i="1"/>
  <c r="B1265" i="1"/>
  <c r="A1265" i="1"/>
  <c r="L1264" i="1"/>
  <c r="K1264" i="1"/>
  <c r="I1264" i="1"/>
  <c r="H1264" i="1"/>
  <c r="G1264" i="1"/>
  <c r="J1264" i="1" s="1"/>
  <c r="F1264" i="1"/>
  <c r="E1264" i="1"/>
  <c r="D1264" i="1"/>
  <c r="C1264" i="1"/>
  <c r="B1264" i="1"/>
  <c r="A1264" i="1"/>
  <c r="L1263" i="1"/>
  <c r="K1263" i="1"/>
  <c r="I1263" i="1"/>
  <c r="H1263" i="1"/>
  <c r="G1263" i="1"/>
  <c r="F1263" i="1"/>
  <c r="E1263" i="1"/>
  <c r="D1263" i="1"/>
  <c r="C1263" i="1"/>
  <c r="B1263" i="1"/>
  <c r="A1263" i="1"/>
  <c r="L1262" i="1"/>
  <c r="K1262" i="1"/>
  <c r="I1262" i="1"/>
  <c r="H1262" i="1"/>
  <c r="G1262" i="1"/>
  <c r="J1262" i="1" s="1"/>
  <c r="F1262" i="1"/>
  <c r="E1262" i="1"/>
  <c r="D1262" i="1"/>
  <c r="C1262" i="1"/>
  <c r="B1262" i="1"/>
  <c r="A1262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L1260" i="1"/>
  <c r="K1260" i="1"/>
  <c r="I1260" i="1"/>
  <c r="H1260" i="1"/>
  <c r="G1260" i="1"/>
  <c r="F1260" i="1"/>
  <c r="E1260" i="1"/>
  <c r="D1260" i="1"/>
  <c r="C1260" i="1"/>
  <c r="B1260" i="1"/>
  <c r="A1260" i="1"/>
  <c r="L1259" i="1"/>
  <c r="K1259" i="1"/>
  <c r="I1259" i="1"/>
  <c r="H1259" i="1"/>
  <c r="G1259" i="1"/>
  <c r="J1259" i="1" s="1"/>
  <c r="F1259" i="1"/>
  <c r="E1259" i="1"/>
  <c r="D1259" i="1"/>
  <c r="C1259" i="1"/>
  <c r="B1259" i="1"/>
  <c r="A1259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L1257" i="1"/>
  <c r="K1257" i="1"/>
  <c r="I1257" i="1"/>
  <c r="H1257" i="1"/>
  <c r="G1257" i="1"/>
  <c r="J1257" i="1" s="1"/>
  <c r="F1257" i="1"/>
  <c r="E1257" i="1"/>
  <c r="D1257" i="1"/>
  <c r="C1257" i="1"/>
  <c r="B1257" i="1"/>
  <c r="A1257" i="1"/>
  <c r="L1256" i="1"/>
  <c r="K1256" i="1"/>
  <c r="I1256" i="1"/>
  <c r="H1256" i="1"/>
  <c r="G1256" i="1"/>
  <c r="J1256" i="1" s="1"/>
  <c r="F1256" i="1"/>
  <c r="E1256" i="1"/>
  <c r="D1256" i="1"/>
  <c r="C1256" i="1"/>
  <c r="B1256" i="1"/>
  <c r="A1256" i="1"/>
  <c r="L1255" i="1"/>
  <c r="K1255" i="1"/>
  <c r="I1255" i="1"/>
  <c r="H1255" i="1"/>
  <c r="G1255" i="1"/>
  <c r="F1255" i="1"/>
  <c r="E1255" i="1"/>
  <c r="D1255" i="1"/>
  <c r="C1255" i="1"/>
  <c r="B1255" i="1"/>
  <c r="A1255" i="1"/>
  <c r="L1254" i="1"/>
  <c r="K1254" i="1"/>
  <c r="I1254" i="1"/>
  <c r="H1254" i="1"/>
  <c r="G1254" i="1"/>
  <c r="J1254" i="1" s="1"/>
  <c r="F1254" i="1"/>
  <c r="E1254" i="1"/>
  <c r="D1254" i="1"/>
  <c r="C1254" i="1"/>
  <c r="B1254" i="1"/>
  <c r="A1254" i="1"/>
  <c r="L1253" i="1"/>
  <c r="K1253" i="1"/>
  <c r="I1253" i="1"/>
  <c r="H1253" i="1"/>
  <c r="G1253" i="1"/>
  <c r="J1253" i="1" s="1"/>
  <c r="F1253" i="1"/>
  <c r="E1253" i="1"/>
  <c r="D1253" i="1"/>
  <c r="C1253" i="1"/>
  <c r="B1253" i="1"/>
  <c r="A1253" i="1"/>
  <c r="L1252" i="1"/>
  <c r="K1252" i="1"/>
  <c r="I1252" i="1"/>
  <c r="H1252" i="1"/>
  <c r="G1252" i="1"/>
  <c r="F1252" i="1"/>
  <c r="E1252" i="1"/>
  <c r="D1252" i="1"/>
  <c r="C1252" i="1"/>
  <c r="B1252" i="1"/>
  <c r="A1252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L1250" i="1"/>
  <c r="K1250" i="1"/>
  <c r="I1250" i="1"/>
  <c r="H1250" i="1"/>
  <c r="G1250" i="1"/>
  <c r="J1250" i="1" s="1"/>
  <c r="F1250" i="1"/>
  <c r="E1250" i="1"/>
  <c r="D1250" i="1"/>
  <c r="C1250" i="1"/>
  <c r="B1250" i="1"/>
  <c r="A1250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L1248" i="1"/>
  <c r="K1248" i="1"/>
  <c r="I1248" i="1"/>
  <c r="H1248" i="1"/>
  <c r="G1248" i="1"/>
  <c r="J1248" i="1" s="1"/>
  <c r="F1248" i="1"/>
  <c r="E1248" i="1"/>
  <c r="D1248" i="1"/>
  <c r="C1248" i="1"/>
  <c r="B1248" i="1"/>
  <c r="A1248" i="1"/>
  <c r="L1247" i="1"/>
  <c r="K1247" i="1"/>
  <c r="I1247" i="1"/>
  <c r="H1247" i="1"/>
  <c r="G1247" i="1"/>
  <c r="F1247" i="1"/>
  <c r="E1247" i="1"/>
  <c r="D1247" i="1"/>
  <c r="C1247" i="1"/>
  <c r="B1247" i="1"/>
  <c r="A1247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L1245" i="1"/>
  <c r="K1245" i="1"/>
  <c r="I1245" i="1"/>
  <c r="H1245" i="1"/>
  <c r="G1245" i="1"/>
  <c r="J1245" i="1" s="1"/>
  <c r="F1245" i="1"/>
  <c r="E1245" i="1"/>
  <c r="D1245" i="1"/>
  <c r="C1245" i="1"/>
  <c r="B1245" i="1"/>
  <c r="A1245" i="1"/>
  <c r="L1244" i="1"/>
  <c r="K1244" i="1"/>
  <c r="I1244" i="1"/>
  <c r="H1244" i="1"/>
  <c r="G1244" i="1"/>
  <c r="F1244" i="1"/>
  <c r="E1244" i="1"/>
  <c r="D1244" i="1"/>
  <c r="C1244" i="1"/>
  <c r="B1244" i="1"/>
  <c r="A1244" i="1"/>
  <c r="L1243" i="1"/>
  <c r="K1243" i="1"/>
  <c r="I1243" i="1"/>
  <c r="H1243" i="1"/>
  <c r="G1243" i="1"/>
  <c r="J1243" i="1" s="1"/>
  <c r="F1243" i="1"/>
  <c r="E1243" i="1"/>
  <c r="D1243" i="1"/>
  <c r="C1243" i="1"/>
  <c r="B1243" i="1"/>
  <c r="A1243" i="1"/>
  <c r="L1242" i="1"/>
  <c r="K1242" i="1"/>
  <c r="I1242" i="1"/>
  <c r="H1242" i="1"/>
  <c r="G1242" i="1"/>
  <c r="F1242" i="1"/>
  <c r="E1242" i="1"/>
  <c r="D1242" i="1"/>
  <c r="C1242" i="1"/>
  <c r="B1242" i="1"/>
  <c r="A1242" i="1"/>
  <c r="L1241" i="1"/>
  <c r="K1241" i="1"/>
  <c r="I1241" i="1"/>
  <c r="H1241" i="1"/>
  <c r="G1241" i="1"/>
  <c r="J1241" i="1" s="1"/>
  <c r="F1241" i="1"/>
  <c r="E1241" i="1"/>
  <c r="D1241" i="1"/>
  <c r="C1241" i="1"/>
  <c r="B1241" i="1"/>
  <c r="A1241" i="1"/>
  <c r="L1240" i="1"/>
  <c r="K1240" i="1"/>
  <c r="I1240" i="1"/>
  <c r="H1240" i="1"/>
  <c r="G1240" i="1"/>
  <c r="J1240" i="1" s="1"/>
  <c r="F1240" i="1"/>
  <c r="E1240" i="1"/>
  <c r="D1240" i="1"/>
  <c r="C1240" i="1"/>
  <c r="B1240" i="1"/>
  <c r="A1240" i="1"/>
  <c r="L1239" i="1"/>
  <c r="K1239" i="1"/>
  <c r="I1239" i="1"/>
  <c r="H1239" i="1"/>
  <c r="G1239" i="1"/>
  <c r="F1239" i="1"/>
  <c r="E1239" i="1"/>
  <c r="D1239" i="1"/>
  <c r="C1239" i="1"/>
  <c r="B1239" i="1"/>
  <c r="A1239" i="1"/>
  <c r="L1238" i="1"/>
  <c r="K1238" i="1"/>
  <c r="I1238" i="1"/>
  <c r="H1238" i="1"/>
  <c r="G1238" i="1"/>
  <c r="J1238" i="1" s="1"/>
  <c r="F1238" i="1"/>
  <c r="E1238" i="1"/>
  <c r="D1238" i="1"/>
  <c r="C1238" i="1"/>
  <c r="B1238" i="1"/>
  <c r="A1238" i="1"/>
  <c r="L1237" i="1"/>
  <c r="K1237" i="1"/>
  <c r="I1237" i="1"/>
  <c r="H1237" i="1"/>
  <c r="G1237" i="1"/>
  <c r="J1237" i="1" s="1"/>
  <c r="F1237" i="1"/>
  <c r="E1237" i="1"/>
  <c r="D1237" i="1"/>
  <c r="C1237" i="1"/>
  <c r="B1237" i="1"/>
  <c r="A1237" i="1"/>
  <c r="L1236" i="1"/>
  <c r="K1236" i="1"/>
  <c r="I1236" i="1"/>
  <c r="H1236" i="1"/>
  <c r="G1236" i="1"/>
  <c r="F1236" i="1"/>
  <c r="E1236" i="1"/>
  <c r="D1236" i="1"/>
  <c r="C1236" i="1"/>
  <c r="B1236" i="1"/>
  <c r="A1236" i="1"/>
  <c r="L1235" i="1"/>
  <c r="K1235" i="1"/>
  <c r="I1235" i="1"/>
  <c r="H1235" i="1"/>
  <c r="G1235" i="1"/>
  <c r="J1235" i="1" s="1"/>
  <c r="F1235" i="1"/>
  <c r="E1235" i="1"/>
  <c r="D1235" i="1"/>
  <c r="C1235" i="1"/>
  <c r="B1235" i="1"/>
  <c r="A1235" i="1"/>
  <c r="L1234" i="1"/>
  <c r="K1234" i="1"/>
  <c r="I1234" i="1"/>
  <c r="H1234" i="1"/>
  <c r="G1234" i="1"/>
  <c r="J1234" i="1" s="1"/>
  <c r="F1234" i="1"/>
  <c r="E1234" i="1"/>
  <c r="D1234" i="1"/>
  <c r="C1234" i="1"/>
  <c r="B1234" i="1"/>
  <c r="A1234" i="1"/>
  <c r="L1233" i="1"/>
  <c r="K1233" i="1"/>
  <c r="I1233" i="1"/>
  <c r="H1233" i="1"/>
  <c r="G1233" i="1"/>
  <c r="J1233" i="1" s="1"/>
  <c r="F1233" i="1"/>
  <c r="E1233" i="1"/>
  <c r="D1233" i="1"/>
  <c r="C1233" i="1"/>
  <c r="B1233" i="1"/>
  <c r="A1233" i="1"/>
  <c r="L1232" i="1"/>
  <c r="K1232" i="1"/>
  <c r="I1232" i="1"/>
  <c r="H1232" i="1"/>
  <c r="G1232" i="1"/>
  <c r="J1232" i="1" s="1"/>
  <c r="F1232" i="1"/>
  <c r="E1232" i="1"/>
  <c r="D1232" i="1"/>
  <c r="C1232" i="1"/>
  <c r="B1232" i="1"/>
  <c r="A1232" i="1"/>
  <c r="L1231" i="1"/>
  <c r="K1231" i="1"/>
  <c r="I1231" i="1"/>
  <c r="H1231" i="1"/>
  <c r="G1231" i="1"/>
  <c r="F1231" i="1"/>
  <c r="E1231" i="1"/>
  <c r="D1231" i="1"/>
  <c r="C1231" i="1"/>
  <c r="B1231" i="1"/>
  <c r="A1231" i="1"/>
  <c r="L1230" i="1"/>
  <c r="K1230" i="1"/>
  <c r="I1230" i="1"/>
  <c r="H1230" i="1"/>
  <c r="G1230" i="1"/>
  <c r="J1230" i="1" s="1"/>
  <c r="F1230" i="1"/>
  <c r="E1230" i="1"/>
  <c r="D1230" i="1"/>
  <c r="C1230" i="1"/>
  <c r="B1230" i="1"/>
  <c r="A1230" i="1"/>
  <c r="L1229" i="1"/>
  <c r="K1229" i="1"/>
  <c r="I1229" i="1"/>
  <c r="H1229" i="1"/>
  <c r="G1229" i="1"/>
  <c r="J1229" i="1" s="1"/>
  <c r="F1229" i="1"/>
  <c r="E1229" i="1"/>
  <c r="D1229" i="1"/>
  <c r="C1229" i="1"/>
  <c r="B1229" i="1"/>
  <c r="A1229" i="1"/>
  <c r="L1228" i="1"/>
  <c r="K1228" i="1"/>
  <c r="I1228" i="1"/>
  <c r="H1228" i="1"/>
  <c r="G1228" i="1"/>
  <c r="F1228" i="1"/>
  <c r="E1228" i="1"/>
  <c r="D1228" i="1"/>
  <c r="C1228" i="1"/>
  <c r="B1228" i="1"/>
  <c r="A1228" i="1"/>
  <c r="L1227" i="1"/>
  <c r="K1227" i="1"/>
  <c r="I1227" i="1"/>
  <c r="H1227" i="1"/>
  <c r="G1227" i="1"/>
  <c r="J1227" i="1" s="1"/>
  <c r="F1227" i="1"/>
  <c r="E1227" i="1"/>
  <c r="D1227" i="1"/>
  <c r="C1227" i="1"/>
  <c r="B1227" i="1"/>
  <c r="A1227" i="1"/>
  <c r="L1226" i="1"/>
  <c r="K1226" i="1"/>
  <c r="I1226" i="1"/>
  <c r="H1226" i="1"/>
  <c r="G1226" i="1"/>
  <c r="J1226" i="1" s="1"/>
  <c r="F1226" i="1"/>
  <c r="E1226" i="1"/>
  <c r="D1226" i="1"/>
  <c r="C1226" i="1"/>
  <c r="B1226" i="1"/>
  <c r="A1226" i="1"/>
  <c r="L1225" i="1"/>
  <c r="K1225" i="1"/>
  <c r="I1225" i="1"/>
  <c r="H1225" i="1"/>
  <c r="G1225" i="1"/>
  <c r="J1225" i="1" s="1"/>
  <c r="F1225" i="1"/>
  <c r="E1225" i="1"/>
  <c r="D1225" i="1"/>
  <c r="C1225" i="1"/>
  <c r="B1225" i="1"/>
  <c r="A1225" i="1"/>
  <c r="L1224" i="1"/>
  <c r="K1224" i="1"/>
  <c r="I1224" i="1"/>
  <c r="H1224" i="1"/>
  <c r="G1224" i="1"/>
  <c r="J1224" i="1" s="1"/>
  <c r="F1224" i="1"/>
  <c r="E1224" i="1"/>
  <c r="D1224" i="1"/>
  <c r="C1224" i="1"/>
  <c r="B1224" i="1"/>
  <c r="A1224" i="1"/>
  <c r="L1223" i="1"/>
  <c r="K1223" i="1"/>
  <c r="I1223" i="1"/>
  <c r="H1223" i="1"/>
  <c r="G1223" i="1"/>
  <c r="F1223" i="1"/>
  <c r="E1223" i="1"/>
  <c r="D1223" i="1"/>
  <c r="C1223" i="1"/>
  <c r="B1223" i="1"/>
  <c r="A1223" i="1"/>
  <c r="L1222" i="1"/>
  <c r="K1222" i="1"/>
  <c r="I1222" i="1"/>
  <c r="H1222" i="1"/>
  <c r="G1222" i="1"/>
  <c r="J1222" i="1" s="1"/>
  <c r="F1222" i="1"/>
  <c r="E1222" i="1"/>
  <c r="D1222" i="1"/>
  <c r="C1222" i="1"/>
  <c r="B1222" i="1"/>
  <c r="A1222" i="1"/>
  <c r="L1221" i="1"/>
  <c r="K1221" i="1"/>
  <c r="I1221" i="1"/>
  <c r="H1221" i="1"/>
  <c r="G1221" i="1"/>
  <c r="J1221" i="1" s="1"/>
  <c r="F1221" i="1"/>
  <c r="E1221" i="1"/>
  <c r="D1221" i="1"/>
  <c r="C1221" i="1"/>
  <c r="B1221" i="1"/>
  <c r="A1221" i="1"/>
  <c r="L1220" i="1"/>
  <c r="K1220" i="1"/>
  <c r="I1220" i="1"/>
  <c r="H1220" i="1"/>
  <c r="G1220" i="1"/>
  <c r="F1220" i="1"/>
  <c r="E1220" i="1"/>
  <c r="D1220" i="1"/>
  <c r="C1220" i="1"/>
  <c r="B1220" i="1"/>
  <c r="A1220" i="1"/>
  <c r="L1219" i="1"/>
  <c r="K1219" i="1"/>
  <c r="I1219" i="1"/>
  <c r="H1219" i="1"/>
  <c r="G1219" i="1"/>
  <c r="J1219" i="1" s="1"/>
  <c r="F1219" i="1"/>
  <c r="E1219" i="1"/>
  <c r="D1219" i="1"/>
  <c r="C1219" i="1"/>
  <c r="B1219" i="1"/>
  <c r="A1219" i="1"/>
  <c r="L1218" i="1"/>
  <c r="K1218" i="1"/>
  <c r="I1218" i="1"/>
  <c r="H1218" i="1"/>
  <c r="G1218" i="1"/>
  <c r="J1218" i="1" s="1"/>
  <c r="F1218" i="1"/>
  <c r="E1218" i="1"/>
  <c r="D1218" i="1"/>
  <c r="C1218" i="1"/>
  <c r="B1218" i="1"/>
  <c r="A1218" i="1"/>
  <c r="L1217" i="1"/>
  <c r="K1217" i="1"/>
  <c r="I1217" i="1"/>
  <c r="H1217" i="1"/>
  <c r="G1217" i="1"/>
  <c r="J1217" i="1" s="1"/>
  <c r="F1217" i="1"/>
  <c r="E1217" i="1"/>
  <c r="D1217" i="1"/>
  <c r="C1217" i="1"/>
  <c r="B1217" i="1"/>
  <c r="A1217" i="1"/>
  <c r="L1216" i="1"/>
  <c r="K1216" i="1"/>
  <c r="I1216" i="1"/>
  <c r="H1216" i="1"/>
  <c r="G1216" i="1"/>
  <c r="J1216" i="1" s="1"/>
  <c r="F1216" i="1"/>
  <c r="E1216" i="1"/>
  <c r="D1216" i="1"/>
  <c r="C1216" i="1"/>
  <c r="B1216" i="1"/>
  <c r="A1216" i="1"/>
  <c r="L1215" i="1"/>
  <c r="K1215" i="1"/>
  <c r="I1215" i="1"/>
  <c r="H1215" i="1"/>
  <c r="G1215" i="1"/>
  <c r="F1215" i="1"/>
  <c r="E1215" i="1"/>
  <c r="D1215" i="1"/>
  <c r="C1215" i="1"/>
  <c r="B1215" i="1"/>
  <c r="A1215" i="1"/>
  <c r="L1214" i="1"/>
  <c r="K1214" i="1"/>
  <c r="I1214" i="1"/>
  <c r="H1214" i="1"/>
  <c r="G1214" i="1"/>
  <c r="J1214" i="1" s="1"/>
  <c r="F1214" i="1"/>
  <c r="E1214" i="1"/>
  <c r="D1214" i="1"/>
  <c r="C1214" i="1"/>
  <c r="B1214" i="1"/>
  <c r="A1214" i="1"/>
  <c r="L1213" i="1"/>
  <c r="K1213" i="1"/>
  <c r="I1213" i="1"/>
  <c r="H1213" i="1"/>
  <c r="G1213" i="1"/>
  <c r="J1213" i="1" s="1"/>
  <c r="F1213" i="1"/>
  <c r="E1213" i="1"/>
  <c r="D1213" i="1"/>
  <c r="C1213" i="1"/>
  <c r="B1213" i="1"/>
  <c r="A1213" i="1"/>
  <c r="L1212" i="1"/>
  <c r="K1212" i="1"/>
  <c r="I1212" i="1"/>
  <c r="H1212" i="1"/>
  <c r="G1212" i="1"/>
  <c r="F1212" i="1"/>
  <c r="E1212" i="1"/>
  <c r="D1212" i="1"/>
  <c r="C1212" i="1"/>
  <c r="B1212" i="1"/>
  <c r="A1212" i="1"/>
  <c r="L1211" i="1"/>
  <c r="K1211" i="1"/>
  <c r="I1211" i="1"/>
  <c r="H1211" i="1"/>
  <c r="G1211" i="1"/>
  <c r="J1211" i="1" s="1"/>
  <c r="F1211" i="1"/>
  <c r="E1211" i="1"/>
  <c r="D1211" i="1"/>
  <c r="C1211" i="1"/>
  <c r="B1211" i="1"/>
  <c r="A1211" i="1"/>
  <c r="L1210" i="1"/>
  <c r="K1210" i="1"/>
  <c r="I1210" i="1"/>
  <c r="H1210" i="1"/>
  <c r="G1210" i="1"/>
  <c r="J1210" i="1" s="1"/>
  <c r="F1210" i="1"/>
  <c r="E1210" i="1"/>
  <c r="D1210" i="1"/>
  <c r="C1210" i="1"/>
  <c r="B1210" i="1"/>
  <c r="A1210" i="1"/>
  <c r="L1209" i="1"/>
  <c r="K1209" i="1"/>
  <c r="I1209" i="1"/>
  <c r="H1209" i="1"/>
  <c r="G1209" i="1"/>
  <c r="J1209" i="1" s="1"/>
  <c r="F1209" i="1"/>
  <c r="E1209" i="1"/>
  <c r="D1209" i="1"/>
  <c r="C1209" i="1"/>
  <c r="B1209" i="1"/>
  <c r="A1209" i="1"/>
  <c r="L1208" i="1"/>
  <c r="K1208" i="1"/>
  <c r="I1208" i="1"/>
  <c r="H1208" i="1"/>
  <c r="G1208" i="1"/>
  <c r="J1208" i="1" s="1"/>
  <c r="F1208" i="1"/>
  <c r="E1208" i="1"/>
  <c r="D1208" i="1"/>
  <c r="C1208" i="1"/>
  <c r="B1208" i="1"/>
  <c r="A1208" i="1"/>
  <c r="L1207" i="1"/>
  <c r="K1207" i="1"/>
  <c r="I1207" i="1"/>
  <c r="H1207" i="1"/>
  <c r="G1207" i="1"/>
  <c r="F1207" i="1"/>
  <c r="E1207" i="1"/>
  <c r="D1207" i="1"/>
  <c r="C1207" i="1"/>
  <c r="B1207" i="1"/>
  <c r="A1207" i="1"/>
  <c r="L1206" i="1"/>
  <c r="K1206" i="1"/>
  <c r="I1206" i="1"/>
  <c r="H1206" i="1"/>
  <c r="G1206" i="1"/>
  <c r="J1206" i="1" s="1"/>
  <c r="F1206" i="1"/>
  <c r="E1206" i="1"/>
  <c r="D1206" i="1"/>
  <c r="C1206" i="1"/>
  <c r="B1206" i="1"/>
  <c r="A1206" i="1"/>
  <c r="L1205" i="1"/>
  <c r="K1205" i="1"/>
  <c r="I1205" i="1"/>
  <c r="H1205" i="1"/>
  <c r="G1205" i="1"/>
  <c r="J1205" i="1" s="1"/>
  <c r="F1205" i="1"/>
  <c r="E1205" i="1"/>
  <c r="D1205" i="1"/>
  <c r="C1205" i="1"/>
  <c r="B1205" i="1"/>
  <c r="A1205" i="1"/>
  <c r="L1204" i="1"/>
  <c r="K1204" i="1"/>
  <c r="I1204" i="1"/>
  <c r="H1204" i="1"/>
  <c r="G1204" i="1"/>
  <c r="F1204" i="1"/>
  <c r="E1204" i="1"/>
  <c r="D1204" i="1"/>
  <c r="C1204" i="1"/>
  <c r="B1204" i="1"/>
  <c r="A1204" i="1"/>
  <c r="L1203" i="1"/>
  <c r="K1203" i="1"/>
  <c r="I1203" i="1"/>
  <c r="H1203" i="1"/>
  <c r="G1203" i="1"/>
  <c r="J1203" i="1" s="1"/>
  <c r="F1203" i="1"/>
  <c r="E1203" i="1"/>
  <c r="D1203" i="1"/>
  <c r="C1203" i="1"/>
  <c r="B1203" i="1"/>
  <c r="A1203" i="1"/>
  <c r="L1202" i="1"/>
  <c r="K1202" i="1"/>
  <c r="I1202" i="1"/>
  <c r="H1202" i="1"/>
  <c r="G1202" i="1"/>
  <c r="J1202" i="1" s="1"/>
  <c r="F1202" i="1"/>
  <c r="E1202" i="1"/>
  <c r="D1202" i="1"/>
  <c r="C1202" i="1"/>
  <c r="B1202" i="1"/>
  <c r="A1202" i="1"/>
  <c r="L1201" i="1"/>
  <c r="K1201" i="1"/>
  <c r="I1201" i="1"/>
  <c r="H1201" i="1"/>
  <c r="G1201" i="1"/>
  <c r="J1201" i="1" s="1"/>
  <c r="F1201" i="1"/>
  <c r="E1201" i="1"/>
  <c r="D1201" i="1"/>
  <c r="C1201" i="1"/>
  <c r="B1201" i="1"/>
  <c r="A1201" i="1"/>
  <c r="L1200" i="1"/>
  <c r="K1200" i="1"/>
  <c r="I1200" i="1"/>
  <c r="H1200" i="1"/>
  <c r="G1200" i="1"/>
  <c r="J1200" i="1" s="1"/>
  <c r="F1200" i="1"/>
  <c r="E1200" i="1"/>
  <c r="D1200" i="1"/>
  <c r="C1200" i="1"/>
  <c r="B1200" i="1"/>
  <c r="A1200" i="1"/>
  <c r="L1199" i="1"/>
  <c r="K1199" i="1"/>
  <c r="I1199" i="1"/>
  <c r="H1199" i="1"/>
  <c r="G1199" i="1"/>
  <c r="F1199" i="1"/>
  <c r="E1199" i="1"/>
  <c r="D1199" i="1"/>
  <c r="C1199" i="1"/>
  <c r="B1199" i="1"/>
  <c r="A1199" i="1"/>
  <c r="L1198" i="1"/>
  <c r="K1198" i="1"/>
  <c r="I1198" i="1"/>
  <c r="H1198" i="1"/>
  <c r="G1198" i="1"/>
  <c r="J1198" i="1" s="1"/>
  <c r="F1198" i="1"/>
  <c r="E1198" i="1"/>
  <c r="D1198" i="1"/>
  <c r="C1198" i="1"/>
  <c r="B1198" i="1"/>
  <c r="A1198" i="1"/>
  <c r="L1197" i="1"/>
  <c r="K1197" i="1"/>
  <c r="I1197" i="1"/>
  <c r="H1197" i="1"/>
  <c r="G1197" i="1"/>
  <c r="J1197" i="1" s="1"/>
  <c r="F1197" i="1"/>
  <c r="E1197" i="1"/>
  <c r="D1197" i="1"/>
  <c r="C1197" i="1"/>
  <c r="B1197" i="1"/>
  <c r="A1197" i="1"/>
  <c r="L1196" i="1"/>
  <c r="K1196" i="1"/>
  <c r="I1196" i="1"/>
  <c r="H1196" i="1"/>
  <c r="G1196" i="1"/>
  <c r="F1196" i="1"/>
  <c r="E1196" i="1"/>
  <c r="D1196" i="1"/>
  <c r="C1196" i="1"/>
  <c r="B1196" i="1"/>
  <c r="A1196" i="1"/>
  <c r="L1195" i="1"/>
  <c r="K1195" i="1"/>
  <c r="I1195" i="1"/>
  <c r="H1195" i="1"/>
  <c r="G1195" i="1"/>
  <c r="J1195" i="1" s="1"/>
  <c r="F1195" i="1"/>
  <c r="E1195" i="1"/>
  <c r="D1195" i="1"/>
  <c r="C1195" i="1"/>
  <c r="B1195" i="1"/>
  <c r="A1195" i="1"/>
  <c r="L1194" i="1"/>
  <c r="K1194" i="1"/>
  <c r="I1194" i="1"/>
  <c r="H1194" i="1"/>
  <c r="G1194" i="1"/>
  <c r="J1194" i="1" s="1"/>
  <c r="F1194" i="1"/>
  <c r="E1194" i="1"/>
  <c r="D1194" i="1"/>
  <c r="C1194" i="1"/>
  <c r="B1194" i="1"/>
  <c r="A1194" i="1"/>
  <c r="L1193" i="1"/>
  <c r="K1193" i="1"/>
  <c r="I1193" i="1"/>
  <c r="H1193" i="1"/>
  <c r="G1193" i="1"/>
  <c r="J1193" i="1" s="1"/>
  <c r="F1193" i="1"/>
  <c r="E1193" i="1"/>
  <c r="D1193" i="1"/>
  <c r="C1193" i="1"/>
  <c r="B1193" i="1"/>
  <c r="A1193" i="1"/>
  <c r="L1192" i="1"/>
  <c r="K1192" i="1"/>
  <c r="I1192" i="1"/>
  <c r="H1192" i="1"/>
  <c r="G1192" i="1"/>
  <c r="J1192" i="1" s="1"/>
  <c r="F1192" i="1"/>
  <c r="E1192" i="1"/>
  <c r="D1192" i="1"/>
  <c r="C1192" i="1"/>
  <c r="B1192" i="1"/>
  <c r="A1192" i="1"/>
  <c r="L1191" i="1"/>
  <c r="K1191" i="1"/>
  <c r="I1191" i="1"/>
  <c r="H1191" i="1"/>
  <c r="G1191" i="1"/>
  <c r="F1191" i="1"/>
  <c r="E1191" i="1"/>
  <c r="D1191" i="1"/>
  <c r="C1191" i="1"/>
  <c r="B1191" i="1"/>
  <c r="A1191" i="1"/>
  <c r="L1190" i="1"/>
  <c r="K1190" i="1"/>
  <c r="I1190" i="1"/>
  <c r="H1190" i="1"/>
  <c r="G1190" i="1"/>
  <c r="J1190" i="1" s="1"/>
  <c r="F1190" i="1"/>
  <c r="E1190" i="1"/>
  <c r="D1190" i="1"/>
  <c r="C1190" i="1"/>
  <c r="B1190" i="1"/>
  <c r="A1190" i="1"/>
  <c r="L1189" i="1"/>
  <c r="K1189" i="1"/>
  <c r="I1189" i="1"/>
  <c r="H1189" i="1"/>
  <c r="G1189" i="1"/>
  <c r="J1189" i="1" s="1"/>
  <c r="F1189" i="1"/>
  <c r="E1189" i="1"/>
  <c r="D1189" i="1"/>
  <c r="C1189" i="1"/>
  <c r="B1189" i="1"/>
  <c r="A1189" i="1"/>
  <c r="L1188" i="1"/>
  <c r="K1188" i="1"/>
  <c r="I1188" i="1"/>
  <c r="H1188" i="1"/>
  <c r="G1188" i="1"/>
  <c r="F1188" i="1"/>
  <c r="E1188" i="1"/>
  <c r="D1188" i="1"/>
  <c r="C1188" i="1"/>
  <c r="B1188" i="1"/>
  <c r="A1188" i="1"/>
  <c r="L1187" i="1"/>
  <c r="K1187" i="1"/>
  <c r="I1187" i="1"/>
  <c r="H1187" i="1"/>
  <c r="G1187" i="1"/>
  <c r="J1187" i="1" s="1"/>
  <c r="F1187" i="1"/>
  <c r="E1187" i="1"/>
  <c r="D1187" i="1"/>
  <c r="C1187" i="1"/>
  <c r="B1187" i="1"/>
  <c r="A1187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L1185" i="1"/>
  <c r="K1185" i="1"/>
  <c r="I1185" i="1"/>
  <c r="H1185" i="1"/>
  <c r="G1185" i="1"/>
  <c r="J1185" i="1" s="1"/>
  <c r="F1185" i="1"/>
  <c r="E1185" i="1"/>
  <c r="D1185" i="1"/>
  <c r="C1185" i="1"/>
  <c r="B1185" i="1"/>
  <c r="A1185" i="1"/>
  <c r="L1184" i="1"/>
  <c r="K1184" i="1"/>
  <c r="I1184" i="1"/>
  <c r="H1184" i="1"/>
  <c r="G1184" i="1"/>
  <c r="J1184" i="1" s="1"/>
  <c r="F1184" i="1"/>
  <c r="E1184" i="1"/>
  <c r="D1184" i="1"/>
  <c r="C1184" i="1"/>
  <c r="B1184" i="1"/>
  <c r="A1184" i="1"/>
  <c r="L1183" i="1"/>
  <c r="K1183" i="1"/>
  <c r="I1183" i="1"/>
  <c r="H1183" i="1"/>
  <c r="G1183" i="1"/>
  <c r="F1183" i="1"/>
  <c r="E1183" i="1"/>
  <c r="D1183" i="1"/>
  <c r="C1183" i="1"/>
  <c r="B1183" i="1"/>
  <c r="A1183" i="1"/>
  <c r="L1182" i="1"/>
  <c r="K1182" i="1"/>
  <c r="I1182" i="1"/>
  <c r="H1182" i="1"/>
  <c r="G1182" i="1"/>
  <c r="J1182" i="1" s="1"/>
  <c r="F1182" i="1"/>
  <c r="E1182" i="1"/>
  <c r="D1182" i="1"/>
  <c r="C1182" i="1"/>
  <c r="B1182" i="1"/>
  <c r="A1182" i="1"/>
  <c r="L1181" i="1"/>
  <c r="K1181" i="1"/>
  <c r="I1181" i="1"/>
  <c r="H1181" i="1"/>
  <c r="G1181" i="1"/>
  <c r="J1181" i="1" s="1"/>
  <c r="F1181" i="1"/>
  <c r="E1181" i="1"/>
  <c r="D1181" i="1"/>
  <c r="C1181" i="1"/>
  <c r="B1181" i="1"/>
  <c r="A1181" i="1"/>
  <c r="L1180" i="1"/>
  <c r="K1180" i="1"/>
  <c r="I1180" i="1"/>
  <c r="H1180" i="1"/>
  <c r="G1180" i="1"/>
  <c r="F1180" i="1"/>
  <c r="E1180" i="1"/>
  <c r="D1180" i="1"/>
  <c r="C1180" i="1"/>
  <c r="B1180" i="1"/>
  <c r="A1180" i="1"/>
  <c r="L1179" i="1"/>
  <c r="K1179" i="1"/>
  <c r="I1179" i="1"/>
  <c r="H1179" i="1"/>
  <c r="G1179" i="1"/>
  <c r="J1179" i="1" s="1"/>
  <c r="F1179" i="1"/>
  <c r="E1179" i="1"/>
  <c r="D1179" i="1"/>
  <c r="C1179" i="1"/>
  <c r="B1179" i="1"/>
  <c r="A1179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L1177" i="1"/>
  <c r="K1177" i="1"/>
  <c r="I1177" i="1"/>
  <c r="H1177" i="1"/>
  <c r="G1177" i="1"/>
  <c r="J1177" i="1" s="1"/>
  <c r="F1177" i="1"/>
  <c r="E1177" i="1"/>
  <c r="D1177" i="1"/>
  <c r="C1177" i="1"/>
  <c r="B1177" i="1"/>
  <c r="A1177" i="1"/>
  <c r="L1176" i="1"/>
  <c r="K1176" i="1"/>
  <c r="I1176" i="1"/>
  <c r="H1176" i="1"/>
  <c r="G1176" i="1"/>
  <c r="J1176" i="1" s="1"/>
  <c r="F1176" i="1"/>
  <c r="E1176" i="1"/>
  <c r="D1176" i="1"/>
  <c r="C1176" i="1"/>
  <c r="B1176" i="1"/>
  <c r="A1176" i="1"/>
  <c r="L1175" i="1"/>
  <c r="K1175" i="1"/>
  <c r="I1175" i="1"/>
  <c r="H1175" i="1"/>
  <c r="G1175" i="1"/>
  <c r="F1175" i="1"/>
  <c r="E1175" i="1"/>
  <c r="D1175" i="1"/>
  <c r="C1175" i="1"/>
  <c r="B1175" i="1"/>
  <c r="A1175" i="1"/>
  <c r="L1174" i="1"/>
  <c r="K1174" i="1"/>
  <c r="I1174" i="1"/>
  <c r="H1174" i="1"/>
  <c r="G1174" i="1"/>
  <c r="J1174" i="1" s="1"/>
  <c r="F1174" i="1"/>
  <c r="E1174" i="1"/>
  <c r="D1174" i="1"/>
  <c r="C1174" i="1"/>
  <c r="B1174" i="1"/>
  <c r="A1174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L1172" i="1"/>
  <c r="K1172" i="1"/>
  <c r="I1172" i="1"/>
  <c r="H1172" i="1"/>
  <c r="G1172" i="1"/>
  <c r="F1172" i="1"/>
  <c r="E1172" i="1"/>
  <c r="D1172" i="1"/>
  <c r="C1172" i="1"/>
  <c r="B1172" i="1"/>
  <c r="A1172" i="1"/>
  <c r="L1171" i="1"/>
  <c r="K1171" i="1"/>
  <c r="I1171" i="1"/>
  <c r="H1171" i="1"/>
  <c r="G1171" i="1"/>
  <c r="J1171" i="1" s="1"/>
  <c r="F1171" i="1"/>
  <c r="E1171" i="1"/>
  <c r="D1171" i="1"/>
  <c r="C1171" i="1"/>
  <c r="B1171" i="1"/>
  <c r="A1171" i="1"/>
  <c r="L1170" i="1"/>
  <c r="K1170" i="1"/>
  <c r="I1170" i="1"/>
  <c r="H1170" i="1"/>
  <c r="G1170" i="1"/>
  <c r="J1170" i="1" s="1"/>
  <c r="F1170" i="1"/>
  <c r="E1170" i="1"/>
  <c r="D1170" i="1"/>
  <c r="C1170" i="1"/>
  <c r="B1170" i="1"/>
  <c r="A1170" i="1"/>
  <c r="L1169" i="1"/>
  <c r="K1169" i="1"/>
  <c r="I1169" i="1"/>
  <c r="H1169" i="1"/>
  <c r="G1169" i="1"/>
  <c r="J1169" i="1" s="1"/>
  <c r="F1169" i="1"/>
  <c r="E1169" i="1"/>
  <c r="D1169" i="1"/>
  <c r="C1169" i="1"/>
  <c r="B1169" i="1"/>
  <c r="A1169" i="1"/>
  <c r="L1168" i="1"/>
  <c r="K1168" i="1"/>
  <c r="I1168" i="1"/>
  <c r="H1168" i="1"/>
  <c r="G1168" i="1"/>
  <c r="J1168" i="1" s="1"/>
  <c r="F1168" i="1"/>
  <c r="E1168" i="1"/>
  <c r="D1168" i="1"/>
  <c r="C1168" i="1"/>
  <c r="B1168" i="1"/>
  <c r="A1168" i="1"/>
  <c r="L1167" i="1"/>
  <c r="K1167" i="1"/>
  <c r="I1167" i="1"/>
  <c r="H1167" i="1"/>
  <c r="G1167" i="1"/>
  <c r="F1167" i="1"/>
  <c r="E1167" i="1"/>
  <c r="D1167" i="1"/>
  <c r="C1167" i="1"/>
  <c r="B1167" i="1"/>
  <c r="A1167" i="1"/>
  <c r="L1166" i="1"/>
  <c r="K1166" i="1"/>
  <c r="I1166" i="1"/>
  <c r="H1166" i="1"/>
  <c r="G1166" i="1"/>
  <c r="J1166" i="1" s="1"/>
  <c r="F1166" i="1"/>
  <c r="E1166" i="1"/>
  <c r="D1166" i="1"/>
  <c r="C1166" i="1"/>
  <c r="B1166" i="1"/>
  <c r="A1166" i="1"/>
  <c r="L1165" i="1"/>
  <c r="K1165" i="1"/>
  <c r="I1165" i="1"/>
  <c r="H1165" i="1"/>
  <c r="G1165" i="1"/>
  <c r="J1165" i="1" s="1"/>
  <c r="F1165" i="1"/>
  <c r="E1165" i="1"/>
  <c r="D1165" i="1"/>
  <c r="C1165" i="1"/>
  <c r="B1165" i="1"/>
  <c r="A1165" i="1"/>
  <c r="L1164" i="1"/>
  <c r="K1164" i="1"/>
  <c r="I1164" i="1"/>
  <c r="H1164" i="1"/>
  <c r="G1164" i="1"/>
  <c r="F1164" i="1"/>
  <c r="E1164" i="1"/>
  <c r="D1164" i="1"/>
  <c r="C1164" i="1"/>
  <c r="B1164" i="1"/>
  <c r="A1164" i="1"/>
  <c r="L1163" i="1"/>
  <c r="K1163" i="1"/>
  <c r="I1163" i="1"/>
  <c r="H1163" i="1"/>
  <c r="G1163" i="1"/>
  <c r="J1163" i="1" s="1"/>
  <c r="F1163" i="1"/>
  <c r="E1163" i="1"/>
  <c r="D1163" i="1"/>
  <c r="C1163" i="1"/>
  <c r="B1163" i="1"/>
  <c r="A1163" i="1"/>
  <c r="L1162" i="1"/>
  <c r="K1162" i="1"/>
  <c r="I1162" i="1"/>
  <c r="H1162" i="1"/>
  <c r="G1162" i="1"/>
  <c r="J1162" i="1" s="1"/>
  <c r="F1162" i="1"/>
  <c r="E1162" i="1"/>
  <c r="D1162" i="1"/>
  <c r="C1162" i="1"/>
  <c r="B1162" i="1"/>
  <c r="A1162" i="1"/>
  <c r="L1161" i="1"/>
  <c r="K1161" i="1"/>
  <c r="I1161" i="1"/>
  <c r="H1161" i="1"/>
  <c r="G1161" i="1"/>
  <c r="J1161" i="1" s="1"/>
  <c r="F1161" i="1"/>
  <c r="E1161" i="1"/>
  <c r="D1161" i="1"/>
  <c r="C1161" i="1"/>
  <c r="B1161" i="1"/>
  <c r="A1161" i="1"/>
  <c r="L1160" i="1"/>
  <c r="K1160" i="1"/>
  <c r="I1160" i="1"/>
  <c r="H1160" i="1"/>
  <c r="G1160" i="1"/>
  <c r="J1160" i="1" s="1"/>
  <c r="F1160" i="1"/>
  <c r="E1160" i="1"/>
  <c r="D1160" i="1"/>
  <c r="C1160" i="1"/>
  <c r="B1160" i="1"/>
  <c r="A1160" i="1"/>
  <c r="L1159" i="1"/>
  <c r="K1159" i="1"/>
  <c r="I1159" i="1"/>
  <c r="H1159" i="1"/>
  <c r="G1159" i="1"/>
  <c r="F1159" i="1"/>
  <c r="E1159" i="1"/>
  <c r="D1159" i="1"/>
  <c r="C1159" i="1"/>
  <c r="B1159" i="1"/>
  <c r="A1159" i="1"/>
  <c r="L1158" i="1"/>
  <c r="K1158" i="1"/>
  <c r="I1158" i="1"/>
  <c r="H1158" i="1"/>
  <c r="G1158" i="1"/>
  <c r="J1158" i="1" s="1"/>
  <c r="F1158" i="1"/>
  <c r="E1158" i="1"/>
  <c r="D1158" i="1"/>
  <c r="C1158" i="1"/>
  <c r="B1158" i="1"/>
  <c r="A1158" i="1"/>
  <c r="L1157" i="1"/>
  <c r="K1157" i="1"/>
  <c r="I1157" i="1"/>
  <c r="H1157" i="1"/>
  <c r="G1157" i="1"/>
  <c r="J1157" i="1" s="1"/>
  <c r="F1157" i="1"/>
  <c r="E1157" i="1"/>
  <c r="D1157" i="1"/>
  <c r="C1157" i="1"/>
  <c r="B1157" i="1"/>
  <c r="A1157" i="1"/>
  <c r="L1156" i="1"/>
  <c r="K1156" i="1"/>
  <c r="I1156" i="1"/>
  <c r="H1156" i="1"/>
  <c r="G1156" i="1"/>
  <c r="F1156" i="1"/>
  <c r="E1156" i="1"/>
  <c r="D1156" i="1"/>
  <c r="C1156" i="1"/>
  <c r="B1156" i="1"/>
  <c r="A1156" i="1"/>
  <c r="L1155" i="1"/>
  <c r="K1155" i="1"/>
  <c r="I1155" i="1"/>
  <c r="H1155" i="1"/>
  <c r="G1155" i="1"/>
  <c r="J1155" i="1" s="1"/>
  <c r="F1155" i="1"/>
  <c r="E1155" i="1"/>
  <c r="D1155" i="1"/>
  <c r="C1155" i="1"/>
  <c r="B1155" i="1"/>
  <c r="A1155" i="1"/>
  <c r="L1154" i="1"/>
  <c r="K1154" i="1"/>
  <c r="I1154" i="1"/>
  <c r="H1154" i="1"/>
  <c r="G1154" i="1"/>
  <c r="J1154" i="1" s="1"/>
  <c r="F1154" i="1"/>
  <c r="E1154" i="1"/>
  <c r="D1154" i="1"/>
  <c r="C1154" i="1"/>
  <c r="B1154" i="1"/>
  <c r="A1154" i="1"/>
  <c r="L1153" i="1"/>
  <c r="K1153" i="1"/>
  <c r="I1153" i="1"/>
  <c r="H1153" i="1"/>
  <c r="G1153" i="1"/>
  <c r="J1153" i="1" s="1"/>
  <c r="F1153" i="1"/>
  <c r="E1153" i="1"/>
  <c r="D1153" i="1"/>
  <c r="C1153" i="1"/>
  <c r="B1153" i="1"/>
  <c r="A1153" i="1"/>
  <c r="L1152" i="1"/>
  <c r="K1152" i="1"/>
  <c r="I1152" i="1"/>
  <c r="H1152" i="1"/>
  <c r="G1152" i="1"/>
  <c r="J1152" i="1" s="1"/>
  <c r="F1152" i="1"/>
  <c r="E1152" i="1"/>
  <c r="D1152" i="1"/>
  <c r="C1152" i="1"/>
  <c r="B1152" i="1"/>
  <c r="A1152" i="1"/>
  <c r="L1151" i="1"/>
  <c r="K1151" i="1"/>
  <c r="I1151" i="1"/>
  <c r="H1151" i="1"/>
  <c r="G1151" i="1"/>
  <c r="F1151" i="1"/>
  <c r="E1151" i="1"/>
  <c r="D1151" i="1"/>
  <c r="C1151" i="1"/>
  <c r="B1151" i="1"/>
  <c r="A1151" i="1"/>
  <c r="L1150" i="1"/>
  <c r="K1150" i="1"/>
  <c r="I1150" i="1"/>
  <c r="H1150" i="1"/>
  <c r="G1150" i="1"/>
  <c r="J1150" i="1" s="1"/>
  <c r="F1150" i="1"/>
  <c r="E1150" i="1"/>
  <c r="D1150" i="1"/>
  <c r="C1150" i="1"/>
  <c r="B1150" i="1"/>
  <c r="A1150" i="1"/>
  <c r="L1149" i="1"/>
  <c r="K1149" i="1"/>
  <c r="I1149" i="1"/>
  <c r="H1149" i="1"/>
  <c r="G1149" i="1"/>
  <c r="J1149" i="1" s="1"/>
  <c r="F1149" i="1"/>
  <c r="E1149" i="1"/>
  <c r="D1149" i="1"/>
  <c r="C1149" i="1"/>
  <c r="B1149" i="1"/>
  <c r="A1149" i="1"/>
  <c r="L1148" i="1"/>
  <c r="K1148" i="1"/>
  <c r="I1148" i="1"/>
  <c r="H1148" i="1"/>
  <c r="G1148" i="1"/>
  <c r="F1148" i="1"/>
  <c r="E1148" i="1"/>
  <c r="D1148" i="1"/>
  <c r="C1148" i="1"/>
  <c r="B1148" i="1"/>
  <c r="A1148" i="1"/>
  <c r="L1147" i="1"/>
  <c r="K1147" i="1"/>
  <c r="I1147" i="1"/>
  <c r="H1147" i="1"/>
  <c r="G1147" i="1"/>
  <c r="J1147" i="1" s="1"/>
  <c r="F1147" i="1"/>
  <c r="E1147" i="1"/>
  <c r="D1147" i="1"/>
  <c r="C1147" i="1"/>
  <c r="B1147" i="1"/>
  <c r="A1147" i="1"/>
  <c r="L1146" i="1"/>
  <c r="K1146" i="1"/>
  <c r="I1146" i="1"/>
  <c r="H1146" i="1"/>
  <c r="G1146" i="1"/>
  <c r="J1146" i="1" s="1"/>
  <c r="F1146" i="1"/>
  <c r="E1146" i="1"/>
  <c r="D1146" i="1"/>
  <c r="C1146" i="1"/>
  <c r="B1146" i="1"/>
  <c r="A1146" i="1"/>
  <c r="L1145" i="1"/>
  <c r="K1145" i="1"/>
  <c r="I1145" i="1"/>
  <c r="H1145" i="1"/>
  <c r="G1145" i="1"/>
  <c r="J1145" i="1" s="1"/>
  <c r="F1145" i="1"/>
  <c r="E1145" i="1"/>
  <c r="D1145" i="1"/>
  <c r="C1145" i="1"/>
  <c r="B1145" i="1"/>
  <c r="A1145" i="1"/>
  <c r="L1144" i="1"/>
  <c r="K1144" i="1"/>
  <c r="I1144" i="1"/>
  <c r="H1144" i="1"/>
  <c r="G1144" i="1"/>
  <c r="J1144" i="1" s="1"/>
  <c r="F1144" i="1"/>
  <c r="E1144" i="1"/>
  <c r="D1144" i="1"/>
  <c r="C1144" i="1"/>
  <c r="B1144" i="1"/>
  <c r="A1144" i="1"/>
  <c r="L1143" i="1"/>
  <c r="K1143" i="1"/>
  <c r="I1143" i="1"/>
  <c r="H1143" i="1"/>
  <c r="G1143" i="1"/>
  <c r="F1143" i="1"/>
  <c r="E1143" i="1"/>
  <c r="D1143" i="1"/>
  <c r="C1143" i="1"/>
  <c r="B1143" i="1"/>
  <c r="A1143" i="1"/>
  <c r="L1142" i="1"/>
  <c r="K1142" i="1"/>
  <c r="I1142" i="1"/>
  <c r="H1142" i="1"/>
  <c r="G1142" i="1"/>
  <c r="J1142" i="1" s="1"/>
  <c r="F1142" i="1"/>
  <c r="E1142" i="1"/>
  <c r="D1142" i="1"/>
  <c r="C1142" i="1"/>
  <c r="B1142" i="1"/>
  <c r="A1142" i="1"/>
  <c r="L1141" i="1"/>
  <c r="K1141" i="1"/>
  <c r="I1141" i="1"/>
  <c r="H1141" i="1"/>
  <c r="G1141" i="1"/>
  <c r="J1141" i="1" s="1"/>
  <c r="F1141" i="1"/>
  <c r="E1141" i="1"/>
  <c r="D1141" i="1"/>
  <c r="C1141" i="1"/>
  <c r="B1141" i="1"/>
  <c r="A1141" i="1"/>
  <c r="L1140" i="1"/>
  <c r="K1140" i="1"/>
  <c r="I1140" i="1"/>
  <c r="H1140" i="1"/>
  <c r="G1140" i="1"/>
  <c r="F1140" i="1"/>
  <c r="E1140" i="1"/>
  <c r="D1140" i="1"/>
  <c r="C1140" i="1"/>
  <c r="B1140" i="1"/>
  <c r="A1140" i="1"/>
  <c r="L1139" i="1"/>
  <c r="K1139" i="1"/>
  <c r="I1139" i="1"/>
  <c r="H1139" i="1"/>
  <c r="G1139" i="1"/>
  <c r="J1139" i="1" s="1"/>
  <c r="F1139" i="1"/>
  <c r="E1139" i="1"/>
  <c r="D1139" i="1"/>
  <c r="C1139" i="1"/>
  <c r="B1139" i="1"/>
  <c r="A1139" i="1"/>
  <c r="L1138" i="1"/>
  <c r="K1138" i="1"/>
  <c r="I1138" i="1"/>
  <c r="H1138" i="1"/>
  <c r="G1138" i="1"/>
  <c r="J1138" i="1" s="1"/>
  <c r="F1138" i="1"/>
  <c r="E1138" i="1"/>
  <c r="D1138" i="1"/>
  <c r="C1138" i="1"/>
  <c r="B1138" i="1"/>
  <c r="A1138" i="1"/>
  <c r="L1137" i="1"/>
  <c r="K1137" i="1"/>
  <c r="I1137" i="1"/>
  <c r="H1137" i="1"/>
  <c r="G1137" i="1"/>
  <c r="J1137" i="1" s="1"/>
  <c r="F1137" i="1"/>
  <c r="E1137" i="1"/>
  <c r="D1137" i="1"/>
  <c r="C1137" i="1"/>
  <c r="B1137" i="1"/>
  <c r="A1137" i="1"/>
  <c r="L1136" i="1"/>
  <c r="K1136" i="1"/>
  <c r="I1136" i="1"/>
  <c r="H1136" i="1"/>
  <c r="G1136" i="1"/>
  <c r="J1136" i="1" s="1"/>
  <c r="F1136" i="1"/>
  <c r="E1136" i="1"/>
  <c r="D1136" i="1"/>
  <c r="C1136" i="1"/>
  <c r="B1136" i="1"/>
  <c r="A1136" i="1"/>
  <c r="L1135" i="1"/>
  <c r="K1135" i="1"/>
  <c r="I1135" i="1"/>
  <c r="H1135" i="1"/>
  <c r="G1135" i="1"/>
  <c r="J1135" i="1" s="1"/>
  <c r="F1135" i="1"/>
  <c r="E1135" i="1"/>
  <c r="D1135" i="1"/>
  <c r="C1135" i="1"/>
  <c r="B1135" i="1"/>
  <c r="A1135" i="1"/>
  <c r="L1134" i="1"/>
  <c r="K1134" i="1"/>
  <c r="I1134" i="1"/>
  <c r="H1134" i="1"/>
  <c r="G1134" i="1"/>
  <c r="J1134" i="1" s="1"/>
  <c r="F1134" i="1"/>
  <c r="E1134" i="1"/>
  <c r="D1134" i="1"/>
  <c r="C1134" i="1"/>
  <c r="B1134" i="1"/>
  <c r="A1134" i="1"/>
  <c r="L1133" i="1"/>
  <c r="K1133" i="1"/>
  <c r="I1133" i="1"/>
  <c r="H1133" i="1"/>
  <c r="G1133" i="1"/>
  <c r="F1133" i="1"/>
  <c r="E1133" i="1"/>
  <c r="D1133" i="1"/>
  <c r="C1133" i="1"/>
  <c r="B1133" i="1"/>
  <c r="A1133" i="1"/>
  <c r="L1132" i="1"/>
  <c r="K1132" i="1"/>
  <c r="I1132" i="1"/>
  <c r="H1132" i="1"/>
  <c r="G1132" i="1"/>
  <c r="F1132" i="1"/>
  <c r="E1132" i="1"/>
  <c r="D1132" i="1"/>
  <c r="C1132" i="1"/>
  <c r="B1132" i="1"/>
  <c r="A1132" i="1"/>
  <c r="L1131" i="1"/>
  <c r="K1131" i="1"/>
  <c r="I1131" i="1"/>
  <c r="H1131" i="1"/>
  <c r="G1131" i="1"/>
  <c r="J1131" i="1" s="1"/>
  <c r="F1131" i="1"/>
  <c r="E1131" i="1"/>
  <c r="D1131" i="1"/>
  <c r="C1131" i="1"/>
  <c r="B1131" i="1"/>
  <c r="A1131" i="1"/>
  <c r="L1130" i="1"/>
  <c r="K1130" i="1"/>
  <c r="I1130" i="1"/>
  <c r="H1130" i="1"/>
  <c r="G1130" i="1"/>
  <c r="J1130" i="1" s="1"/>
  <c r="F1130" i="1"/>
  <c r="E1130" i="1"/>
  <c r="D1130" i="1"/>
  <c r="C1130" i="1"/>
  <c r="B1130" i="1"/>
  <c r="A1130" i="1"/>
  <c r="L1129" i="1"/>
  <c r="K1129" i="1"/>
  <c r="I1129" i="1"/>
  <c r="H1129" i="1"/>
  <c r="G1129" i="1"/>
  <c r="J1129" i="1" s="1"/>
  <c r="F1129" i="1"/>
  <c r="E1129" i="1"/>
  <c r="D1129" i="1"/>
  <c r="C1129" i="1"/>
  <c r="B1129" i="1"/>
  <c r="A1129" i="1"/>
  <c r="L1128" i="1"/>
  <c r="K1128" i="1"/>
  <c r="I1128" i="1"/>
  <c r="H1128" i="1"/>
  <c r="G1128" i="1"/>
  <c r="J1128" i="1" s="1"/>
  <c r="F1128" i="1"/>
  <c r="E1128" i="1"/>
  <c r="D1128" i="1"/>
  <c r="C1128" i="1"/>
  <c r="B1128" i="1"/>
  <c r="A1128" i="1"/>
  <c r="L1127" i="1"/>
  <c r="K1127" i="1"/>
  <c r="I1127" i="1"/>
  <c r="H1127" i="1"/>
  <c r="G1127" i="1"/>
  <c r="J1127" i="1" s="1"/>
  <c r="F1127" i="1"/>
  <c r="E1127" i="1"/>
  <c r="D1127" i="1"/>
  <c r="C1127" i="1"/>
  <c r="B1127" i="1"/>
  <c r="A1127" i="1"/>
  <c r="L1126" i="1"/>
  <c r="K1126" i="1"/>
  <c r="I1126" i="1"/>
  <c r="H1126" i="1"/>
  <c r="G1126" i="1"/>
  <c r="J1126" i="1" s="1"/>
  <c r="F1126" i="1"/>
  <c r="E1126" i="1"/>
  <c r="D1126" i="1"/>
  <c r="C1126" i="1"/>
  <c r="B1126" i="1"/>
  <c r="A1126" i="1"/>
  <c r="L1125" i="1"/>
  <c r="K1125" i="1"/>
  <c r="I1125" i="1"/>
  <c r="H1125" i="1"/>
  <c r="G1125" i="1"/>
  <c r="J1125" i="1" s="1"/>
  <c r="F1125" i="1"/>
  <c r="E1125" i="1"/>
  <c r="D1125" i="1"/>
  <c r="C1125" i="1"/>
  <c r="B1125" i="1"/>
  <c r="A1125" i="1"/>
  <c r="L1124" i="1"/>
  <c r="K1124" i="1"/>
  <c r="I1124" i="1"/>
  <c r="H1124" i="1"/>
  <c r="G1124" i="1"/>
  <c r="F1124" i="1"/>
  <c r="E1124" i="1"/>
  <c r="D1124" i="1"/>
  <c r="C1124" i="1"/>
  <c r="B1124" i="1"/>
  <c r="A1124" i="1"/>
  <c r="L1123" i="1"/>
  <c r="K1123" i="1"/>
  <c r="I1123" i="1"/>
  <c r="H1123" i="1"/>
  <c r="G1123" i="1"/>
  <c r="J1123" i="1" s="1"/>
  <c r="F1123" i="1"/>
  <c r="E1123" i="1"/>
  <c r="D1123" i="1"/>
  <c r="C1123" i="1"/>
  <c r="B1123" i="1"/>
  <c r="A1123" i="1"/>
  <c r="L1122" i="1"/>
  <c r="K1122" i="1"/>
  <c r="I1122" i="1"/>
  <c r="H1122" i="1"/>
  <c r="G1122" i="1"/>
  <c r="J1122" i="1" s="1"/>
  <c r="F1122" i="1"/>
  <c r="E1122" i="1"/>
  <c r="D1122" i="1"/>
  <c r="C1122" i="1"/>
  <c r="B1122" i="1"/>
  <c r="A1122" i="1"/>
  <c r="L1121" i="1"/>
  <c r="K1121" i="1"/>
  <c r="I1121" i="1"/>
  <c r="H1121" i="1"/>
  <c r="G1121" i="1"/>
  <c r="J1121" i="1" s="1"/>
  <c r="F1121" i="1"/>
  <c r="E1121" i="1"/>
  <c r="D1121" i="1"/>
  <c r="C1121" i="1"/>
  <c r="B1121" i="1"/>
  <c r="A1121" i="1"/>
  <c r="L1120" i="1"/>
  <c r="K1120" i="1"/>
  <c r="I1120" i="1"/>
  <c r="H1120" i="1"/>
  <c r="G1120" i="1"/>
  <c r="J1120" i="1" s="1"/>
  <c r="F1120" i="1"/>
  <c r="E1120" i="1"/>
  <c r="D1120" i="1"/>
  <c r="C1120" i="1"/>
  <c r="B1120" i="1"/>
  <c r="A1120" i="1"/>
  <c r="L1119" i="1"/>
  <c r="K1119" i="1"/>
  <c r="I1119" i="1"/>
  <c r="H1119" i="1"/>
  <c r="G1119" i="1"/>
  <c r="J1119" i="1" s="1"/>
  <c r="F1119" i="1"/>
  <c r="E1119" i="1"/>
  <c r="D1119" i="1"/>
  <c r="C1119" i="1"/>
  <c r="B1119" i="1"/>
  <c r="A1119" i="1"/>
  <c r="L1118" i="1"/>
  <c r="K1118" i="1"/>
  <c r="I1118" i="1"/>
  <c r="H1118" i="1"/>
  <c r="G1118" i="1"/>
  <c r="J1118" i="1" s="1"/>
  <c r="F1118" i="1"/>
  <c r="E1118" i="1"/>
  <c r="D1118" i="1"/>
  <c r="C1118" i="1"/>
  <c r="B1118" i="1"/>
  <c r="A1118" i="1"/>
  <c r="L1117" i="1"/>
  <c r="K1117" i="1"/>
  <c r="I1117" i="1"/>
  <c r="H1117" i="1"/>
  <c r="G1117" i="1"/>
  <c r="J1117" i="1" s="1"/>
  <c r="F1117" i="1"/>
  <c r="E1117" i="1"/>
  <c r="D1117" i="1"/>
  <c r="C1117" i="1"/>
  <c r="B1117" i="1"/>
  <c r="A1117" i="1"/>
  <c r="L1116" i="1"/>
  <c r="K1116" i="1"/>
  <c r="I1116" i="1"/>
  <c r="H1116" i="1"/>
  <c r="G1116" i="1"/>
  <c r="F1116" i="1"/>
  <c r="E1116" i="1"/>
  <c r="D1116" i="1"/>
  <c r="C1116" i="1"/>
  <c r="B1116" i="1"/>
  <c r="A1116" i="1"/>
  <c r="L1115" i="1"/>
  <c r="K1115" i="1"/>
  <c r="I1115" i="1"/>
  <c r="H1115" i="1"/>
  <c r="G1115" i="1"/>
  <c r="J1115" i="1" s="1"/>
  <c r="F1115" i="1"/>
  <c r="E1115" i="1"/>
  <c r="D1115" i="1"/>
  <c r="C1115" i="1"/>
  <c r="B1115" i="1"/>
  <c r="A1115" i="1"/>
  <c r="L1114" i="1"/>
  <c r="K1114" i="1"/>
  <c r="I1114" i="1"/>
  <c r="H1114" i="1"/>
  <c r="G1114" i="1"/>
  <c r="J1114" i="1" s="1"/>
  <c r="F1114" i="1"/>
  <c r="E1114" i="1"/>
  <c r="D1114" i="1"/>
  <c r="C1114" i="1"/>
  <c r="B1114" i="1"/>
  <c r="A1114" i="1"/>
  <c r="L1113" i="1"/>
  <c r="K1113" i="1"/>
  <c r="I1113" i="1"/>
  <c r="H1113" i="1"/>
  <c r="G1113" i="1"/>
  <c r="J1113" i="1" s="1"/>
  <c r="F1113" i="1"/>
  <c r="E1113" i="1"/>
  <c r="D1113" i="1"/>
  <c r="C1113" i="1"/>
  <c r="B1113" i="1"/>
  <c r="A1113" i="1"/>
  <c r="L1112" i="1"/>
  <c r="K1112" i="1"/>
  <c r="I1112" i="1"/>
  <c r="H1112" i="1"/>
  <c r="G1112" i="1"/>
  <c r="J1112" i="1" s="1"/>
  <c r="F1112" i="1"/>
  <c r="E1112" i="1"/>
  <c r="D1112" i="1"/>
  <c r="C1112" i="1"/>
  <c r="B1112" i="1"/>
  <c r="A1112" i="1"/>
  <c r="L1111" i="1"/>
  <c r="K1111" i="1"/>
  <c r="I1111" i="1"/>
  <c r="H1111" i="1"/>
  <c r="G1111" i="1"/>
  <c r="J1111" i="1" s="1"/>
  <c r="F1111" i="1"/>
  <c r="E1111" i="1"/>
  <c r="D1111" i="1"/>
  <c r="C1111" i="1"/>
  <c r="B1111" i="1"/>
  <c r="A1111" i="1"/>
  <c r="L1110" i="1"/>
  <c r="K1110" i="1"/>
  <c r="I1110" i="1"/>
  <c r="H1110" i="1"/>
  <c r="G1110" i="1"/>
  <c r="J1110" i="1" s="1"/>
  <c r="F1110" i="1"/>
  <c r="E1110" i="1"/>
  <c r="D1110" i="1"/>
  <c r="C1110" i="1"/>
  <c r="B1110" i="1"/>
  <c r="A1110" i="1"/>
  <c r="L1109" i="1"/>
  <c r="K1109" i="1"/>
  <c r="I1109" i="1"/>
  <c r="H1109" i="1"/>
  <c r="G1109" i="1"/>
  <c r="F1109" i="1"/>
  <c r="E1109" i="1"/>
  <c r="D1109" i="1"/>
  <c r="C1109" i="1"/>
  <c r="B1109" i="1"/>
  <c r="A1109" i="1"/>
  <c r="L1108" i="1"/>
  <c r="K1108" i="1"/>
  <c r="I1108" i="1"/>
  <c r="H1108" i="1"/>
  <c r="G1108" i="1"/>
  <c r="J1108" i="1" s="1"/>
  <c r="F1108" i="1"/>
  <c r="E1108" i="1"/>
  <c r="D1108" i="1"/>
  <c r="C1108" i="1"/>
  <c r="B1108" i="1"/>
  <c r="A1108" i="1"/>
  <c r="L1107" i="1"/>
  <c r="K1107" i="1"/>
  <c r="I1107" i="1"/>
  <c r="H1107" i="1"/>
  <c r="G1107" i="1"/>
  <c r="J1107" i="1" s="1"/>
  <c r="F1107" i="1"/>
  <c r="E1107" i="1"/>
  <c r="D1107" i="1"/>
  <c r="C1107" i="1"/>
  <c r="B1107" i="1"/>
  <c r="A1107" i="1"/>
  <c r="L1106" i="1"/>
  <c r="K1106" i="1"/>
  <c r="I1106" i="1"/>
  <c r="H1106" i="1"/>
  <c r="G1106" i="1"/>
  <c r="J1106" i="1" s="1"/>
  <c r="F1106" i="1"/>
  <c r="E1106" i="1"/>
  <c r="D1106" i="1"/>
  <c r="C1106" i="1"/>
  <c r="B1106" i="1"/>
  <c r="A1106" i="1"/>
  <c r="L1105" i="1"/>
  <c r="K1105" i="1"/>
  <c r="I1105" i="1"/>
  <c r="H1105" i="1"/>
  <c r="G1105" i="1"/>
  <c r="F1105" i="1"/>
  <c r="E1105" i="1"/>
  <c r="D1105" i="1"/>
  <c r="C1105" i="1"/>
  <c r="B1105" i="1"/>
  <c r="A1105" i="1"/>
  <c r="L1104" i="1"/>
  <c r="K1104" i="1"/>
  <c r="I1104" i="1"/>
  <c r="H1104" i="1"/>
  <c r="G1104" i="1"/>
  <c r="J1104" i="1" s="1"/>
  <c r="F1104" i="1"/>
  <c r="E1104" i="1"/>
  <c r="D1104" i="1"/>
  <c r="C1104" i="1"/>
  <c r="B1104" i="1"/>
  <c r="A1104" i="1"/>
  <c r="L1103" i="1"/>
  <c r="K1103" i="1"/>
  <c r="I1103" i="1"/>
  <c r="H1103" i="1"/>
  <c r="G1103" i="1"/>
  <c r="J1103" i="1" s="1"/>
  <c r="F1103" i="1"/>
  <c r="E1103" i="1"/>
  <c r="D1103" i="1"/>
  <c r="C1103" i="1"/>
  <c r="B1103" i="1"/>
  <c r="A1103" i="1"/>
  <c r="L1102" i="1"/>
  <c r="K1102" i="1"/>
  <c r="I1102" i="1"/>
  <c r="H1102" i="1"/>
  <c r="G1102" i="1"/>
  <c r="J1102" i="1" s="1"/>
  <c r="F1102" i="1"/>
  <c r="E1102" i="1"/>
  <c r="D1102" i="1"/>
  <c r="C1102" i="1"/>
  <c r="B1102" i="1"/>
  <c r="A1102" i="1"/>
  <c r="L1101" i="1"/>
  <c r="K1101" i="1"/>
  <c r="I1101" i="1"/>
  <c r="H1101" i="1"/>
  <c r="G1101" i="1"/>
  <c r="J1101" i="1" s="1"/>
  <c r="F1101" i="1"/>
  <c r="E1101" i="1"/>
  <c r="D1101" i="1"/>
  <c r="C1101" i="1"/>
  <c r="B1101" i="1"/>
  <c r="A1101" i="1"/>
  <c r="L1100" i="1"/>
  <c r="K1100" i="1"/>
  <c r="I1100" i="1"/>
  <c r="H1100" i="1"/>
  <c r="G1100" i="1"/>
  <c r="F1100" i="1"/>
  <c r="E1100" i="1"/>
  <c r="D1100" i="1"/>
  <c r="C1100" i="1"/>
  <c r="B1100" i="1"/>
  <c r="A1100" i="1"/>
  <c r="L1099" i="1"/>
  <c r="K1099" i="1"/>
  <c r="I1099" i="1"/>
  <c r="H1099" i="1"/>
  <c r="G1099" i="1"/>
  <c r="J1099" i="1" s="1"/>
  <c r="F1099" i="1"/>
  <c r="E1099" i="1"/>
  <c r="D1099" i="1"/>
  <c r="C1099" i="1"/>
  <c r="B1099" i="1"/>
  <c r="A1099" i="1"/>
  <c r="L1098" i="1"/>
  <c r="K1098" i="1"/>
  <c r="I1098" i="1"/>
  <c r="H1098" i="1"/>
  <c r="G1098" i="1"/>
  <c r="F1098" i="1"/>
  <c r="E1098" i="1"/>
  <c r="D1098" i="1"/>
  <c r="C1098" i="1"/>
  <c r="B1098" i="1"/>
  <c r="A1098" i="1"/>
  <c r="L1097" i="1"/>
  <c r="K1097" i="1"/>
  <c r="I1097" i="1"/>
  <c r="H1097" i="1"/>
  <c r="G1097" i="1"/>
  <c r="J1097" i="1" s="1"/>
  <c r="F1097" i="1"/>
  <c r="E1097" i="1"/>
  <c r="D1097" i="1"/>
  <c r="C1097" i="1"/>
  <c r="B1097" i="1"/>
  <c r="A1097" i="1"/>
  <c r="L1096" i="1"/>
  <c r="K1096" i="1"/>
  <c r="I1096" i="1"/>
  <c r="H1096" i="1"/>
  <c r="G1096" i="1"/>
  <c r="F1096" i="1"/>
  <c r="E1096" i="1"/>
  <c r="D1096" i="1"/>
  <c r="C1096" i="1"/>
  <c r="B1096" i="1"/>
  <c r="A1096" i="1"/>
  <c r="L1095" i="1"/>
  <c r="K1095" i="1"/>
  <c r="I1095" i="1"/>
  <c r="H1095" i="1"/>
  <c r="G1095" i="1"/>
  <c r="J1095" i="1" s="1"/>
  <c r="F1095" i="1"/>
  <c r="E1095" i="1"/>
  <c r="D1095" i="1"/>
  <c r="C1095" i="1"/>
  <c r="B1095" i="1"/>
  <c r="A1095" i="1"/>
  <c r="L1094" i="1"/>
  <c r="K1094" i="1"/>
  <c r="I1094" i="1"/>
  <c r="H1094" i="1"/>
  <c r="G1094" i="1"/>
  <c r="J1094" i="1" s="1"/>
  <c r="F1094" i="1"/>
  <c r="E1094" i="1"/>
  <c r="D1094" i="1"/>
  <c r="C1094" i="1"/>
  <c r="B1094" i="1"/>
  <c r="A1094" i="1"/>
  <c r="L1093" i="1"/>
  <c r="K1093" i="1"/>
  <c r="I1093" i="1"/>
  <c r="H1093" i="1"/>
  <c r="G1093" i="1"/>
  <c r="J1093" i="1" s="1"/>
  <c r="F1093" i="1"/>
  <c r="E1093" i="1"/>
  <c r="D1093" i="1"/>
  <c r="C1093" i="1"/>
  <c r="B1093" i="1"/>
  <c r="A1093" i="1"/>
  <c r="L1092" i="1"/>
  <c r="K1092" i="1"/>
  <c r="I1092" i="1"/>
  <c r="H1092" i="1"/>
  <c r="G1092" i="1"/>
  <c r="F1092" i="1"/>
  <c r="E1092" i="1"/>
  <c r="D1092" i="1"/>
  <c r="C1092" i="1"/>
  <c r="B1092" i="1"/>
  <c r="A1092" i="1"/>
  <c r="L1091" i="1"/>
  <c r="K1091" i="1"/>
  <c r="I1091" i="1"/>
  <c r="H1091" i="1"/>
  <c r="G1091" i="1"/>
  <c r="J1091" i="1" s="1"/>
  <c r="F1091" i="1"/>
  <c r="E1091" i="1"/>
  <c r="D1091" i="1"/>
  <c r="C1091" i="1"/>
  <c r="B1091" i="1"/>
  <c r="A1091" i="1"/>
  <c r="L1090" i="1"/>
  <c r="K1090" i="1"/>
  <c r="I1090" i="1"/>
  <c r="H1090" i="1"/>
  <c r="G1090" i="1"/>
  <c r="F1090" i="1"/>
  <c r="E1090" i="1"/>
  <c r="D1090" i="1"/>
  <c r="C1090" i="1"/>
  <c r="B1090" i="1"/>
  <c r="A1090" i="1"/>
  <c r="L1089" i="1"/>
  <c r="K1089" i="1"/>
  <c r="I1089" i="1"/>
  <c r="H1089" i="1"/>
  <c r="G1089" i="1"/>
  <c r="J1089" i="1" s="1"/>
  <c r="F1089" i="1"/>
  <c r="E1089" i="1"/>
  <c r="D1089" i="1"/>
  <c r="C1089" i="1"/>
  <c r="B1089" i="1"/>
  <c r="A1089" i="1"/>
  <c r="L1088" i="1"/>
  <c r="K1088" i="1"/>
  <c r="I1088" i="1"/>
  <c r="H1088" i="1"/>
  <c r="G1088" i="1"/>
  <c r="F1088" i="1"/>
  <c r="E1088" i="1"/>
  <c r="D1088" i="1"/>
  <c r="C1088" i="1"/>
  <c r="B1088" i="1"/>
  <c r="A1088" i="1"/>
  <c r="L1087" i="1"/>
  <c r="K1087" i="1"/>
  <c r="I1087" i="1"/>
  <c r="H1087" i="1"/>
  <c r="G1087" i="1"/>
  <c r="J1087" i="1" s="1"/>
  <c r="F1087" i="1"/>
  <c r="E1087" i="1"/>
  <c r="D1087" i="1"/>
  <c r="C1087" i="1"/>
  <c r="B1087" i="1"/>
  <c r="A1087" i="1"/>
  <c r="L1086" i="1"/>
  <c r="K1086" i="1"/>
  <c r="I1086" i="1"/>
  <c r="H1086" i="1"/>
  <c r="G1086" i="1"/>
  <c r="J1086" i="1" s="1"/>
  <c r="F1086" i="1"/>
  <c r="E1086" i="1"/>
  <c r="D1086" i="1"/>
  <c r="C1086" i="1"/>
  <c r="B1086" i="1"/>
  <c r="A1086" i="1"/>
  <c r="L1085" i="1"/>
  <c r="K1085" i="1"/>
  <c r="I1085" i="1"/>
  <c r="H1085" i="1"/>
  <c r="G1085" i="1"/>
  <c r="J1085" i="1" s="1"/>
  <c r="F1085" i="1"/>
  <c r="E1085" i="1"/>
  <c r="D1085" i="1"/>
  <c r="C1085" i="1"/>
  <c r="B1085" i="1"/>
  <c r="A1085" i="1"/>
  <c r="L1084" i="1"/>
  <c r="K1084" i="1"/>
  <c r="I1084" i="1"/>
  <c r="H1084" i="1"/>
  <c r="G1084" i="1"/>
  <c r="F1084" i="1"/>
  <c r="E1084" i="1"/>
  <c r="D1084" i="1"/>
  <c r="C1084" i="1"/>
  <c r="B1084" i="1"/>
  <c r="A1084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L1082" i="1"/>
  <c r="K1082" i="1"/>
  <c r="I1082" i="1"/>
  <c r="H1082" i="1"/>
  <c r="G1082" i="1"/>
  <c r="F1082" i="1"/>
  <c r="E1082" i="1"/>
  <c r="D1082" i="1"/>
  <c r="C1082" i="1"/>
  <c r="B1082" i="1"/>
  <c r="A1082" i="1"/>
  <c r="L1081" i="1"/>
  <c r="K1081" i="1"/>
  <c r="I1081" i="1"/>
  <c r="H1081" i="1"/>
  <c r="G1081" i="1"/>
  <c r="J1081" i="1" s="1"/>
  <c r="F1081" i="1"/>
  <c r="E1081" i="1"/>
  <c r="D1081" i="1"/>
  <c r="C1081" i="1"/>
  <c r="B1081" i="1"/>
  <c r="A1081" i="1"/>
  <c r="L1080" i="1"/>
  <c r="K1080" i="1"/>
  <c r="I1080" i="1"/>
  <c r="H1080" i="1"/>
  <c r="G1080" i="1"/>
  <c r="F1080" i="1"/>
  <c r="E1080" i="1"/>
  <c r="D1080" i="1"/>
  <c r="C1080" i="1"/>
  <c r="B1080" i="1"/>
  <c r="A1080" i="1"/>
  <c r="L1079" i="1"/>
  <c r="K1079" i="1"/>
  <c r="I1079" i="1"/>
  <c r="H1079" i="1"/>
  <c r="G1079" i="1"/>
  <c r="J1079" i="1" s="1"/>
  <c r="F1079" i="1"/>
  <c r="E1079" i="1"/>
  <c r="D1079" i="1"/>
  <c r="C1079" i="1"/>
  <c r="B1079" i="1"/>
  <c r="A1079" i="1"/>
  <c r="L1078" i="1"/>
  <c r="K1078" i="1"/>
  <c r="I1078" i="1"/>
  <c r="H1078" i="1"/>
  <c r="G1078" i="1"/>
  <c r="J1078" i="1" s="1"/>
  <c r="F1078" i="1"/>
  <c r="E1078" i="1"/>
  <c r="D1078" i="1"/>
  <c r="C1078" i="1"/>
  <c r="B1078" i="1"/>
  <c r="A1078" i="1"/>
  <c r="L1077" i="1"/>
  <c r="K1077" i="1"/>
  <c r="I1077" i="1"/>
  <c r="H1077" i="1"/>
  <c r="G1077" i="1"/>
  <c r="J1077" i="1" s="1"/>
  <c r="F1077" i="1"/>
  <c r="E1077" i="1"/>
  <c r="D1077" i="1"/>
  <c r="C1077" i="1"/>
  <c r="B1077" i="1"/>
  <c r="A1077" i="1"/>
  <c r="L1076" i="1"/>
  <c r="K1076" i="1"/>
  <c r="I1076" i="1"/>
  <c r="H1076" i="1"/>
  <c r="G1076" i="1"/>
  <c r="F1076" i="1"/>
  <c r="E1076" i="1"/>
  <c r="D1076" i="1"/>
  <c r="C1076" i="1"/>
  <c r="B1076" i="1"/>
  <c r="A1076" i="1"/>
  <c r="L1075" i="1"/>
  <c r="K1075" i="1"/>
  <c r="I1075" i="1"/>
  <c r="H1075" i="1"/>
  <c r="G1075" i="1"/>
  <c r="J1075" i="1" s="1"/>
  <c r="F1075" i="1"/>
  <c r="E1075" i="1"/>
  <c r="D1075" i="1"/>
  <c r="C1075" i="1"/>
  <c r="B1075" i="1"/>
  <c r="A1075" i="1"/>
  <c r="L1074" i="1"/>
  <c r="K1074" i="1"/>
  <c r="I1074" i="1"/>
  <c r="H1074" i="1"/>
  <c r="G1074" i="1"/>
  <c r="F1074" i="1"/>
  <c r="E1074" i="1"/>
  <c r="D1074" i="1"/>
  <c r="C1074" i="1"/>
  <c r="B1074" i="1"/>
  <c r="A1074" i="1"/>
  <c r="L1073" i="1"/>
  <c r="K1073" i="1"/>
  <c r="I1073" i="1"/>
  <c r="H1073" i="1"/>
  <c r="G1073" i="1"/>
  <c r="J1073" i="1" s="1"/>
  <c r="F1073" i="1"/>
  <c r="E1073" i="1"/>
  <c r="D1073" i="1"/>
  <c r="C1073" i="1"/>
  <c r="B1073" i="1"/>
  <c r="A1073" i="1"/>
  <c r="L1072" i="1"/>
  <c r="K1072" i="1"/>
  <c r="I1072" i="1"/>
  <c r="H1072" i="1"/>
  <c r="G1072" i="1"/>
  <c r="F1072" i="1"/>
  <c r="E1072" i="1"/>
  <c r="D1072" i="1"/>
  <c r="C1072" i="1"/>
  <c r="B1072" i="1"/>
  <c r="A1072" i="1"/>
  <c r="L1071" i="1"/>
  <c r="K1071" i="1"/>
  <c r="I1071" i="1"/>
  <c r="H1071" i="1"/>
  <c r="G1071" i="1"/>
  <c r="J1071" i="1" s="1"/>
  <c r="F1071" i="1"/>
  <c r="E1071" i="1"/>
  <c r="D1071" i="1"/>
  <c r="C1071" i="1"/>
  <c r="B1071" i="1"/>
  <c r="A1071" i="1"/>
  <c r="L1070" i="1"/>
  <c r="K1070" i="1"/>
  <c r="I1070" i="1"/>
  <c r="H1070" i="1"/>
  <c r="G1070" i="1"/>
  <c r="J1070" i="1" s="1"/>
  <c r="F1070" i="1"/>
  <c r="E1070" i="1"/>
  <c r="D1070" i="1"/>
  <c r="C1070" i="1"/>
  <c r="B1070" i="1"/>
  <c r="A1070" i="1"/>
  <c r="L1069" i="1"/>
  <c r="K1069" i="1"/>
  <c r="I1069" i="1"/>
  <c r="H1069" i="1"/>
  <c r="G1069" i="1"/>
  <c r="J1069" i="1" s="1"/>
  <c r="F1069" i="1"/>
  <c r="E1069" i="1"/>
  <c r="D1069" i="1"/>
  <c r="C1069" i="1"/>
  <c r="B1069" i="1"/>
  <c r="A1069" i="1"/>
  <c r="L1068" i="1"/>
  <c r="K1068" i="1"/>
  <c r="I1068" i="1"/>
  <c r="H1068" i="1"/>
  <c r="G1068" i="1"/>
  <c r="F1068" i="1"/>
  <c r="E1068" i="1"/>
  <c r="D1068" i="1"/>
  <c r="C1068" i="1"/>
  <c r="B1068" i="1"/>
  <c r="A1068" i="1"/>
  <c r="L1067" i="1"/>
  <c r="K1067" i="1"/>
  <c r="I1067" i="1"/>
  <c r="H1067" i="1"/>
  <c r="G1067" i="1"/>
  <c r="J1067" i="1" s="1"/>
  <c r="F1067" i="1"/>
  <c r="E1067" i="1"/>
  <c r="D1067" i="1"/>
  <c r="C1067" i="1"/>
  <c r="B1067" i="1"/>
  <c r="A1067" i="1"/>
  <c r="L1066" i="1"/>
  <c r="K1066" i="1"/>
  <c r="I1066" i="1"/>
  <c r="H1066" i="1"/>
  <c r="G1066" i="1"/>
  <c r="F1066" i="1"/>
  <c r="E1066" i="1"/>
  <c r="D1066" i="1"/>
  <c r="C1066" i="1"/>
  <c r="B1066" i="1"/>
  <c r="A1066" i="1"/>
  <c r="L1065" i="1"/>
  <c r="K1065" i="1"/>
  <c r="I1065" i="1"/>
  <c r="H1065" i="1"/>
  <c r="G1065" i="1"/>
  <c r="J1065" i="1" s="1"/>
  <c r="F1065" i="1"/>
  <c r="E1065" i="1"/>
  <c r="D1065" i="1"/>
  <c r="C1065" i="1"/>
  <c r="B1065" i="1"/>
  <c r="A1065" i="1"/>
  <c r="L1064" i="1"/>
  <c r="K1064" i="1"/>
  <c r="I1064" i="1"/>
  <c r="H1064" i="1"/>
  <c r="G1064" i="1"/>
  <c r="F1064" i="1"/>
  <c r="E1064" i="1"/>
  <c r="D1064" i="1"/>
  <c r="C1064" i="1"/>
  <c r="B1064" i="1"/>
  <c r="A1064" i="1"/>
  <c r="L1063" i="1"/>
  <c r="K1063" i="1"/>
  <c r="I1063" i="1"/>
  <c r="H1063" i="1"/>
  <c r="G1063" i="1"/>
  <c r="J1063" i="1" s="1"/>
  <c r="F1063" i="1"/>
  <c r="E1063" i="1"/>
  <c r="D1063" i="1"/>
  <c r="C1063" i="1"/>
  <c r="B1063" i="1"/>
  <c r="A1063" i="1"/>
  <c r="L1062" i="1"/>
  <c r="K1062" i="1"/>
  <c r="I1062" i="1"/>
  <c r="H1062" i="1"/>
  <c r="G1062" i="1"/>
  <c r="J1062" i="1" s="1"/>
  <c r="F1062" i="1"/>
  <c r="E1062" i="1"/>
  <c r="D1062" i="1"/>
  <c r="C1062" i="1"/>
  <c r="B1062" i="1"/>
  <c r="A1062" i="1"/>
  <c r="L1061" i="1"/>
  <c r="K1061" i="1"/>
  <c r="I1061" i="1"/>
  <c r="H1061" i="1"/>
  <c r="G1061" i="1"/>
  <c r="J1061" i="1" s="1"/>
  <c r="F1061" i="1"/>
  <c r="E1061" i="1"/>
  <c r="D1061" i="1"/>
  <c r="C1061" i="1"/>
  <c r="B1061" i="1"/>
  <c r="A1061" i="1"/>
  <c r="L1060" i="1"/>
  <c r="K1060" i="1"/>
  <c r="I1060" i="1"/>
  <c r="H1060" i="1"/>
  <c r="G1060" i="1"/>
  <c r="F1060" i="1"/>
  <c r="E1060" i="1"/>
  <c r="D1060" i="1"/>
  <c r="C1060" i="1"/>
  <c r="B1060" i="1"/>
  <c r="A1060" i="1"/>
  <c r="L1059" i="1"/>
  <c r="K1059" i="1"/>
  <c r="I1059" i="1"/>
  <c r="H1059" i="1"/>
  <c r="G1059" i="1"/>
  <c r="J1059" i="1" s="1"/>
  <c r="F1059" i="1"/>
  <c r="E1059" i="1"/>
  <c r="D1059" i="1"/>
  <c r="C1059" i="1"/>
  <c r="B1059" i="1"/>
  <c r="A1059" i="1"/>
  <c r="L1058" i="1"/>
  <c r="K1058" i="1"/>
  <c r="I1058" i="1"/>
  <c r="H1058" i="1"/>
  <c r="G1058" i="1"/>
  <c r="F1058" i="1"/>
  <c r="E1058" i="1"/>
  <c r="D1058" i="1"/>
  <c r="C1058" i="1"/>
  <c r="B1058" i="1"/>
  <c r="A1058" i="1"/>
  <c r="L1057" i="1"/>
  <c r="K1057" i="1"/>
  <c r="I1057" i="1"/>
  <c r="H1057" i="1"/>
  <c r="G1057" i="1"/>
  <c r="J1057" i="1" s="1"/>
  <c r="F1057" i="1"/>
  <c r="E1057" i="1"/>
  <c r="D1057" i="1"/>
  <c r="C1057" i="1"/>
  <c r="B1057" i="1"/>
  <c r="A1057" i="1"/>
  <c r="L1056" i="1"/>
  <c r="K1056" i="1"/>
  <c r="I1056" i="1"/>
  <c r="H1056" i="1"/>
  <c r="G1056" i="1"/>
  <c r="F1056" i="1"/>
  <c r="E1056" i="1"/>
  <c r="D1056" i="1"/>
  <c r="C1056" i="1"/>
  <c r="B1056" i="1"/>
  <c r="A1056" i="1"/>
  <c r="L1055" i="1"/>
  <c r="K1055" i="1"/>
  <c r="I1055" i="1"/>
  <c r="H1055" i="1"/>
  <c r="G1055" i="1"/>
  <c r="J1055" i="1" s="1"/>
  <c r="F1055" i="1"/>
  <c r="E1055" i="1"/>
  <c r="D1055" i="1"/>
  <c r="C1055" i="1"/>
  <c r="B1055" i="1"/>
  <c r="A1055" i="1"/>
  <c r="L1054" i="1"/>
  <c r="K1054" i="1"/>
  <c r="I1054" i="1"/>
  <c r="H1054" i="1"/>
  <c r="G1054" i="1"/>
  <c r="J1054" i="1" s="1"/>
  <c r="F1054" i="1"/>
  <c r="E1054" i="1"/>
  <c r="D1054" i="1"/>
  <c r="C1054" i="1"/>
  <c r="B1054" i="1"/>
  <c r="A1054" i="1"/>
  <c r="L1053" i="1"/>
  <c r="K1053" i="1"/>
  <c r="I1053" i="1"/>
  <c r="H1053" i="1"/>
  <c r="G1053" i="1"/>
  <c r="J1053" i="1" s="1"/>
  <c r="F1053" i="1"/>
  <c r="E1053" i="1"/>
  <c r="D1053" i="1"/>
  <c r="C1053" i="1"/>
  <c r="B1053" i="1"/>
  <c r="A1053" i="1"/>
  <c r="L1052" i="1"/>
  <c r="K1052" i="1"/>
  <c r="I1052" i="1"/>
  <c r="H1052" i="1"/>
  <c r="G1052" i="1"/>
  <c r="F1052" i="1"/>
  <c r="E1052" i="1"/>
  <c r="D1052" i="1"/>
  <c r="C1052" i="1"/>
  <c r="B1052" i="1"/>
  <c r="A1052" i="1"/>
  <c r="L1051" i="1"/>
  <c r="K1051" i="1"/>
  <c r="I1051" i="1"/>
  <c r="H1051" i="1"/>
  <c r="G1051" i="1"/>
  <c r="J1051" i="1" s="1"/>
  <c r="F1051" i="1"/>
  <c r="E1051" i="1"/>
  <c r="D1051" i="1"/>
  <c r="C1051" i="1"/>
  <c r="B1051" i="1"/>
  <c r="A1051" i="1"/>
  <c r="L1050" i="1"/>
  <c r="K1050" i="1"/>
  <c r="I1050" i="1"/>
  <c r="H1050" i="1"/>
  <c r="G1050" i="1"/>
  <c r="F1050" i="1"/>
  <c r="E1050" i="1"/>
  <c r="D1050" i="1"/>
  <c r="C1050" i="1"/>
  <c r="B1050" i="1"/>
  <c r="A1050" i="1"/>
  <c r="L1049" i="1"/>
  <c r="K1049" i="1"/>
  <c r="I1049" i="1"/>
  <c r="H1049" i="1"/>
  <c r="G1049" i="1"/>
  <c r="J1049" i="1" s="1"/>
  <c r="F1049" i="1"/>
  <c r="E1049" i="1"/>
  <c r="D1049" i="1"/>
  <c r="C1049" i="1"/>
  <c r="B1049" i="1"/>
  <c r="A1049" i="1"/>
  <c r="L1048" i="1"/>
  <c r="K1048" i="1"/>
  <c r="I1048" i="1"/>
  <c r="H1048" i="1"/>
  <c r="G1048" i="1"/>
  <c r="F1048" i="1"/>
  <c r="E1048" i="1"/>
  <c r="D1048" i="1"/>
  <c r="C1048" i="1"/>
  <c r="B1048" i="1"/>
  <c r="A1048" i="1"/>
  <c r="L1047" i="1"/>
  <c r="K1047" i="1"/>
  <c r="I1047" i="1"/>
  <c r="H1047" i="1"/>
  <c r="G1047" i="1"/>
  <c r="J1047" i="1" s="1"/>
  <c r="F1047" i="1"/>
  <c r="E1047" i="1"/>
  <c r="D1047" i="1"/>
  <c r="C1047" i="1"/>
  <c r="B1047" i="1"/>
  <c r="A1047" i="1"/>
  <c r="L1046" i="1"/>
  <c r="K1046" i="1"/>
  <c r="I1046" i="1"/>
  <c r="H1046" i="1"/>
  <c r="G1046" i="1"/>
  <c r="J1046" i="1" s="1"/>
  <c r="F1046" i="1"/>
  <c r="E1046" i="1"/>
  <c r="D1046" i="1"/>
  <c r="C1046" i="1"/>
  <c r="B1046" i="1"/>
  <c r="A1046" i="1"/>
  <c r="L1045" i="1"/>
  <c r="K1045" i="1"/>
  <c r="I1045" i="1"/>
  <c r="H1045" i="1"/>
  <c r="G1045" i="1"/>
  <c r="J1045" i="1" s="1"/>
  <c r="F1045" i="1"/>
  <c r="E1045" i="1"/>
  <c r="D1045" i="1"/>
  <c r="C1045" i="1"/>
  <c r="B1045" i="1"/>
  <c r="A1045" i="1"/>
  <c r="L1044" i="1"/>
  <c r="K1044" i="1"/>
  <c r="I1044" i="1"/>
  <c r="H1044" i="1"/>
  <c r="G1044" i="1"/>
  <c r="F1044" i="1"/>
  <c r="E1044" i="1"/>
  <c r="D1044" i="1"/>
  <c r="C1044" i="1"/>
  <c r="B1044" i="1"/>
  <c r="A1044" i="1"/>
  <c r="L1043" i="1"/>
  <c r="K1043" i="1"/>
  <c r="I1043" i="1"/>
  <c r="H1043" i="1"/>
  <c r="G1043" i="1"/>
  <c r="J1043" i="1" s="1"/>
  <c r="F1043" i="1"/>
  <c r="E1043" i="1"/>
  <c r="D1043" i="1"/>
  <c r="C1043" i="1"/>
  <c r="B1043" i="1"/>
  <c r="A1043" i="1"/>
  <c r="L1042" i="1"/>
  <c r="K1042" i="1"/>
  <c r="I1042" i="1"/>
  <c r="H1042" i="1"/>
  <c r="G1042" i="1"/>
  <c r="F1042" i="1"/>
  <c r="E1042" i="1"/>
  <c r="D1042" i="1"/>
  <c r="C1042" i="1"/>
  <c r="B1042" i="1"/>
  <c r="A1042" i="1"/>
  <c r="L1041" i="1"/>
  <c r="K1041" i="1"/>
  <c r="I1041" i="1"/>
  <c r="H1041" i="1"/>
  <c r="G1041" i="1"/>
  <c r="J1041" i="1" s="1"/>
  <c r="F1041" i="1"/>
  <c r="E1041" i="1"/>
  <c r="D1041" i="1"/>
  <c r="C1041" i="1"/>
  <c r="B1041" i="1"/>
  <c r="A1041" i="1"/>
  <c r="L1040" i="1"/>
  <c r="K1040" i="1"/>
  <c r="I1040" i="1"/>
  <c r="H1040" i="1"/>
  <c r="G1040" i="1"/>
  <c r="F1040" i="1"/>
  <c r="E1040" i="1"/>
  <c r="D1040" i="1"/>
  <c r="C1040" i="1"/>
  <c r="B1040" i="1"/>
  <c r="A1040" i="1"/>
  <c r="L1039" i="1"/>
  <c r="K1039" i="1"/>
  <c r="I1039" i="1"/>
  <c r="H1039" i="1"/>
  <c r="G1039" i="1"/>
  <c r="J1039" i="1" s="1"/>
  <c r="F1039" i="1"/>
  <c r="E1039" i="1"/>
  <c r="D1039" i="1"/>
  <c r="C1039" i="1"/>
  <c r="B1039" i="1"/>
  <c r="A1039" i="1"/>
  <c r="L1038" i="1"/>
  <c r="K1038" i="1"/>
  <c r="I1038" i="1"/>
  <c r="H1038" i="1"/>
  <c r="G1038" i="1"/>
  <c r="J1038" i="1" s="1"/>
  <c r="F1038" i="1"/>
  <c r="E1038" i="1"/>
  <c r="D1038" i="1"/>
  <c r="C1038" i="1"/>
  <c r="B1038" i="1"/>
  <c r="A1038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L1036" i="1"/>
  <c r="K1036" i="1"/>
  <c r="I1036" i="1"/>
  <c r="H1036" i="1"/>
  <c r="G1036" i="1"/>
  <c r="F1036" i="1"/>
  <c r="E1036" i="1"/>
  <c r="D1036" i="1"/>
  <c r="C1036" i="1"/>
  <c r="B1036" i="1"/>
  <c r="A1036" i="1"/>
  <c r="L1035" i="1"/>
  <c r="K1035" i="1"/>
  <c r="I1035" i="1"/>
  <c r="H1035" i="1"/>
  <c r="G1035" i="1"/>
  <c r="J1035" i="1" s="1"/>
  <c r="F1035" i="1"/>
  <c r="E1035" i="1"/>
  <c r="D1035" i="1"/>
  <c r="C1035" i="1"/>
  <c r="B1035" i="1"/>
  <c r="A1035" i="1"/>
  <c r="L1034" i="1"/>
  <c r="K1034" i="1"/>
  <c r="I1034" i="1"/>
  <c r="H1034" i="1"/>
  <c r="G1034" i="1"/>
  <c r="F1034" i="1"/>
  <c r="E1034" i="1"/>
  <c r="D1034" i="1"/>
  <c r="C1034" i="1"/>
  <c r="B1034" i="1"/>
  <c r="A1034" i="1"/>
  <c r="L1033" i="1"/>
  <c r="K1033" i="1"/>
  <c r="I1033" i="1"/>
  <c r="H1033" i="1"/>
  <c r="G1033" i="1"/>
  <c r="J1033" i="1" s="1"/>
  <c r="F1033" i="1"/>
  <c r="E1033" i="1"/>
  <c r="D1033" i="1"/>
  <c r="C1033" i="1"/>
  <c r="B1033" i="1"/>
  <c r="A1033" i="1"/>
  <c r="L1032" i="1"/>
  <c r="K1032" i="1"/>
  <c r="I1032" i="1"/>
  <c r="H1032" i="1"/>
  <c r="G1032" i="1"/>
  <c r="F1032" i="1"/>
  <c r="E1032" i="1"/>
  <c r="D1032" i="1"/>
  <c r="C1032" i="1"/>
  <c r="B1032" i="1"/>
  <c r="A1032" i="1"/>
  <c r="L1031" i="1"/>
  <c r="K1031" i="1"/>
  <c r="I1031" i="1"/>
  <c r="H1031" i="1"/>
  <c r="G1031" i="1"/>
  <c r="J1031" i="1" s="1"/>
  <c r="F1031" i="1"/>
  <c r="E1031" i="1"/>
  <c r="D1031" i="1"/>
  <c r="C1031" i="1"/>
  <c r="B1031" i="1"/>
  <c r="A1031" i="1"/>
  <c r="L1030" i="1"/>
  <c r="K1030" i="1"/>
  <c r="I1030" i="1"/>
  <c r="H1030" i="1"/>
  <c r="G1030" i="1"/>
  <c r="J1030" i="1" s="1"/>
  <c r="F1030" i="1"/>
  <c r="E1030" i="1"/>
  <c r="D1030" i="1"/>
  <c r="C1030" i="1"/>
  <c r="B1030" i="1"/>
  <c r="A1030" i="1"/>
  <c r="L1029" i="1"/>
  <c r="K1029" i="1"/>
  <c r="I1029" i="1"/>
  <c r="H1029" i="1"/>
  <c r="G1029" i="1"/>
  <c r="J1029" i="1" s="1"/>
  <c r="F1029" i="1"/>
  <c r="E1029" i="1"/>
  <c r="D1029" i="1"/>
  <c r="C1029" i="1"/>
  <c r="B1029" i="1"/>
  <c r="A1029" i="1"/>
  <c r="L1028" i="1"/>
  <c r="K1028" i="1"/>
  <c r="I1028" i="1"/>
  <c r="H1028" i="1"/>
  <c r="G1028" i="1"/>
  <c r="F1028" i="1"/>
  <c r="E1028" i="1"/>
  <c r="D1028" i="1"/>
  <c r="C1028" i="1"/>
  <c r="B1028" i="1"/>
  <c r="A1028" i="1"/>
  <c r="L1027" i="1"/>
  <c r="K1027" i="1"/>
  <c r="I1027" i="1"/>
  <c r="H1027" i="1"/>
  <c r="G1027" i="1"/>
  <c r="J1027" i="1" s="1"/>
  <c r="F1027" i="1"/>
  <c r="E1027" i="1"/>
  <c r="D1027" i="1"/>
  <c r="C1027" i="1"/>
  <c r="B1027" i="1"/>
  <c r="A1027" i="1"/>
  <c r="L1026" i="1"/>
  <c r="K1026" i="1"/>
  <c r="I1026" i="1"/>
  <c r="H1026" i="1"/>
  <c r="G1026" i="1"/>
  <c r="F1026" i="1"/>
  <c r="E1026" i="1"/>
  <c r="D1026" i="1"/>
  <c r="C1026" i="1"/>
  <c r="B1026" i="1"/>
  <c r="A1026" i="1"/>
  <c r="L1025" i="1"/>
  <c r="K1025" i="1"/>
  <c r="I1025" i="1"/>
  <c r="H1025" i="1"/>
  <c r="G1025" i="1"/>
  <c r="J1025" i="1" s="1"/>
  <c r="F1025" i="1"/>
  <c r="E1025" i="1"/>
  <c r="D1025" i="1"/>
  <c r="C1025" i="1"/>
  <c r="B1025" i="1"/>
  <c r="A1025" i="1"/>
  <c r="L1024" i="1"/>
  <c r="K1024" i="1"/>
  <c r="I1024" i="1"/>
  <c r="H1024" i="1"/>
  <c r="G1024" i="1"/>
  <c r="F1024" i="1"/>
  <c r="E1024" i="1"/>
  <c r="D1024" i="1"/>
  <c r="C1024" i="1"/>
  <c r="B1024" i="1"/>
  <c r="A1024" i="1"/>
  <c r="L1023" i="1"/>
  <c r="K1023" i="1"/>
  <c r="I1023" i="1"/>
  <c r="H1023" i="1"/>
  <c r="G1023" i="1"/>
  <c r="J1023" i="1" s="1"/>
  <c r="F1023" i="1"/>
  <c r="E1023" i="1"/>
  <c r="D1023" i="1"/>
  <c r="C1023" i="1"/>
  <c r="B1023" i="1"/>
  <c r="A1023" i="1"/>
  <c r="L1022" i="1"/>
  <c r="K1022" i="1"/>
  <c r="I1022" i="1"/>
  <c r="H1022" i="1"/>
  <c r="G1022" i="1"/>
  <c r="J1022" i="1" s="1"/>
  <c r="F1022" i="1"/>
  <c r="E1022" i="1"/>
  <c r="D1022" i="1"/>
  <c r="C1022" i="1"/>
  <c r="B1022" i="1"/>
  <c r="A1022" i="1"/>
  <c r="L1021" i="1"/>
  <c r="K1021" i="1"/>
  <c r="I1021" i="1"/>
  <c r="H1021" i="1"/>
  <c r="G1021" i="1"/>
  <c r="J1021" i="1" s="1"/>
  <c r="F1021" i="1"/>
  <c r="E1021" i="1"/>
  <c r="D1021" i="1"/>
  <c r="C1021" i="1"/>
  <c r="B1021" i="1"/>
  <c r="A1021" i="1"/>
  <c r="L1020" i="1"/>
  <c r="K1020" i="1"/>
  <c r="I1020" i="1"/>
  <c r="H1020" i="1"/>
  <c r="G1020" i="1"/>
  <c r="F1020" i="1"/>
  <c r="E1020" i="1"/>
  <c r="D1020" i="1"/>
  <c r="C1020" i="1"/>
  <c r="B1020" i="1"/>
  <c r="A1020" i="1"/>
  <c r="L1019" i="1"/>
  <c r="K1019" i="1"/>
  <c r="I1019" i="1"/>
  <c r="H1019" i="1"/>
  <c r="G1019" i="1"/>
  <c r="J1019" i="1" s="1"/>
  <c r="F1019" i="1"/>
  <c r="E1019" i="1"/>
  <c r="D1019" i="1"/>
  <c r="C1019" i="1"/>
  <c r="B1019" i="1"/>
  <c r="A1019" i="1"/>
  <c r="L1018" i="1"/>
  <c r="K1018" i="1"/>
  <c r="I1018" i="1"/>
  <c r="H1018" i="1"/>
  <c r="G1018" i="1"/>
  <c r="F1018" i="1"/>
  <c r="E1018" i="1"/>
  <c r="D1018" i="1"/>
  <c r="C1018" i="1"/>
  <c r="B1018" i="1"/>
  <c r="A1018" i="1"/>
  <c r="L1017" i="1"/>
  <c r="K1017" i="1"/>
  <c r="I1017" i="1"/>
  <c r="H1017" i="1"/>
  <c r="G1017" i="1"/>
  <c r="J1017" i="1" s="1"/>
  <c r="F1017" i="1"/>
  <c r="E1017" i="1"/>
  <c r="D1017" i="1"/>
  <c r="C1017" i="1"/>
  <c r="B1017" i="1"/>
  <c r="A1017" i="1"/>
  <c r="L1016" i="1"/>
  <c r="K1016" i="1"/>
  <c r="I1016" i="1"/>
  <c r="H1016" i="1"/>
  <c r="G1016" i="1"/>
  <c r="F1016" i="1"/>
  <c r="E1016" i="1"/>
  <c r="D1016" i="1"/>
  <c r="C1016" i="1"/>
  <c r="B1016" i="1"/>
  <c r="A1016" i="1"/>
  <c r="L1015" i="1"/>
  <c r="K1015" i="1"/>
  <c r="I1015" i="1"/>
  <c r="H1015" i="1"/>
  <c r="G1015" i="1"/>
  <c r="J1015" i="1" s="1"/>
  <c r="F1015" i="1"/>
  <c r="E1015" i="1"/>
  <c r="D1015" i="1"/>
  <c r="C1015" i="1"/>
  <c r="B1015" i="1"/>
  <c r="A1015" i="1"/>
  <c r="L1014" i="1"/>
  <c r="K1014" i="1"/>
  <c r="I1014" i="1"/>
  <c r="H1014" i="1"/>
  <c r="G1014" i="1"/>
  <c r="J1014" i="1" s="1"/>
  <c r="F1014" i="1"/>
  <c r="E1014" i="1"/>
  <c r="D1014" i="1"/>
  <c r="C1014" i="1"/>
  <c r="B1014" i="1"/>
  <c r="A1014" i="1"/>
  <c r="L1013" i="1"/>
  <c r="K1013" i="1"/>
  <c r="I1013" i="1"/>
  <c r="H1013" i="1"/>
  <c r="G1013" i="1"/>
  <c r="J1013" i="1" s="1"/>
  <c r="F1013" i="1"/>
  <c r="E1013" i="1"/>
  <c r="D1013" i="1"/>
  <c r="C1013" i="1"/>
  <c r="B1013" i="1"/>
  <c r="A1013" i="1"/>
  <c r="L1012" i="1"/>
  <c r="K1012" i="1"/>
  <c r="I1012" i="1"/>
  <c r="H1012" i="1"/>
  <c r="G1012" i="1"/>
  <c r="F1012" i="1"/>
  <c r="E1012" i="1"/>
  <c r="D1012" i="1"/>
  <c r="C1012" i="1"/>
  <c r="B1012" i="1"/>
  <c r="A1012" i="1"/>
  <c r="L1011" i="1"/>
  <c r="K1011" i="1"/>
  <c r="I1011" i="1"/>
  <c r="H1011" i="1"/>
  <c r="G1011" i="1"/>
  <c r="J1011" i="1" s="1"/>
  <c r="F1011" i="1"/>
  <c r="E1011" i="1"/>
  <c r="D1011" i="1"/>
  <c r="C1011" i="1"/>
  <c r="B1011" i="1"/>
  <c r="A1011" i="1"/>
  <c r="L1010" i="1"/>
  <c r="K1010" i="1"/>
  <c r="I1010" i="1"/>
  <c r="H1010" i="1"/>
  <c r="G1010" i="1"/>
  <c r="F1010" i="1"/>
  <c r="E1010" i="1"/>
  <c r="D1010" i="1"/>
  <c r="C1010" i="1"/>
  <c r="B1010" i="1"/>
  <c r="A1010" i="1"/>
  <c r="L1009" i="1"/>
  <c r="K1009" i="1"/>
  <c r="I1009" i="1"/>
  <c r="H1009" i="1"/>
  <c r="G1009" i="1"/>
  <c r="J1009" i="1" s="1"/>
  <c r="F1009" i="1"/>
  <c r="E1009" i="1"/>
  <c r="D1009" i="1"/>
  <c r="C1009" i="1"/>
  <c r="B1009" i="1"/>
  <c r="A1009" i="1"/>
  <c r="L1008" i="1"/>
  <c r="K1008" i="1"/>
  <c r="I1008" i="1"/>
  <c r="H1008" i="1"/>
  <c r="G1008" i="1"/>
  <c r="F1008" i="1"/>
  <c r="E1008" i="1"/>
  <c r="D1008" i="1"/>
  <c r="C1008" i="1"/>
  <c r="B1008" i="1"/>
  <c r="A1008" i="1"/>
  <c r="L1007" i="1"/>
  <c r="K1007" i="1"/>
  <c r="I1007" i="1"/>
  <c r="H1007" i="1"/>
  <c r="G1007" i="1"/>
  <c r="J1007" i="1" s="1"/>
  <c r="F1007" i="1"/>
  <c r="E1007" i="1"/>
  <c r="D1007" i="1"/>
  <c r="C1007" i="1"/>
  <c r="B1007" i="1"/>
  <c r="A1007" i="1"/>
  <c r="L1006" i="1"/>
  <c r="K1006" i="1"/>
  <c r="I1006" i="1"/>
  <c r="H1006" i="1"/>
  <c r="G1006" i="1"/>
  <c r="J1006" i="1" s="1"/>
  <c r="F1006" i="1"/>
  <c r="E1006" i="1"/>
  <c r="D1006" i="1"/>
  <c r="C1006" i="1"/>
  <c r="B1006" i="1"/>
  <c r="A1006" i="1"/>
  <c r="L1005" i="1"/>
  <c r="K1005" i="1"/>
  <c r="I1005" i="1"/>
  <c r="H1005" i="1"/>
  <c r="G1005" i="1"/>
  <c r="J1005" i="1" s="1"/>
  <c r="F1005" i="1"/>
  <c r="E1005" i="1"/>
  <c r="D1005" i="1"/>
  <c r="C1005" i="1"/>
  <c r="B1005" i="1"/>
  <c r="A1005" i="1"/>
  <c r="L1004" i="1"/>
  <c r="K1004" i="1"/>
  <c r="I1004" i="1"/>
  <c r="H1004" i="1"/>
  <c r="G1004" i="1"/>
  <c r="F1004" i="1"/>
  <c r="E1004" i="1"/>
  <c r="D1004" i="1"/>
  <c r="C1004" i="1"/>
  <c r="B1004" i="1"/>
  <c r="A1004" i="1"/>
  <c r="L1003" i="1"/>
  <c r="K1003" i="1"/>
  <c r="I1003" i="1"/>
  <c r="H1003" i="1"/>
  <c r="G1003" i="1"/>
  <c r="J1003" i="1" s="1"/>
  <c r="F1003" i="1"/>
  <c r="E1003" i="1"/>
  <c r="D1003" i="1"/>
  <c r="C1003" i="1"/>
  <c r="B1003" i="1"/>
  <c r="A1003" i="1"/>
  <c r="L1002" i="1"/>
  <c r="K1002" i="1"/>
  <c r="I1002" i="1"/>
  <c r="H1002" i="1"/>
  <c r="G1002" i="1"/>
  <c r="F1002" i="1"/>
  <c r="E1002" i="1"/>
  <c r="D1002" i="1"/>
  <c r="C1002" i="1"/>
  <c r="B1002" i="1"/>
  <c r="A1002" i="1"/>
  <c r="L1001" i="1"/>
  <c r="K1001" i="1"/>
  <c r="I1001" i="1"/>
  <c r="H1001" i="1"/>
  <c r="G1001" i="1"/>
  <c r="J1001" i="1" s="1"/>
  <c r="F1001" i="1"/>
  <c r="E1001" i="1"/>
  <c r="D1001" i="1"/>
  <c r="C1001" i="1"/>
  <c r="B1001" i="1"/>
  <c r="A1001" i="1"/>
  <c r="L1000" i="1"/>
  <c r="K1000" i="1"/>
  <c r="I1000" i="1"/>
  <c r="H1000" i="1"/>
  <c r="G1000" i="1"/>
  <c r="F1000" i="1"/>
  <c r="E1000" i="1"/>
  <c r="D1000" i="1"/>
  <c r="C1000" i="1"/>
  <c r="B1000" i="1"/>
  <c r="A1000" i="1"/>
  <c r="L999" i="1"/>
  <c r="K999" i="1"/>
  <c r="I999" i="1"/>
  <c r="H999" i="1"/>
  <c r="G999" i="1"/>
  <c r="J999" i="1" s="1"/>
  <c r="F999" i="1"/>
  <c r="E999" i="1"/>
  <c r="D999" i="1"/>
  <c r="C999" i="1"/>
  <c r="B999" i="1"/>
  <c r="A999" i="1"/>
  <c r="L998" i="1"/>
  <c r="K998" i="1"/>
  <c r="I998" i="1"/>
  <c r="H998" i="1"/>
  <c r="G998" i="1"/>
  <c r="J998" i="1" s="1"/>
  <c r="F998" i="1"/>
  <c r="E998" i="1"/>
  <c r="D998" i="1"/>
  <c r="C998" i="1"/>
  <c r="B998" i="1"/>
  <c r="A998" i="1"/>
  <c r="L997" i="1"/>
  <c r="K997" i="1"/>
  <c r="I997" i="1"/>
  <c r="H997" i="1"/>
  <c r="G997" i="1"/>
  <c r="J997" i="1" s="1"/>
  <c r="F997" i="1"/>
  <c r="E997" i="1"/>
  <c r="D997" i="1"/>
  <c r="C997" i="1"/>
  <c r="B997" i="1"/>
  <c r="A997" i="1"/>
  <c r="L996" i="1"/>
  <c r="K996" i="1"/>
  <c r="I996" i="1"/>
  <c r="H996" i="1"/>
  <c r="G996" i="1"/>
  <c r="F996" i="1"/>
  <c r="E996" i="1"/>
  <c r="D996" i="1"/>
  <c r="C996" i="1"/>
  <c r="B996" i="1"/>
  <c r="A996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L994" i="1"/>
  <c r="K994" i="1"/>
  <c r="I994" i="1"/>
  <c r="H994" i="1"/>
  <c r="G994" i="1"/>
  <c r="F994" i="1"/>
  <c r="E994" i="1"/>
  <c r="D994" i="1"/>
  <c r="C994" i="1"/>
  <c r="B994" i="1"/>
  <c r="A994" i="1"/>
  <c r="L993" i="1"/>
  <c r="K993" i="1"/>
  <c r="I993" i="1"/>
  <c r="H993" i="1"/>
  <c r="G993" i="1"/>
  <c r="J993" i="1" s="1"/>
  <c r="F993" i="1"/>
  <c r="E993" i="1"/>
  <c r="D993" i="1"/>
  <c r="C993" i="1"/>
  <c r="B993" i="1"/>
  <c r="A993" i="1"/>
  <c r="L992" i="1"/>
  <c r="K992" i="1"/>
  <c r="I992" i="1"/>
  <c r="H992" i="1"/>
  <c r="G992" i="1"/>
  <c r="F992" i="1"/>
  <c r="E992" i="1"/>
  <c r="D992" i="1"/>
  <c r="C992" i="1"/>
  <c r="B992" i="1"/>
  <c r="A992" i="1"/>
  <c r="L991" i="1"/>
  <c r="K991" i="1"/>
  <c r="I991" i="1"/>
  <c r="H991" i="1"/>
  <c r="G991" i="1"/>
  <c r="J991" i="1" s="1"/>
  <c r="F991" i="1"/>
  <c r="E991" i="1"/>
  <c r="D991" i="1"/>
  <c r="C991" i="1"/>
  <c r="B991" i="1"/>
  <c r="A991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L989" i="1"/>
  <c r="K989" i="1"/>
  <c r="I989" i="1"/>
  <c r="H989" i="1"/>
  <c r="G989" i="1"/>
  <c r="J989" i="1" s="1"/>
  <c r="F989" i="1"/>
  <c r="E989" i="1"/>
  <c r="D989" i="1"/>
  <c r="C989" i="1"/>
  <c r="B989" i="1"/>
  <c r="A989" i="1"/>
  <c r="L988" i="1"/>
  <c r="K988" i="1"/>
  <c r="I988" i="1"/>
  <c r="H988" i="1"/>
  <c r="G988" i="1"/>
  <c r="F988" i="1"/>
  <c r="E988" i="1"/>
  <c r="D988" i="1"/>
  <c r="C988" i="1"/>
  <c r="B988" i="1"/>
  <c r="A988" i="1"/>
  <c r="L987" i="1"/>
  <c r="K987" i="1"/>
  <c r="I987" i="1"/>
  <c r="H987" i="1"/>
  <c r="G987" i="1"/>
  <c r="J987" i="1" s="1"/>
  <c r="F987" i="1"/>
  <c r="E987" i="1"/>
  <c r="D987" i="1"/>
  <c r="C987" i="1"/>
  <c r="B987" i="1"/>
  <c r="A987" i="1"/>
  <c r="L986" i="1"/>
  <c r="K986" i="1"/>
  <c r="I986" i="1"/>
  <c r="H986" i="1"/>
  <c r="G986" i="1"/>
  <c r="F986" i="1"/>
  <c r="E986" i="1"/>
  <c r="D986" i="1"/>
  <c r="C986" i="1"/>
  <c r="B986" i="1"/>
  <c r="A986" i="1"/>
  <c r="L985" i="1"/>
  <c r="K985" i="1"/>
  <c r="I985" i="1"/>
  <c r="H985" i="1"/>
  <c r="G985" i="1"/>
  <c r="J985" i="1" s="1"/>
  <c r="F985" i="1"/>
  <c r="E985" i="1"/>
  <c r="D985" i="1"/>
  <c r="C985" i="1"/>
  <c r="B985" i="1"/>
  <c r="A985" i="1"/>
  <c r="L984" i="1"/>
  <c r="K984" i="1"/>
  <c r="I984" i="1"/>
  <c r="H984" i="1"/>
  <c r="G984" i="1"/>
  <c r="J984" i="1" s="1"/>
  <c r="F984" i="1"/>
  <c r="E984" i="1"/>
  <c r="D984" i="1"/>
  <c r="C984" i="1"/>
  <c r="B984" i="1"/>
  <c r="A984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L982" i="1"/>
  <c r="K982" i="1"/>
  <c r="I982" i="1"/>
  <c r="H982" i="1"/>
  <c r="G982" i="1"/>
  <c r="J982" i="1" s="1"/>
  <c r="F982" i="1"/>
  <c r="E982" i="1"/>
  <c r="D982" i="1"/>
  <c r="C982" i="1"/>
  <c r="B982" i="1"/>
  <c r="A982" i="1"/>
  <c r="L981" i="1"/>
  <c r="K981" i="1"/>
  <c r="I981" i="1"/>
  <c r="H981" i="1"/>
  <c r="G981" i="1"/>
  <c r="J981" i="1" s="1"/>
  <c r="F981" i="1"/>
  <c r="E981" i="1"/>
  <c r="D981" i="1"/>
  <c r="C981" i="1"/>
  <c r="B981" i="1"/>
  <c r="A981" i="1"/>
  <c r="L980" i="1"/>
  <c r="K980" i="1"/>
  <c r="I980" i="1"/>
  <c r="H980" i="1"/>
  <c r="G980" i="1"/>
  <c r="F980" i="1"/>
  <c r="E980" i="1"/>
  <c r="D980" i="1"/>
  <c r="C980" i="1"/>
  <c r="B980" i="1"/>
  <c r="A980" i="1"/>
  <c r="L979" i="1"/>
  <c r="K979" i="1"/>
  <c r="I979" i="1"/>
  <c r="H979" i="1"/>
  <c r="G979" i="1"/>
  <c r="J979" i="1" s="1"/>
  <c r="F979" i="1"/>
  <c r="E979" i="1"/>
  <c r="D979" i="1"/>
  <c r="C979" i="1"/>
  <c r="B979" i="1"/>
  <c r="A979" i="1"/>
  <c r="L978" i="1"/>
  <c r="K978" i="1"/>
  <c r="I978" i="1"/>
  <c r="H978" i="1"/>
  <c r="G978" i="1"/>
  <c r="F978" i="1"/>
  <c r="E978" i="1"/>
  <c r="D978" i="1"/>
  <c r="C978" i="1"/>
  <c r="B978" i="1"/>
  <c r="A978" i="1"/>
  <c r="L977" i="1"/>
  <c r="K977" i="1"/>
  <c r="I977" i="1"/>
  <c r="H977" i="1"/>
  <c r="G977" i="1"/>
  <c r="J977" i="1" s="1"/>
  <c r="F977" i="1"/>
  <c r="E977" i="1"/>
  <c r="D977" i="1"/>
  <c r="C977" i="1"/>
  <c r="B977" i="1"/>
  <c r="A977" i="1"/>
  <c r="L976" i="1"/>
  <c r="K976" i="1"/>
  <c r="I976" i="1"/>
  <c r="H976" i="1"/>
  <c r="G976" i="1"/>
  <c r="J976" i="1" s="1"/>
  <c r="F976" i="1"/>
  <c r="E976" i="1"/>
  <c r="D976" i="1"/>
  <c r="C976" i="1"/>
  <c r="B976" i="1"/>
  <c r="A976" i="1"/>
  <c r="L975" i="1"/>
  <c r="K975" i="1"/>
  <c r="I975" i="1"/>
  <c r="H975" i="1"/>
  <c r="G975" i="1"/>
  <c r="J975" i="1" s="1"/>
  <c r="F975" i="1"/>
  <c r="E975" i="1"/>
  <c r="D975" i="1"/>
  <c r="C975" i="1"/>
  <c r="B975" i="1"/>
  <c r="A975" i="1"/>
  <c r="L974" i="1"/>
  <c r="K974" i="1"/>
  <c r="I974" i="1"/>
  <c r="H974" i="1"/>
  <c r="G974" i="1"/>
  <c r="J974" i="1" s="1"/>
  <c r="F974" i="1"/>
  <c r="E974" i="1"/>
  <c r="D974" i="1"/>
  <c r="C974" i="1"/>
  <c r="B974" i="1"/>
  <c r="A974" i="1"/>
  <c r="L973" i="1"/>
  <c r="K973" i="1"/>
  <c r="I973" i="1"/>
  <c r="H973" i="1"/>
  <c r="G973" i="1"/>
  <c r="J973" i="1" s="1"/>
  <c r="F973" i="1"/>
  <c r="E973" i="1"/>
  <c r="D973" i="1"/>
  <c r="C973" i="1"/>
  <c r="B973" i="1"/>
  <c r="A973" i="1"/>
  <c r="L972" i="1"/>
  <c r="K972" i="1"/>
  <c r="I972" i="1"/>
  <c r="H972" i="1"/>
  <c r="G972" i="1"/>
  <c r="F972" i="1"/>
  <c r="E972" i="1"/>
  <c r="D972" i="1"/>
  <c r="C972" i="1"/>
  <c r="B972" i="1"/>
  <c r="A972" i="1"/>
  <c r="L971" i="1"/>
  <c r="K971" i="1"/>
  <c r="I971" i="1"/>
  <c r="H971" i="1"/>
  <c r="G971" i="1"/>
  <c r="J971" i="1" s="1"/>
  <c r="F971" i="1"/>
  <c r="E971" i="1"/>
  <c r="D971" i="1"/>
  <c r="C971" i="1"/>
  <c r="B971" i="1"/>
  <c r="A971" i="1"/>
  <c r="L970" i="1"/>
  <c r="K970" i="1"/>
  <c r="I970" i="1"/>
  <c r="H970" i="1"/>
  <c r="G970" i="1"/>
  <c r="F970" i="1"/>
  <c r="E970" i="1"/>
  <c r="D970" i="1"/>
  <c r="C970" i="1"/>
  <c r="B970" i="1"/>
  <c r="A970" i="1"/>
  <c r="L969" i="1"/>
  <c r="K969" i="1"/>
  <c r="I969" i="1"/>
  <c r="H969" i="1"/>
  <c r="G969" i="1"/>
  <c r="J969" i="1" s="1"/>
  <c r="F969" i="1"/>
  <c r="E969" i="1"/>
  <c r="D969" i="1"/>
  <c r="C969" i="1"/>
  <c r="B969" i="1"/>
  <c r="A969" i="1"/>
  <c r="L968" i="1"/>
  <c r="K968" i="1"/>
  <c r="I968" i="1"/>
  <c r="H968" i="1"/>
  <c r="G968" i="1"/>
  <c r="J968" i="1" s="1"/>
  <c r="F968" i="1"/>
  <c r="E968" i="1"/>
  <c r="D968" i="1"/>
  <c r="C968" i="1"/>
  <c r="B968" i="1"/>
  <c r="A968" i="1"/>
  <c r="L967" i="1"/>
  <c r="K967" i="1"/>
  <c r="I967" i="1"/>
  <c r="H967" i="1"/>
  <c r="G967" i="1"/>
  <c r="J967" i="1" s="1"/>
  <c r="F967" i="1"/>
  <c r="E967" i="1"/>
  <c r="D967" i="1"/>
  <c r="C967" i="1"/>
  <c r="B967" i="1"/>
  <c r="A967" i="1"/>
  <c r="L966" i="1"/>
  <c r="K966" i="1"/>
  <c r="I966" i="1"/>
  <c r="H966" i="1"/>
  <c r="G966" i="1"/>
  <c r="J966" i="1" s="1"/>
  <c r="F966" i="1"/>
  <c r="E966" i="1"/>
  <c r="D966" i="1"/>
  <c r="C966" i="1"/>
  <c r="B966" i="1"/>
  <c r="A966" i="1"/>
  <c r="L965" i="1"/>
  <c r="K965" i="1"/>
  <c r="I965" i="1"/>
  <c r="H965" i="1"/>
  <c r="G965" i="1"/>
  <c r="J965" i="1" s="1"/>
  <c r="F965" i="1"/>
  <c r="E965" i="1"/>
  <c r="D965" i="1"/>
  <c r="C965" i="1"/>
  <c r="B965" i="1"/>
  <c r="A965" i="1"/>
  <c r="L964" i="1"/>
  <c r="K964" i="1"/>
  <c r="I964" i="1"/>
  <c r="H964" i="1"/>
  <c r="G964" i="1"/>
  <c r="F964" i="1"/>
  <c r="E964" i="1"/>
  <c r="D964" i="1"/>
  <c r="C964" i="1"/>
  <c r="B964" i="1"/>
  <c r="A964" i="1"/>
  <c r="L963" i="1"/>
  <c r="K963" i="1"/>
  <c r="I963" i="1"/>
  <c r="H963" i="1"/>
  <c r="G963" i="1"/>
  <c r="J963" i="1" s="1"/>
  <c r="F963" i="1"/>
  <c r="E963" i="1"/>
  <c r="D963" i="1"/>
  <c r="C963" i="1"/>
  <c r="B963" i="1"/>
  <c r="A963" i="1"/>
  <c r="L962" i="1"/>
  <c r="K962" i="1"/>
  <c r="I962" i="1"/>
  <c r="H962" i="1"/>
  <c r="G962" i="1"/>
  <c r="F962" i="1"/>
  <c r="E962" i="1"/>
  <c r="D962" i="1"/>
  <c r="C962" i="1"/>
  <c r="B962" i="1"/>
  <c r="A962" i="1"/>
  <c r="L961" i="1"/>
  <c r="K961" i="1"/>
  <c r="I961" i="1"/>
  <c r="H961" i="1"/>
  <c r="G961" i="1"/>
  <c r="J961" i="1" s="1"/>
  <c r="F961" i="1"/>
  <c r="E961" i="1"/>
  <c r="D961" i="1"/>
  <c r="C961" i="1"/>
  <c r="B961" i="1"/>
  <c r="A961" i="1"/>
  <c r="L960" i="1"/>
  <c r="K960" i="1"/>
  <c r="I960" i="1"/>
  <c r="H960" i="1"/>
  <c r="G960" i="1"/>
  <c r="J960" i="1" s="1"/>
  <c r="F960" i="1"/>
  <c r="E960" i="1"/>
  <c r="D960" i="1"/>
  <c r="C960" i="1"/>
  <c r="B960" i="1"/>
  <c r="A960" i="1"/>
  <c r="L959" i="1"/>
  <c r="K959" i="1"/>
  <c r="I959" i="1"/>
  <c r="H959" i="1"/>
  <c r="G959" i="1"/>
  <c r="J959" i="1" s="1"/>
  <c r="F959" i="1"/>
  <c r="E959" i="1"/>
  <c r="D959" i="1"/>
  <c r="C959" i="1"/>
  <c r="B959" i="1"/>
  <c r="A959" i="1"/>
  <c r="L958" i="1"/>
  <c r="K958" i="1"/>
  <c r="I958" i="1"/>
  <c r="H958" i="1"/>
  <c r="G958" i="1"/>
  <c r="J958" i="1" s="1"/>
  <c r="F958" i="1"/>
  <c r="E958" i="1"/>
  <c r="D958" i="1"/>
  <c r="C958" i="1"/>
  <c r="B958" i="1"/>
  <c r="A958" i="1"/>
  <c r="L957" i="1"/>
  <c r="K957" i="1"/>
  <c r="I957" i="1"/>
  <c r="H957" i="1"/>
  <c r="G957" i="1"/>
  <c r="J957" i="1" s="1"/>
  <c r="F957" i="1"/>
  <c r="E957" i="1"/>
  <c r="D957" i="1"/>
  <c r="C957" i="1"/>
  <c r="B957" i="1"/>
  <c r="A957" i="1"/>
  <c r="L956" i="1"/>
  <c r="K956" i="1"/>
  <c r="I956" i="1"/>
  <c r="H956" i="1"/>
  <c r="G956" i="1"/>
  <c r="F956" i="1"/>
  <c r="E956" i="1"/>
  <c r="D956" i="1"/>
  <c r="C956" i="1"/>
  <c r="B956" i="1"/>
  <c r="A956" i="1"/>
  <c r="L955" i="1"/>
  <c r="K955" i="1"/>
  <c r="I955" i="1"/>
  <c r="H955" i="1"/>
  <c r="G955" i="1"/>
  <c r="J955" i="1" s="1"/>
  <c r="F955" i="1"/>
  <c r="E955" i="1"/>
  <c r="D955" i="1"/>
  <c r="C955" i="1"/>
  <c r="B955" i="1"/>
  <c r="A955" i="1"/>
  <c r="L954" i="1"/>
  <c r="K954" i="1"/>
  <c r="I954" i="1"/>
  <c r="H954" i="1"/>
  <c r="G954" i="1"/>
  <c r="F954" i="1"/>
  <c r="E954" i="1"/>
  <c r="D954" i="1"/>
  <c r="C954" i="1"/>
  <c r="B954" i="1"/>
  <c r="A954" i="1"/>
  <c r="L953" i="1"/>
  <c r="K953" i="1"/>
  <c r="I953" i="1"/>
  <c r="H953" i="1"/>
  <c r="G953" i="1"/>
  <c r="J953" i="1" s="1"/>
  <c r="F953" i="1"/>
  <c r="E953" i="1"/>
  <c r="D953" i="1"/>
  <c r="C953" i="1"/>
  <c r="B953" i="1"/>
  <c r="A953" i="1"/>
  <c r="L952" i="1"/>
  <c r="K952" i="1"/>
  <c r="I952" i="1"/>
  <c r="H952" i="1"/>
  <c r="G952" i="1"/>
  <c r="J952" i="1" s="1"/>
  <c r="F952" i="1"/>
  <c r="E952" i="1"/>
  <c r="D952" i="1"/>
  <c r="C952" i="1"/>
  <c r="B952" i="1"/>
  <c r="A952" i="1"/>
  <c r="L951" i="1"/>
  <c r="K951" i="1"/>
  <c r="I951" i="1"/>
  <c r="H951" i="1"/>
  <c r="G951" i="1"/>
  <c r="J951" i="1" s="1"/>
  <c r="F951" i="1"/>
  <c r="E951" i="1"/>
  <c r="D951" i="1"/>
  <c r="C951" i="1"/>
  <c r="B951" i="1"/>
  <c r="A951" i="1"/>
  <c r="L950" i="1"/>
  <c r="K950" i="1"/>
  <c r="I950" i="1"/>
  <c r="H950" i="1"/>
  <c r="G950" i="1"/>
  <c r="J950" i="1" s="1"/>
  <c r="F950" i="1"/>
  <c r="E950" i="1"/>
  <c r="D950" i="1"/>
  <c r="C950" i="1"/>
  <c r="B950" i="1"/>
  <c r="A950" i="1"/>
  <c r="L949" i="1"/>
  <c r="K949" i="1"/>
  <c r="I949" i="1"/>
  <c r="H949" i="1"/>
  <c r="G949" i="1"/>
  <c r="J949" i="1" s="1"/>
  <c r="F949" i="1"/>
  <c r="E949" i="1"/>
  <c r="D949" i="1"/>
  <c r="C949" i="1"/>
  <c r="B949" i="1"/>
  <c r="A949" i="1"/>
  <c r="L948" i="1"/>
  <c r="K948" i="1"/>
  <c r="I948" i="1"/>
  <c r="H948" i="1"/>
  <c r="G948" i="1"/>
  <c r="F948" i="1"/>
  <c r="E948" i="1"/>
  <c r="D948" i="1"/>
  <c r="C948" i="1"/>
  <c r="B948" i="1"/>
  <c r="A948" i="1"/>
  <c r="L947" i="1"/>
  <c r="K947" i="1"/>
  <c r="I947" i="1"/>
  <c r="H947" i="1"/>
  <c r="G947" i="1"/>
  <c r="J947" i="1" s="1"/>
  <c r="F947" i="1"/>
  <c r="E947" i="1"/>
  <c r="D947" i="1"/>
  <c r="C947" i="1"/>
  <c r="B947" i="1"/>
  <c r="A947" i="1"/>
  <c r="L946" i="1"/>
  <c r="K946" i="1"/>
  <c r="I946" i="1"/>
  <c r="H946" i="1"/>
  <c r="G946" i="1"/>
  <c r="F946" i="1"/>
  <c r="E946" i="1"/>
  <c r="D946" i="1"/>
  <c r="C946" i="1"/>
  <c r="B946" i="1"/>
  <c r="A946" i="1"/>
  <c r="L945" i="1"/>
  <c r="K945" i="1"/>
  <c r="I945" i="1"/>
  <c r="H945" i="1"/>
  <c r="G945" i="1"/>
  <c r="J945" i="1" s="1"/>
  <c r="F945" i="1"/>
  <c r="E945" i="1"/>
  <c r="D945" i="1"/>
  <c r="C945" i="1"/>
  <c r="B945" i="1"/>
  <c r="A945" i="1"/>
  <c r="L944" i="1"/>
  <c r="K944" i="1"/>
  <c r="I944" i="1"/>
  <c r="H944" i="1"/>
  <c r="G944" i="1"/>
  <c r="J944" i="1" s="1"/>
  <c r="F944" i="1"/>
  <c r="E944" i="1"/>
  <c r="D944" i="1"/>
  <c r="C944" i="1"/>
  <c r="B944" i="1"/>
  <c r="A944" i="1"/>
  <c r="L943" i="1"/>
  <c r="K943" i="1"/>
  <c r="I943" i="1"/>
  <c r="H943" i="1"/>
  <c r="G943" i="1"/>
  <c r="J943" i="1" s="1"/>
  <c r="F943" i="1"/>
  <c r="E943" i="1"/>
  <c r="D943" i="1"/>
  <c r="C943" i="1"/>
  <c r="B943" i="1"/>
  <c r="A943" i="1"/>
  <c r="L942" i="1"/>
  <c r="K942" i="1"/>
  <c r="I942" i="1"/>
  <c r="H942" i="1"/>
  <c r="G942" i="1"/>
  <c r="J942" i="1" s="1"/>
  <c r="F942" i="1"/>
  <c r="E942" i="1"/>
  <c r="D942" i="1"/>
  <c r="C942" i="1"/>
  <c r="B942" i="1"/>
  <c r="A942" i="1"/>
  <c r="L941" i="1"/>
  <c r="K941" i="1"/>
  <c r="I941" i="1"/>
  <c r="H941" i="1"/>
  <c r="G941" i="1"/>
  <c r="J941" i="1" s="1"/>
  <c r="F941" i="1"/>
  <c r="E941" i="1"/>
  <c r="D941" i="1"/>
  <c r="C941" i="1"/>
  <c r="B941" i="1"/>
  <c r="A941" i="1"/>
  <c r="L940" i="1"/>
  <c r="K940" i="1"/>
  <c r="I940" i="1"/>
  <c r="H940" i="1"/>
  <c r="G940" i="1"/>
  <c r="F940" i="1"/>
  <c r="E940" i="1"/>
  <c r="D940" i="1"/>
  <c r="C940" i="1"/>
  <c r="B940" i="1"/>
  <c r="A940" i="1"/>
  <c r="L939" i="1"/>
  <c r="K939" i="1"/>
  <c r="I939" i="1"/>
  <c r="H939" i="1"/>
  <c r="G939" i="1"/>
  <c r="J939" i="1" s="1"/>
  <c r="F939" i="1"/>
  <c r="E939" i="1"/>
  <c r="D939" i="1"/>
  <c r="C939" i="1"/>
  <c r="B939" i="1"/>
  <c r="A939" i="1"/>
  <c r="L938" i="1"/>
  <c r="K938" i="1"/>
  <c r="I938" i="1"/>
  <c r="H938" i="1"/>
  <c r="G938" i="1"/>
  <c r="F938" i="1"/>
  <c r="E938" i="1"/>
  <c r="D938" i="1"/>
  <c r="C938" i="1"/>
  <c r="B938" i="1"/>
  <c r="A938" i="1"/>
  <c r="L937" i="1"/>
  <c r="K937" i="1"/>
  <c r="I937" i="1"/>
  <c r="H937" i="1"/>
  <c r="G937" i="1"/>
  <c r="J937" i="1" s="1"/>
  <c r="F937" i="1"/>
  <c r="E937" i="1"/>
  <c r="D937" i="1"/>
  <c r="C937" i="1"/>
  <c r="B937" i="1"/>
  <c r="A937" i="1"/>
  <c r="L936" i="1"/>
  <c r="K936" i="1"/>
  <c r="I936" i="1"/>
  <c r="H936" i="1"/>
  <c r="G936" i="1"/>
  <c r="J936" i="1" s="1"/>
  <c r="F936" i="1"/>
  <c r="E936" i="1"/>
  <c r="D936" i="1"/>
  <c r="C936" i="1"/>
  <c r="B936" i="1"/>
  <c r="A936" i="1"/>
  <c r="L935" i="1"/>
  <c r="K935" i="1"/>
  <c r="I935" i="1"/>
  <c r="H935" i="1"/>
  <c r="G935" i="1"/>
  <c r="J935" i="1" s="1"/>
  <c r="F935" i="1"/>
  <c r="E935" i="1"/>
  <c r="D935" i="1"/>
  <c r="C935" i="1"/>
  <c r="B935" i="1"/>
  <c r="A935" i="1"/>
  <c r="L934" i="1"/>
  <c r="K934" i="1"/>
  <c r="I934" i="1"/>
  <c r="H934" i="1"/>
  <c r="G934" i="1"/>
  <c r="J934" i="1" s="1"/>
  <c r="F934" i="1"/>
  <c r="E934" i="1"/>
  <c r="D934" i="1"/>
  <c r="C934" i="1"/>
  <c r="B934" i="1"/>
  <c r="A934" i="1"/>
  <c r="L933" i="1"/>
  <c r="K933" i="1"/>
  <c r="I933" i="1"/>
  <c r="H933" i="1"/>
  <c r="G933" i="1"/>
  <c r="J933" i="1" s="1"/>
  <c r="F933" i="1"/>
  <c r="E933" i="1"/>
  <c r="D933" i="1"/>
  <c r="C933" i="1"/>
  <c r="B933" i="1"/>
  <c r="A933" i="1"/>
  <c r="L932" i="1"/>
  <c r="K932" i="1"/>
  <c r="I932" i="1"/>
  <c r="H932" i="1"/>
  <c r="G932" i="1"/>
  <c r="F932" i="1"/>
  <c r="E932" i="1"/>
  <c r="D932" i="1"/>
  <c r="C932" i="1"/>
  <c r="B932" i="1"/>
  <c r="A932" i="1"/>
  <c r="L931" i="1"/>
  <c r="K931" i="1"/>
  <c r="I931" i="1"/>
  <c r="H931" i="1"/>
  <c r="G931" i="1"/>
  <c r="J931" i="1" s="1"/>
  <c r="F931" i="1"/>
  <c r="E931" i="1"/>
  <c r="D931" i="1"/>
  <c r="C931" i="1"/>
  <c r="B931" i="1"/>
  <c r="A931" i="1"/>
  <c r="L930" i="1"/>
  <c r="K930" i="1"/>
  <c r="I930" i="1"/>
  <c r="H930" i="1"/>
  <c r="G930" i="1"/>
  <c r="F930" i="1"/>
  <c r="E930" i="1"/>
  <c r="D930" i="1"/>
  <c r="C930" i="1"/>
  <c r="B930" i="1"/>
  <c r="A930" i="1"/>
  <c r="L929" i="1"/>
  <c r="K929" i="1"/>
  <c r="I929" i="1"/>
  <c r="H929" i="1"/>
  <c r="G929" i="1"/>
  <c r="J929" i="1" s="1"/>
  <c r="F929" i="1"/>
  <c r="E929" i="1"/>
  <c r="D929" i="1"/>
  <c r="C929" i="1"/>
  <c r="B929" i="1"/>
  <c r="A929" i="1"/>
  <c r="L928" i="1"/>
  <c r="K928" i="1"/>
  <c r="I928" i="1"/>
  <c r="H928" i="1"/>
  <c r="G928" i="1"/>
  <c r="J928" i="1" s="1"/>
  <c r="F928" i="1"/>
  <c r="E928" i="1"/>
  <c r="D928" i="1"/>
  <c r="C928" i="1"/>
  <c r="B928" i="1"/>
  <c r="A928" i="1"/>
  <c r="L927" i="1"/>
  <c r="K927" i="1"/>
  <c r="I927" i="1"/>
  <c r="H927" i="1"/>
  <c r="G927" i="1"/>
  <c r="J927" i="1" s="1"/>
  <c r="F927" i="1"/>
  <c r="E927" i="1"/>
  <c r="D927" i="1"/>
  <c r="C927" i="1"/>
  <c r="B927" i="1"/>
  <c r="A927" i="1"/>
  <c r="L926" i="1"/>
  <c r="K926" i="1"/>
  <c r="I926" i="1"/>
  <c r="H926" i="1"/>
  <c r="G926" i="1"/>
  <c r="J926" i="1" s="1"/>
  <c r="F926" i="1"/>
  <c r="E926" i="1"/>
  <c r="D926" i="1"/>
  <c r="C926" i="1"/>
  <c r="B926" i="1"/>
  <c r="A926" i="1"/>
  <c r="L925" i="1"/>
  <c r="K925" i="1"/>
  <c r="I925" i="1"/>
  <c r="H925" i="1"/>
  <c r="G925" i="1"/>
  <c r="J925" i="1" s="1"/>
  <c r="F925" i="1"/>
  <c r="E925" i="1"/>
  <c r="D925" i="1"/>
  <c r="C925" i="1"/>
  <c r="B925" i="1"/>
  <c r="A925" i="1"/>
  <c r="L924" i="1"/>
  <c r="K924" i="1"/>
  <c r="I924" i="1"/>
  <c r="H924" i="1"/>
  <c r="G924" i="1"/>
  <c r="F924" i="1"/>
  <c r="E924" i="1"/>
  <c r="D924" i="1"/>
  <c r="C924" i="1"/>
  <c r="B924" i="1"/>
  <c r="A924" i="1"/>
  <c r="L923" i="1"/>
  <c r="K923" i="1"/>
  <c r="I923" i="1"/>
  <c r="H923" i="1"/>
  <c r="G923" i="1"/>
  <c r="J923" i="1" s="1"/>
  <c r="F923" i="1"/>
  <c r="E923" i="1"/>
  <c r="D923" i="1"/>
  <c r="C923" i="1"/>
  <c r="B923" i="1"/>
  <c r="A923" i="1"/>
  <c r="L922" i="1"/>
  <c r="K922" i="1"/>
  <c r="I922" i="1"/>
  <c r="H922" i="1"/>
  <c r="G922" i="1"/>
  <c r="F922" i="1"/>
  <c r="E922" i="1"/>
  <c r="D922" i="1"/>
  <c r="C922" i="1"/>
  <c r="B922" i="1"/>
  <c r="A922" i="1"/>
  <c r="L921" i="1"/>
  <c r="K921" i="1"/>
  <c r="I921" i="1"/>
  <c r="H921" i="1"/>
  <c r="G921" i="1"/>
  <c r="J921" i="1" s="1"/>
  <c r="F921" i="1"/>
  <c r="E921" i="1"/>
  <c r="D921" i="1"/>
  <c r="C921" i="1"/>
  <c r="B921" i="1"/>
  <c r="A921" i="1"/>
  <c r="L920" i="1"/>
  <c r="K920" i="1"/>
  <c r="I920" i="1"/>
  <c r="H920" i="1"/>
  <c r="G920" i="1"/>
  <c r="J920" i="1" s="1"/>
  <c r="F920" i="1"/>
  <c r="E920" i="1"/>
  <c r="D920" i="1"/>
  <c r="C920" i="1"/>
  <c r="B920" i="1"/>
  <c r="A920" i="1"/>
  <c r="L919" i="1"/>
  <c r="K919" i="1"/>
  <c r="I919" i="1"/>
  <c r="H919" i="1"/>
  <c r="G919" i="1"/>
  <c r="J919" i="1" s="1"/>
  <c r="F919" i="1"/>
  <c r="E919" i="1"/>
  <c r="D919" i="1"/>
  <c r="C919" i="1"/>
  <c r="B919" i="1"/>
  <c r="A919" i="1"/>
  <c r="L918" i="1"/>
  <c r="K918" i="1"/>
  <c r="I918" i="1"/>
  <c r="H918" i="1"/>
  <c r="G918" i="1"/>
  <c r="J918" i="1" s="1"/>
  <c r="F918" i="1"/>
  <c r="E918" i="1"/>
  <c r="D918" i="1"/>
  <c r="C918" i="1"/>
  <c r="B918" i="1"/>
  <c r="A918" i="1"/>
  <c r="L917" i="1"/>
  <c r="K917" i="1"/>
  <c r="I917" i="1"/>
  <c r="H917" i="1"/>
  <c r="G917" i="1"/>
  <c r="J917" i="1" s="1"/>
  <c r="F917" i="1"/>
  <c r="E917" i="1"/>
  <c r="D917" i="1"/>
  <c r="C917" i="1"/>
  <c r="B917" i="1"/>
  <c r="A917" i="1"/>
  <c r="L916" i="1"/>
  <c r="K916" i="1"/>
  <c r="I916" i="1"/>
  <c r="H916" i="1"/>
  <c r="G916" i="1"/>
  <c r="F916" i="1"/>
  <c r="E916" i="1"/>
  <c r="D916" i="1"/>
  <c r="C916" i="1"/>
  <c r="B916" i="1"/>
  <c r="A916" i="1"/>
  <c r="L915" i="1"/>
  <c r="K915" i="1"/>
  <c r="I915" i="1"/>
  <c r="H915" i="1"/>
  <c r="G915" i="1"/>
  <c r="J915" i="1" s="1"/>
  <c r="F915" i="1"/>
  <c r="E915" i="1"/>
  <c r="D915" i="1"/>
  <c r="C915" i="1"/>
  <c r="B915" i="1"/>
  <c r="A915" i="1"/>
  <c r="L914" i="1"/>
  <c r="K914" i="1"/>
  <c r="I914" i="1"/>
  <c r="H914" i="1"/>
  <c r="G914" i="1"/>
  <c r="F914" i="1"/>
  <c r="E914" i="1"/>
  <c r="D914" i="1"/>
  <c r="C914" i="1"/>
  <c r="B914" i="1"/>
  <c r="A914" i="1"/>
  <c r="L913" i="1"/>
  <c r="K913" i="1"/>
  <c r="I913" i="1"/>
  <c r="H913" i="1"/>
  <c r="G913" i="1"/>
  <c r="J913" i="1" s="1"/>
  <c r="F913" i="1"/>
  <c r="E913" i="1"/>
  <c r="D913" i="1"/>
  <c r="C913" i="1"/>
  <c r="B913" i="1"/>
  <c r="A913" i="1"/>
  <c r="L912" i="1"/>
  <c r="K912" i="1"/>
  <c r="I912" i="1"/>
  <c r="H912" i="1"/>
  <c r="G912" i="1"/>
  <c r="J912" i="1" s="1"/>
  <c r="F912" i="1"/>
  <c r="E912" i="1"/>
  <c r="D912" i="1"/>
  <c r="C912" i="1"/>
  <c r="B912" i="1"/>
  <c r="A912" i="1"/>
  <c r="L911" i="1"/>
  <c r="K911" i="1"/>
  <c r="I911" i="1"/>
  <c r="H911" i="1"/>
  <c r="G911" i="1"/>
  <c r="J911" i="1" s="1"/>
  <c r="F911" i="1"/>
  <c r="E911" i="1"/>
  <c r="D911" i="1"/>
  <c r="C911" i="1"/>
  <c r="B911" i="1"/>
  <c r="A911" i="1"/>
  <c r="L910" i="1"/>
  <c r="K910" i="1"/>
  <c r="I910" i="1"/>
  <c r="H910" i="1"/>
  <c r="G910" i="1"/>
  <c r="J910" i="1" s="1"/>
  <c r="F910" i="1"/>
  <c r="E910" i="1"/>
  <c r="D910" i="1"/>
  <c r="C910" i="1"/>
  <c r="B910" i="1"/>
  <c r="A910" i="1"/>
  <c r="L909" i="1"/>
  <c r="K909" i="1"/>
  <c r="I909" i="1"/>
  <c r="H909" i="1"/>
  <c r="G909" i="1"/>
  <c r="J909" i="1" s="1"/>
  <c r="F909" i="1"/>
  <c r="E909" i="1"/>
  <c r="D909" i="1"/>
  <c r="C909" i="1"/>
  <c r="B909" i="1"/>
  <c r="A909" i="1"/>
  <c r="L908" i="1"/>
  <c r="K908" i="1"/>
  <c r="I908" i="1"/>
  <c r="H908" i="1"/>
  <c r="G908" i="1"/>
  <c r="F908" i="1"/>
  <c r="E908" i="1"/>
  <c r="D908" i="1"/>
  <c r="C908" i="1"/>
  <c r="B908" i="1"/>
  <c r="A908" i="1"/>
  <c r="L907" i="1"/>
  <c r="K907" i="1"/>
  <c r="I907" i="1"/>
  <c r="H907" i="1"/>
  <c r="G907" i="1"/>
  <c r="J907" i="1" s="1"/>
  <c r="F907" i="1"/>
  <c r="E907" i="1"/>
  <c r="D907" i="1"/>
  <c r="C907" i="1"/>
  <c r="B907" i="1"/>
  <c r="A907" i="1"/>
  <c r="L906" i="1"/>
  <c r="K906" i="1"/>
  <c r="I906" i="1"/>
  <c r="H906" i="1"/>
  <c r="G906" i="1"/>
  <c r="F906" i="1"/>
  <c r="E906" i="1"/>
  <c r="D906" i="1"/>
  <c r="C906" i="1"/>
  <c r="B906" i="1"/>
  <c r="A906" i="1"/>
  <c r="L905" i="1"/>
  <c r="K905" i="1"/>
  <c r="I905" i="1"/>
  <c r="H905" i="1"/>
  <c r="G905" i="1"/>
  <c r="J905" i="1" s="1"/>
  <c r="F905" i="1"/>
  <c r="E905" i="1"/>
  <c r="D905" i="1"/>
  <c r="C905" i="1"/>
  <c r="B905" i="1"/>
  <c r="A905" i="1"/>
  <c r="L904" i="1"/>
  <c r="K904" i="1"/>
  <c r="I904" i="1"/>
  <c r="H904" i="1"/>
  <c r="G904" i="1"/>
  <c r="J904" i="1" s="1"/>
  <c r="F904" i="1"/>
  <c r="E904" i="1"/>
  <c r="D904" i="1"/>
  <c r="C904" i="1"/>
  <c r="B904" i="1"/>
  <c r="A904" i="1"/>
  <c r="L903" i="1"/>
  <c r="K903" i="1"/>
  <c r="I903" i="1"/>
  <c r="H903" i="1"/>
  <c r="G903" i="1"/>
  <c r="J903" i="1" s="1"/>
  <c r="F903" i="1"/>
  <c r="E903" i="1"/>
  <c r="D903" i="1"/>
  <c r="C903" i="1"/>
  <c r="B903" i="1"/>
  <c r="A903" i="1"/>
  <c r="L902" i="1"/>
  <c r="K902" i="1"/>
  <c r="I902" i="1"/>
  <c r="H902" i="1"/>
  <c r="G902" i="1"/>
  <c r="J902" i="1" s="1"/>
  <c r="F902" i="1"/>
  <c r="E902" i="1"/>
  <c r="D902" i="1"/>
  <c r="C902" i="1"/>
  <c r="B902" i="1"/>
  <c r="A902" i="1"/>
  <c r="L901" i="1"/>
  <c r="K901" i="1"/>
  <c r="I901" i="1"/>
  <c r="H901" i="1"/>
  <c r="G901" i="1"/>
  <c r="J901" i="1" s="1"/>
  <c r="F901" i="1"/>
  <c r="E901" i="1"/>
  <c r="D901" i="1"/>
  <c r="C901" i="1"/>
  <c r="B901" i="1"/>
  <c r="A901" i="1"/>
  <c r="L900" i="1"/>
  <c r="K900" i="1"/>
  <c r="I900" i="1"/>
  <c r="H900" i="1"/>
  <c r="G900" i="1"/>
  <c r="F900" i="1"/>
  <c r="E900" i="1"/>
  <c r="D900" i="1"/>
  <c r="C900" i="1"/>
  <c r="B900" i="1"/>
  <c r="A900" i="1"/>
  <c r="L899" i="1"/>
  <c r="K899" i="1"/>
  <c r="I899" i="1"/>
  <c r="H899" i="1"/>
  <c r="G899" i="1"/>
  <c r="J899" i="1" s="1"/>
  <c r="F899" i="1"/>
  <c r="E899" i="1"/>
  <c r="D899" i="1"/>
  <c r="C899" i="1"/>
  <c r="B899" i="1"/>
  <c r="A899" i="1"/>
  <c r="L898" i="1"/>
  <c r="K898" i="1"/>
  <c r="I898" i="1"/>
  <c r="H898" i="1"/>
  <c r="G898" i="1"/>
  <c r="F898" i="1"/>
  <c r="E898" i="1"/>
  <c r="D898" i="1"/>
  <c r="C898" i="1"/>
  <c r="B898" i="1"/>
  <c r="A898" i="1"/>
  <c r="L897" i="1"/>
  <c r="K897" i="1"/>
  <c r="I897" i="1"/>
  <c r="H897" i="1"/>
  <c r="G897" i="1"/>
  <c r="J897" i="1" s="1"/>
  <c r="F897" i="1"/>
  <c r="E897" i="1"/>
  <c r="D897" i="1"/>
  <c r="C897" i="1"/>
  <c r="B897" i="1"/>
  <c r="A897" i="1"/>
  <c r="L896" i="1"/>
  <c r="K896" i="1"/>
  <c r="I896" i="1"/>
  <c r="H896" i="1"/>
  <c r="G896" i="1"/>
  <c r="J896" i="1" s="1"/>
  <c r="F896" i="1"/>
  <c r="E896" i="1"/>
  <c r="D896" i="1"/>
  <c r="C896" i="1"/>
  <c r="B896" i="1"/>
  <c r="A896" i="1"/>
  <c r="L895" i="1"/>
  <c r="K895" i="1"/>
  <c r="I895" i="1"/>
  <c r="H895" i="1"/>
  <c r="G895" i="1"/>
  <c r="J895" i="1" s="1"/>
  <c r="F895" i="1"/>
  <c r="E895" i="1"/>
  <c r="D895" i="1"/>
  <c r="C895" i="1"/>
  <c r="B895" i="1"/>
  <c r="A895" i="1"/>
  <c r="L894" i="1"/>
  <c r="K894" i="1"/>
  <c r="I894" i="1"/>
  <c r="H894" i="1"/>
  <c r="G894" i="1"/>
  <c r="J894" i="1" s="1"/>
  <c r="F894" i="1"/>
  <c r="E894" i="1"/>
  <c r="D894" i="1"/>
  <c r="C894" i="1"/>
  <c r="B894" i="1"/>
  <c r="A894" i="1"/>
  <c r="L893" i="1"/>
  <c r="K893" i="1"/>
  <c r="I893" i="1"/>
  <c r="H893" i="1"/>
  <c r="G893" i="1"/>
  <c r="J893" i="1" s="1"/>
  <c r="F893" i="1"/>
  <c r="E893" i="1"/>
  <c r="D893" i="1"/>
  <c r="C893" i="1"/>
  <c r="B893" i="1"/>
  <c r="A893" i="1"/>
  <c r="L892" i="1"/>
  <c r="K892" i="1"/>
  <c r="I892" i="1"/>
  <c r="H892" i="1"/>
  <c r="G892" i="1"/>
  <c r="F892" i="1"/>
  <c r="E892" i="1"/>
  <c r="D892" i="1"/>
  <c r="C892" i="1"/>
  <c r="B892" i="1"/>
  <c r="A892" i="1"/>
  <c r="L891" i="1"/>
  <c r="K891" i="1"/>
  <c r="I891" i="1"/>
  <c r="H891" i="1"/>
  <c r="G891" i="1"/>
  <c r="J891" i="1" s="1"/>
  <c r="F891" i="1"/>
  <c r="E891" i="1"/>
  <c r="D891" i="1"/>
  <c r="C891" i="1"/>
  <c r="B891" i="1"/>
  <c r="A891" i="1"/>
  <c r="L890" i="1"/>
  <c r="K890" i="1"/>
  <c r="I890" i="1"/>
  <c r="H890" i="1"/>
  <c r="G890" i="1"/>
  <c r="F890" i="1"/>
  <c r="E890" i="1"/>
  <c r="D890" i="1"/>
  <c r="C890" i="1"/>
  <c r="B890" i="1"/>
  <c r="A890" i="1"/>
  <c r="L889" i="1"/>
  <c r="K889" i="1"/>
  <c r="I889" i="1"/>
  <c r="H889" i="1"/>
  <c r="G889" i="1"/>
  <c r="J889" i="1" s="1"/>
  <c r="F889" i="1"/>
  <c r="E889" i="1"/>
  <c r="D889" i="1"/>
  <c r="C889" i="1"/>
  <c r="B889" i="1"/>
  <c r="A889" i="1"/>
  <c r="L888" i="1"/>
  <c r="K888" i="1"/>
  <c r="I888" i="1"/>
  <c r="H888" i="1"/>
  <c r="G888" i="1"/>
  <c r="J888" i="1" s="1"/>
  <c r="F888" i="1"/>
  <c r="E888" i="1"/>
  <c r="D888" i="1"/>
  <c r="C888" i="1"/>
  <c r="B888" i="1"/>
  <c r="A888" i="1"/>
  <c r="L887" i="1"/>
  <c r="K887" i="1"/>
  <c r="I887" i="1"/>
  <c r="H887" i="1"/>
  <c r="G887" i="1"/>
  <c r="J887" i="1" s="1"/>
  <c r="F887" i="1"/>
  <c r="E887" i="1"/>
  <c r="D887" i="1"/>
  <c r="C887" i="1"/>
  <c r="B887" i="1"/>
  <c r="A887" i="1"/>
  <c r="L886" i="1"/>
  <c r="K886" i="1"/>
  <c r="I886" i="1"/>
  <c r="H886" i="1"/>
  <c r="G886" i="1"/>
  <c r="J886" i="1" s="1"/>
  <c r="F886" i="1"/>
  <c r="E886" i="1"/>
  <c r="D886" i="1"/>
  <c r="C886" i="1"/>
  <c r="B886" i="1"/>
  <c r="A886" i="1"/>
  <c r="L885" i="1"/>
  <c r="K885" i="1"/>
  <c r="I885" i="1"/>
  <c r="H885" i="1"/>
  <c r="G885" i="1"/>
  <c r="J885" i="1" s="1"/>
  <c r="F885" i="1"/>
  <c r="E885" i="1"/>
  <c r="D885" i="1"/>
  <c r="C885" i="1"/>
  <c r="B885" i="1"/>
  <c r="A885" i="1"/>
  <c r="L884" i="1"/>
  <c r="K884" i="1"/>
  <c r="I884" i="1"/>
  <c r="H884" i="1"/>
  <c r="G884" i="1"/>
  <c r="F884" i="1"/>
  <c r="E884" i="1"/>
  <c r="D884" i="1"/>
  <c r="C884" i="1"/>
  <c r="B884" i="1"/>
  <c r="A884" i="1"/>
  <c r="L883" i="1"/>
  <c r="K883" i="1"/>
  <c r="I883" i="1"/>
  <c r="H883" i="1"/>
  <c r="G883" i="1"/>
  <c r="J883" i="1" s="1"/>
  <c r="F883" i="1"/>
  <c r="E883" i="1"/>
  <c r="D883" i="1"/>
  <c r="C883" i="1"/>
  <c r="B883" i="1"/>
  <c r="A883" i="1"/>
  <c r="L882" i="1"/>
  <c r="K882" i="1"/>
  <c r="I882" i="1"/>
  <c r="H882" i="1"/>
  <c r="G882" i="1"/>
  <c r="F882" i="1"/>
  <c r="E882" i="1"/>
  <c r="D882" i="1"/>
  <c r="C882" i="1"/>
  <c r="B882" i="1"/>
  <c r="A882" i="1"/>
  <c r="L881" i="1"/>
  <c r="K881" i="1"/>
  <c r="I881" i="1"/>
  <c r="H881" i="1"/>
  <c r="G881" i="1"/>
  <c r="J881" i="1" s="1"/>
  <c r="F881" i="1"/>
  <c r="E881" i="1"/>
  <c r="D881" i="1"/>
  <c r="C881" i="1"/>
  <c r="B881" i="1"/>
  <c r="A881" i="1"/>
  <c r="L880" i="1"/>
  <c r="K880" i="1"/>
  <c r="I880" i="1"/>
  <c r="H880" i="1"/>
  <c r="G880" i="1"/>
  <c r="J880" i="1" s="1"/>
  <c r="F880" i="1"/>
  <c r="E880" i="1"/>
  <c r="D880" i="1"/>
  <c r="C880" i="1"/>
  <c r="B880" i="1"/>
  <c r="A880" i="1"/>
  <c r="L879" i="1"/>
  <c r="K879" i="1"/>
  <c r="I879" i="1"/>
  <c r="H879" i="1"/>
  <c r="G879" i="1"/>
  <c r="J879" i="1" s="1"/>
  <c r="F879" i="1"/>
  <c r="E879" i="1"/>
  <c r="D879" i="1"/>
  <c r="C879" i="1"/>
  <c r="B879" i="1"/>
  <c r="A879" i="1"/>
  <c r="L878" i="1"/>
  <c r="K878" i="1"/>
  <c r="I878" i="1"/>
  <c r="H878" i="1"/>
  <c r="G878" i="1"/>
  <c r="J878" i="1" s="1"/>
  <c r="F878" i="1"/>
  <c r="E878" i="1"/>
  <c r="D878" i="1"/>
  <c r="C878" i="1"/>
  <c r="B878" i="1"/>
  <c r="A878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L876" i="1"/>
  <c r="K876" i="1"/>
  <c r="I876" i="1"/>
  <c r="H876" i="1"/>
  <c r="G876" i="1"/>
  <c r="J876" i="1" s="1"/>
  <c r="F876" i="1"/>
  <c r="E876" i="1"/>
  <c r="D876" i="1"/>
  <c r="C876" i="1"/>
  <c r="B876" i="1"/>
  <c r="A876" i="1"/>
  <c r="L875" i="1"/>
  <c r="K875" i="1"/>
  <c r="I875" i="1"/>
  <c r="H875" i="1"/>
  <c r="G875" i="1"/>
  <c r="J875" i="1" s="1"/>
  <c r="F875" i="1"/>
  <c r="E875" i="1"/>
  <c r="D875" i="1"/>
  <c r="C875" i="1"/>
  <c r="B875" i="1"/>
  <c r="A875" i="1"/>
  <c r="L874" i="1"/>
  <c r="K874" i="1"/>
  <c r="I874" i="1"/>
  <c r="H874" i="1"/>
  <c r="G874" i="1"/>
  <c r="F874" i="1"/>
  <c r="E874" i="1"/>
  <c r="D874" i="1"/>
  <c r="C874" i="1"/>
  <c r="B874" i="1"/>
  <c r="A874" i="1"/>
  <c r="L873" i="1"/>
  <c r="K873" i="1"/>
  <c r="I873" i="1"/>
  <c r="H873" i="1"/>
  <c r="G873" i="1"/>
  <c r="J873" i="1" s="1"/>
  <c r="F873" i="1"/>
  <c r="E873" i="1"/>
  <c r="D873" i="1"/>
  <c r="C873" i="1"/>
  <c r="B873" i="1"/>
  <c r="A873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L871" i="1"/>
  <c r="K871" i="1"/>
  <c r="I871" i="1"/>
  <c r="H871" i="1"/>
  <c r="G871" i="1"/>
  <c r="J871" i="1" s="1"/>
  <c r="F871" i="1"/>
  <c r="E871" i="1"/>
  <c r="D871" i="1"/>
  <c r="C871" i="1"/>
  <c r="B871" i="1"/>
  <c r="A871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L869" i="1"/>
  <c r="K869" i="1"/>
  <c r="I869" i="1"/>
  <c r="H869" i="1"/>
  <c r="G869" i="1"/>
  <c r="J869" i="1" s="1"/>
  <c r="F869" i="1"/>
  <c r="E869" i="1"/>
  <c r="D869" i="1"/>
  <c r="C869" i="1"/>
  <c r="B869" i="1"/>
  <c r="A869" i="1"/>
  <c r="L868" i="1"/>
  <c r="K868" i="1"/>
  <c r="I868" i="1"/>
  <c r="H868" i="1"/>
  <c r="G868" i="1"/>
  <c r="J868" i="1" s="1"/>
  <c r="F868" i="1"/>
  <c r="E868" i="1"/>
  <c r="D868" i="1"/>
  <c r="C868" i="1"/>
  <c r="B868" i="1"/>
  <c r="A868" i="1"/>
  <c r="L867" i="1"/>
  <c r="K867" i="1"/>
  <c r="I867" i="1"/>
  <c r="H867" i="1"/>
  <c r="G867" i="1"/>
  <c r="J867" i="1" s="1"/>
  <c r="F867" i="1"/>
  <c r="E867" i="1"/>
  <c r="D867" i="1"/>
  <c r="C867" i="1"/>
  <c r="B867" i="1"/>
  <c r="A867" i="1"/>
  <c r="L866" i="1"/>
  <c r="K866" i="1"/>
  <c r="I866" i="1"/>
  <c r="H866" i="1"/>
  <c r="G866" i="1"/>
  <c r="F866" i="1"/>
  <c r="E866" i="1"/>
  <c r="D866" i="1"/>
  <c r="C866" i="1"/>
  <c r="B866" i="1"/>
  <c r="A866" i="1"/>
  <c r="L865" i="1"/>
  <c r="K865" i="1"/>
  <c r="I865" i="1"/>
  <c r="H865" i="1"/>
  <c r="G865" i="1"/>
  <c r="J865" i="1" s="1"/>
  <c r="F865" i="1"/>
  <c r="E865" i="1"/>
  <c r="D865" i="1"/>
  <c r="C865" i="1"/>
  <c r="B865" i="1"/>
  <c r="A865" i="1"/>
  <c r="L864" i="1"/>
  <c r="K864" i="1"/>
  <c r="I864" i="1"/>
  <c r="H864" i="1"/>
  <c r="G864" i="1"/>
  <c r="J864" i="1" s="1"/>
  <c r="F864" i="1"/>
  <c r="E864" i="1"/>
  <c r="D864" i="1"/>
  <c r="C864" i="1"/>
  <c r="B864" i="1"/>
  <c r="A864" i="1"/>
  <c r="L863" i="1"/>
  <c r="K863" i="1"/>
  <c r="I863" i="1"/>
  <c r="H863" i="1"/>
  <c r="G863" i="1"/>
  <c r="J863" i="1" s="1"/>
  <c r="F863" i="1"/>
  <c r="E863" i="1"/>
  <c r="D863" i="1"/>
  <c r="C863" i="1"/>
  <c r="B863" i="1"/>
  <c r="A863" i="1"/>
  <c r="L862" i="1"/>
  <c r="K862" i="1"/>
  <c r="I862" i="1"/>
  <c r="H862" i="1"/>
  <c r="G862" i="1"/>
  <c r="J862" i="1" s="1"/>
  <c r="F862" i="1"/>
  <c r="E862" i="1"/>
  <c r="D862" i="1"/>
  <c r="C862" i="1"/>
  <c r="B862" i="1"/>
  <c r="A862" i="1"/>
  <c r="L861" i="1"/>
  <c r="K861" i="1"/>
  <c r="I861" i="1"/>
  <c r="H861" i="1"/>
  <c r="G861" i="1"/>
  <c r="J861" i="1" s="1"/>
  <c r="F861" i="1"/>
  <c r="E861" i="1"/>
  <c r="D861" i="1"/>
  <c r="C861" i="1"/>
  <c r="B861" i="1"/>
  <c r="A861" i="1"/>
  <c r="L860" i="1"/>
  <c r="K860" i="1"/>
  <c r="I860" i="1"/>
  <c r="H860" i="1"/>
  <c r="G860" i="1"/>
  <c r="J860" i="1" s="1"/>
  <c r="F860" i="1"/>
  <c r="E860" i="1"/>
  <c r="D860" i="1"/>
  <c r="C860" i="1"/>
  <c r="B860" i="1"/>
  <c r="A860" i="1"/>
  <c r="L859" i="1"/>
  <c r="K859" i="1"/>
  <c r="I859" i="1"/>
  <c r="H859" i="1"/>
  <c r="G859" i="1"/>
  <c r="J859" i="1" s="1"/>
  <c r="F859" i="1"/>
  <c r="E859" i="1"/>
  <c r="D859" i="1"/>
  <c r="C859" i="1"/>
  <c r="B859" i="1"/>
  <c r="A859" i="1"/>
  <c r="L858" i="1"/>
  <c r="K858" i="1"/>
  <c r="I858" i="1"/>
  <c r="H858" i="1"/>
  <c r="G858" i="1"/>
  <c r="F858" i="1"/>
  <c r="E858" i="1"/>
  <c r="D858" i="1"/>
  <c r="C858" i="1"/>
  <c r="B858" i="1"/>
  <c r="A858" i="1"/>
  <c r="L857" i="1"/>
  <c r="K857" i="1"/>
  <c r="I857" i="1"/>
  <c r="H857" i="1"/>
  <c r="G857" i="1"/>
  <c r="J857" i="1" s="1"/>
  <c r="F857" i="1"/>
  <c r="E857" i="1"/>
  <c r="D857" i="1"/>
  <c r="C857" i="1"/>
  <c r="B857" i="1"/>
  <c r="A857" i="1"/>
  <c r="L856" i="1"/>
  <c r="K856" i="1"/>
  <c r="I856" i="1"/>
  <c r="H856" i="1"/>
  <c r="G856" i="1"/>
  <c r="J856" i="1" s="1"/>
  <c r="F856" i="1"/>
  <c r="E856" i="1"/>
  <c r="D856" i="1"/>
  <c r="C856" i="1"/>
  <c r="B856" i="1"/>
  <c r="A856" i="1"/>
  <c r="L855" i="1"/>
  <c r="K855" i="1"/>
  <c r="I855" i="1"/>
  <c r="H855" i="1"/>
  <c r="G855" i="1"/>
  <c r="J855" i="1" s="1"/>
  <c r="F855" i="1"/>
  <c r="E855" i="1"/>
  <c r="D855" i="1"/>
  <c r="C855" i="1"/>
  <c r="B855" i="1"/>
  <c r="A855" i="1"/>
  <c r="L854" i="1"/>
  <c r="K854" i="1"/>
  <c r="I854" i="1"/>
  <c r="H854" i="1"/>
  <c r="G854" i="1"/>
  <c r="J854" i="1" s="1"/>
  <c r="F854" i="1"/>
  <c r="E854" i="1"/>
  <c r="D854" i="1"/>
  <c r="C854" i="1"/>
  <c r="B854" i="1"/>
  <c r="A854" i="1"/>
  <c r="L853" i="1"/>
  <c r="K853" i="1"/>
  <c r="I853" i="1"/>
  <c r="H853" i="1"/>
  <c r="G853" i="1"/>
  <c r="F853" i="1"/>
  <c r="E853" i="1"/>
  <c r="D853" i="1"/>
  <c r="C853" i="1"/>
  <c r="B853" i="1"/>
  <c r="A853" i="1"/>
  <c r="L852" i="1"/>
  <c r="K852" i="1"/>
  <c r="I852" i="1"/>
  <c r="H852" i="1"/>
  <c r="G852" i="1"/>
  <c r="J852" i="1" s="1"/>
  <c r="F852" i="1"/>
  <c r="E852" i="1"/>
  <c r="D852" i="1"/>
  <c r="C852" i="1"/>
  <c r="B852" i="1"/>
  <c r="A852" i="1"/>
  <c r="L851" i="1"/>
  <c r="K851" i="1"/>
  <c r="I851" i="1"/>
  <c r="H851" i="1"/>
  <c r="G851" i="1"/>
  <c r="F851" i="1"/>
  <c r="E851" i="1"/>
  <c r="D851" i="1"/>
  <c r="C851" i="1"/>
  <c r="B851" i="1"/>
  <c r="A851" i="1"/>
  <c r="L850" i="1"/>
  <c r="K850" i="1"/>
  <c r="I850" i="1"/>
  <c r="H850" i="1"/>
  <c r="G850" i="1"/>
  <c r="J850" i="1" s="1"/>
  <c r="F850" i="1"/>
  <c r="E850" i="1"/>
  <c r="D850" i="1"/>
  <c r="C850" i="1"/>
  <c r="B850" i="1"/>
  <c r="A850" i="1"/>
  <c r="L849" i="1"/>
  <c r="K849" i="1"/>
  <c r="I849" i="1"/>
  <c r="H849" i="1"/>
  <c r="G849" i="1"/>
  <c r="J849" i="1" s="1"/>
  <c r="F849" i="1"/>
  <c r="E849" i="1"/>
  <c r="D849" i="1"/>
  <c r="C849" i="1"/>
  <c r="B849" i="1"/>
  <c r="A849" i="1"/>
  <c r="L848" i="1"/>
  <c r="K848" i="1"/>
  <c r="I848" i="1"/>
  <c r="H848" i="1"/>
  <c r="G848" i="1"/>
  <c r="J848" i="1" s="1"/>
  <c r="F848" i="1"/>
  <c r="E848" i="1"/>
  <c r="D848" i="1"/>
  <c r="C848" i="1"/>
  <c r="B848" i="1"/>
  <c r="A848" i="1"/>
  <c r="L847" i="1"/>
  <c r="K847" i="1"/>
  <c r="I847" i="1"/>
  <c r="H847" i="1"/>
  <c r="G847" i="1"/>
  <c r="J847" i="1" s="1"/>
  <c r="F847" i="1"/>
  <c r="E847" i="1"/>
  <c r="D847" i="1"/>
  <c r="C847" i="1"/>
  <c r="B847" i="1"/>
  <c r="A847" i="1"/>
  <c r="L846" i="1"/>
  <c r="K846" i="1"/>
  <c r="I846" i="1"/>
  <c r="H846" i="1"/>
  <c r="G846" i="1"/>
  <c r="J846" i="1" s="1"/>
  <c r="F846" i="1"/>
  <c r="E846" i="1"/>
  <c r="D846" i="1"/>
  <c r="C846" i="1"/>
  <c r="B846" i="1"/>
  <c r="A846" i="1"/>
  <c r="L845" i="1"/>
  <c r="K845" i="1"/>
  <c r="I845" i="1"/>
  <c r="H845" i="1"/>
  <c r="G845" i="1"/>
  <c r="J845" i="1" s="1"/>
  <c r="F845" i="1"/>
  <c r="E845" i="1"/>
  <c r="D845" i="1"/>
  <c r="C845" i="1"/>
  <c r="B845" i="1"/>
  <c r="A845" i="1"/>
  <c r="L844" i="1"/>
  <c r="K844" i="1"/>
  <c r="I844" i="1"/>
  <c r="H844" i="1"/>
  <c r="G844" i="1"/>
  <c r="J844" i="1" s="1"/>
  <c r="F844" i="1"/>
  <c r="E844" i="1"/>
  <c r="D844" i="1"/>
  <c r="C844" i="1"/>
  <c r="B844" i="1"/>
  <c r="A844" i="1"/>
  <c r="L843" i="1"/>
  <c r="K843" i="1"/>
  <c r="I843" i="1"/>
  <c r="H843" i="1"/>
  <c r="G843" i="1"/>
  <c r="J843" i="1" s="1"/>
  <c r="F843" i="1"/>
  <c r="E843" i="1"/>
  <c r="D843" i="1"/>
  <c r="C843" i="1"/>
  <c r="B843" i="1"/>
  <c r="A843" i="1"/>
  <c r="L842" i="1"/>
  <c r="K842" i="1"/>
  <c r="I842" i="1"/>
  <c r="H842" i="1"/>
  <c r="G842" i="1"/>
  <c r="F842" i="1"/>
  <c r="E842" i="1"/>
  <c r="D842" i="1"/>
  <c r="C842" i="1"/>
  <c r="B842" i="1"/>
  <c r="A842" i="1"/>
  <c r="L841" i="1"/>
  <c r="K841" i="1"/>
  <c r="I841" i="1"/>
  <c r="H841" i="1"/>
  <c r="G841" i="1"/>
  <c r="J841" i="1" s="1"/>
  <c r="F841" i="1"/>
  <c r="E841" i="1"/>
  <c r="D841" i="1"/>
  <c r="C841" i="1"/>
  <c r="B841" i="1"/>
  <c r="A841" i="1"/>
  <c r="L840" i="1"/>
  <c r="K840" i="1"/>
  <c r="I840" i="1"/>
  <c r="H840" i="1"/>
  <c r="G840" i="1"/>
  <c r="J840" i="1" s="1"/>
  <c r="F840" i="1"/>
  <c r="E840" i="1"/>
  <c r="D840" i="1"/>
  <c r="C840" i="1"/>
  <c r="B840" i="1"/>
  <c r="A840" i="1"/>
  <c r="L839" i="1"/>
  <c r="K839" i="1"/>
  <c r="I839" i="1"/>
  <c r="H839" i="1"/>
  <c r="G839" i="1"/>
  <c r="J839" i="1" s="1"/>
  <c r="F839" i="1"/>
  <c r="E839" i="1"/>
  <c r="D839" i="1"/>
  <c r="C839" i="1"/>
  <c r="B839" i="1"/>
  <c r="A839" i="1"/>
  <c r="L838" i="1"/>
  <c r="K838" i="1"/>
  <c r="I838" i="1"/>
  <c r="H838" i="1"/>
  <c r="G838" i="1"/>
  <c r="J838" i="1" s="1"/>
  <c r="F838" i="1"/>
  <c r="E838" i="1"/>
  <c r="D838" i="1"/>
  <c r="C838" i="1"/>
  <c r="B838" i="1"/>
  <c r="A838" i="1"/>
  <c r="L837" i="1"/>
  <c r="K837" i="1"/>
  <c r="I837" i="1"/>
  <c r="H837" i="1"/>
  <c r="G837" i="1"/>
  <c r="J837" i="1" s="1"/>
  <c r="F837" i="1"/>
  <c r="E837" i="1"/>
  <c r="D837" i="1"/>
  <c r="C837" i="1"/>
  <c r="B837" i="1"/>
  <c r="A837" i="1"/>
  <c r="L836" i="1"/>
  <c r="K836" i="1"/>
  <c r="I836" i="1"/>
  <c r="H836" i="1"/>
  <c r="G836" i="1"/>
  <c r="J836" i="1" s="1"/>
  <c r="F836" i="1"/>
  <c r="E836" i="1"/>
  <c r="D836" i="1"/>
  <c r="C836" i="1"/>
  <c r="B836" i="1"/>
  <c r="A836" i="1"/>
  <c r="L835" i="1"/>
  <c r="K835" i="1"/>
  <c r="I835" i="1"/>
  <c r="H835" i="1"/>
  <c r="G835" i="1"/>
  <c r="J835" i="1" s="1"/>
  <c r="F835" i="1"/>
  <c r="E835" i="1"/>
  <c r="D835" i="1"/>
  <c r="C835" i="1"/>
  <c r="B835" i="1"/>
  <c r="A835" i="1"/>
  <c r="L834" i="1"/>
  <c r="K834" i="1"/>
  <c r="I834" i="1"/>
  <c r="H834" i="1"/>
  <c r="G834" i="1"/>
  <c r="F834" i="1"/>
  <c r="E834" i="1"/>
  <c r="D834" i="1"/>
  <c r="C834" i="1"/>
  <c r="B834" i="1"/>
  <c r="A834" i="1"/>
  <c r="L833" i="1"/>
  <c r="K833" i="1"/>
  <c r="I833" i="1"/>
  <c r="H833" i="1"/>
  <c r="G833" i="1"/>
  <c r="J833" i="1" s="1"/>
  <c r="F833" i="1"/>
  <c r="E833" i="1"/>
  <c r="D833" i="1"/>
  <c r="C833" i="1"/>
  <c r="B833" i="1"/>
  <c r="A833" i="1"/>
  <c r="L832" i="1"/>
  <c r="K832" i="1"/>
  <c r="I832" i="1"/>
  <c r="H832" i="1"/>
  <c r="G832" i="1"/>
  <c r="J832" i="1" s="1"/>
  <c r="F832" i="1"/>
  <c r="E832" i="1"/>
  <c r="D832" i="1"/>
  <c r="C832" i="1"/>
  <c r="B832" i="1"/>
  <c r="A832" i="1"/>
  <c r="L831" i="1"/>
  <c r="K831" i="1"/>
  <c r="I831" i="1"/>
  <c r="H831" i="1"/>
  <c r="G831" i="1"/>
  <c r="J831" i="1" s="1"/>
  <c r="F831" i="1"/>
  <c r="E831" i="1"/>
  <c r="D831" i="1"/>
  <c r="C831" i="1"/>
  <c r="B831" i="1"/>
  <c r="A831" i="1"/>
  <c r="L830" i="1"/>
  <c r="K830" i="1"/>
  <c r="I830" i="1"/>
  <c r="H830" i="1"/>
  <c r="G830" i="1"/>
  <c r="J830" i="1" s="1"/>
  <c r="F830" i="1"/>
  <c r="E830" i="1"/>
  <c r="D830" i="1"/>
  <c r="C830" i="1"/>
  <c r="B830" i="1"/>
  <c r="A830" i="1"/>
  <c r="L829" i="1"/>
  <c r="K829" i="1"/>
  <c r="I829" i="1"/>
  <c r="H829" i="1"/>
  <c r="G829" i="1"/>
  <c r="J829" i="1" s="1"/>
  <c r="F829" i="1"/>
  <c r="E829" i="1"/>
  <c r="D829" i="1"/>
  <c r="C829" i="1"/>
  <c r="B829" i="1"/>
  <c r="A829" i="1"/>
  <c r="L828" i="1"/>
  <c r="K828" i="1"/>
  <c r="I828" i="1"/>
  <c r="H828" i="1"/>
  <c r="G828" i="1"/>
  <c r="J828" i="1" s="1"/>
  <c r="F828" i="1"/>
  <c r="E828" i="1"/>
  <c r="D828" i="1"/>
  <c r="C828" i="1"/>
  <c r="B828" i="1"/>
  <c r="A828" i="1"/>
  <c r="L827" i="1"/>
  <c r="K827" i="1"/>
  <c r="I827" i="1"/>
  <c r="H827" i="1"/>
  <c r="G827" i="1"/>
  <c r="J827" i="1" s="1"/>
  <c r="F827" i="1"/>
  <c r="E827" i="1"/>
  <c r="D827" i="1"/>
  <c r="C827" i="1"/>
  <c r="B827" i="1"/>
  <c r="A827" i="1"/>
  <c r="L826" i="1"/>
  <c r="K826" i="1"/>
  <c r="I826" i="1"/>
  <c r="H826" i="1"/>
  <c r="G826" i="1"/>
  <c r="F826" i="1"/>
  <c r="E826" i="1"/>
  <c r="D826" i="1"/>
  <c r="C826" i="1"/>
  <c r="B826" i="1"/>
  <c r="A826" i="1"/>
  <c r="L825" i="1"/>
  <c r="K825" i="1"/>
  <c r="I825" i="1"/>
  <c r="H825" i="1"/>
  <c r="G825" i="1"/>
  <c r="J825" i="1" s="1"/>
  <c r="F825" i="1"/>
  <c r="E825" i="1"/>
  <c r="D825" i="1"/>
  <c r="C825" i="1"/>
  <c r="B825" i="1"/>
  <c r="A825" i="1"/>
  <c r="L824" i="1"/>
  <c r="K824" i="1"/>
  <c r="I824" i="1"/>
  <c r="H824" i="1"/>
  <c r="G824" i="1"/>
  <c r="J824" i="1" s="1"/>
  <c r="F824" i="1"/>
  <c r="E824" i="1"/>
  <c r="D824" i="1"/>
  <c r="C824" i="1"/>
  <c r="B824" i="1"/>
  <c r="A824" i="1"/>
  <c r="L823" i="1"/>
  <c r="K823" i="1"/>
  <c r="I823" i="1"/>
  <c r="H823" i="1"/>
  <c r="G823" i="1"/>
  <c r="J823" i="1" s="1"/>
  <c r="F823" i="1"/>
  <c r="E823" i="1"/>
  <c r="D823" i="1"/>
  <c r="C823" i="1"/>
  <c r="B823" i="1"/>
  <c r="A823" i="1"/>
  <c r="L822" i="1"/>
  <c r="K822" i="1"/>
  <c r="I822" i="1"/>
  <c r="H822" i="1"/>
  <c r="G822" i="1"/>
  <c r="J822" i="1" s="1"/>
  <c r="F822" i="1"/>
  <c r="E822" i="1"/>
  <c r="D822" i="1"/>
  <c r="C822" i="1"/>
  <c r="B822" i="1"/>
  <c r="A822" i="1"/>
  <c r="L821" i="1"/>
  <c r="K821" i="1"/>
  <c r="I821" i="1"/>
  <c r="H821" i="1"/>
  <c r="G821" i="1"/>
  <c r="J821" i="1" s="1"/>
  <c r="F821" i="1"/>
  <c r="E821" i="1"/>
  <c r="D821" i="1"/>
  <c r="C821" i="1"/>
  <c r="B821" i="1"/>
  <c r="A821" i="1"/>
  <c r="L820" i="1"/>
  <c r="K820" i="1"/>
  <c r="I820" i="1"/>
  <c r="H820" i="1"/>
  <c r="G820" i="1"/>
  <c r="J820" i="1" s="1"/>
  <c r="F820" i="1"/>
  <c r="E820" i="1"/>
  <c r="D820" i="1"/>
  <c r="C820" i="1"/>
  <c r="B820" i="1"/>
  <c r="A820" i="1"/>
  <c r="L819" i="1"/>
  <c r="K819" i="1"/>
  <c r="I819" i="1"/>
  <c r="H819" i="1"/>
  <c r="G819" i="1"/>
  <c r="J819" i="1" s="1"/>
  <c r="F819" i="1"/>
  <c r="E819" i="1"/>
  <c r="D819" i="1"/>
  <c r="C819" i="1"/>
  <c r="B819" i="1"/>
  <c r="A819" i="1"/>
  <c r="L818" i="1"/>
  <c r="K818" i="1"/>
  <c r="I818" i="1"/>
  <c r="H818" i="1"/>
  <c r="G818" i="1"/>
  <c r="F818" i="1"/>
  <c r="E818" i="1"/>
  <c r="D818" i="1"/>
  <c r="C818" i="1"/>
  <c r="B818" i="1"/>
  <c r="A818" i="1"/>
  <c r="L817" i="1"/>
  <c r="K817" i="1"/>
  <c r="I817" i="1"/>
  <c r="H817" i="1"/>
  <c r="G817" i="1"/>
  <c r="J817" i="1" s="1"/>
  <c r="F817" i="1"/>
  <c r="E817" i="1"/>
  <c r="D817" i="1"/>
  <c r="C817" i="1"/>
  <c r="B817" i="1"/>
  <c r="A817" i="1"/>
  <c r="L816" i="1"/>
  <c r="K816" i="1"/>
  <c r="I816" i="1"/>
  <c r="H816" i="1"/>
  <c r="G816" i="1"/>
  <c r="J816" i="1" s="1"/>
  <c r="F816" i="1"/>
  <c r="E816" i="1"/>
  <c r="D816" i="1"/>
  <c r="C816" i="1"/>
  <c r="B816" i="1"/>
  <c r="A816" i="1"/>
  <c r="L815" i="1"/>
  <c r="K815" i="1"/>
  <c r="I815" i="1"/>
  <c r="H815" i="1"/>
  <c r="G815" i="1"/>
  <c r="J815" i="1" s="1"/>
  <c r="F815" i="1"/>
  <c r="E815" i="1"/>
  <c r="D815" i="1"/>
  <c r="C815" i="1"/>
  <c r="B815" i="1"/>
  <c r="A815" i="1"/>
  <c r="L814" i="1"/>
  <c r="K814" i="1"/>
  <c r="I814" i="1"/>
  <c r="H814" i="1"/>
  <c r="G814" i="1"/>
  <c r="J814" i="1" s="1"/>
  <c r="F814" i="1"/>
  <c r="E814" i="1"/>
  <c r="D814" i="1"/>
  <c r="C814" i="1"/>
  <c r="B814" i="1"/>
  <c r="A814" i="1"/>
  <c r="L813" i="1"/>
  <c r="K813" i="1"/>
  <c r="I813" i="1"/>
  <c r="H813" i="1"/>
  <c r="G813" i="1"/>
  <c r="J813" i="1" s="1"/>
  <c r="F813" i="1"/>
  <c r="E813" i="1"/>
  <c r="D813" i="1"/>
  <c r="C813" i="1"/>
  <c r="B813" i="1"/>
  <c r="A813" i="1"/>
  <c r="L812" i="1"/>
  <c r="K812" i="1"/>
  <c r="I812" i="1"/>
  <c r="H812" i="1"/>
  <c r="G812" i="1"/>
  <c r="J812" i="1" s="1"/>
  <c r="F812" i="1"/>
  <c r="E812" i="1"/>
  <c r="D812" i="1"/>
  <c r="C812" i="1"/>
  <c r="B812" i="1"/>
  <c r="A812" i="1"/>
  <c r="L811" i="1"/>
  <c r="K811" i="1"/>
  <c r="I811" i="1"/>
  <c r="H811" i="1"/>
  <c r="G811" i="1"/>
  <c r="J811" i="1" s="1"/>
  <c r="F811" i="1"/>
  <c r="E811" i="1"/>
  <c r="D811" i="1"/>
  <c r="C811" i="1"/>
  <c r="B811" i="1"/>
  <c r="A811" i="1"/>
  <c r="L810" i="1"/>
  <c r="K810" i="1"/>
  <c r="I810" i="1"/>
  <c r="H810" i="1"/>
  <c r="G810" i="1"/>
  <c r="F810" i="1"/>
  <c r="E810" i="1"/>
  <c r="D810" i="1"/>
  <c r="C810" i="1"/>
  <c r="B810" i="1"/>
  <c r="A810" i="1"/>
  <c r="L809" i="1"/>
  <c r="K809" i="1"/>
  <c r="I809" i="1"/>
  <c r="H809" i="1"/>
  <c r="G809" i="1"/>
  <c r="J809" i="1" s="1"/>
  <c r="F809" i="1"/>
  <c r="E809" i="1"/>
  <c r="D809" i="1"/>
  <c r="C809" i="1"/>
  <c r="B809" i="1"/>
  <c r="A809" i="1"/>
  <c r="L808" i="1"/>
  <c r="K808" i="1"/>
  <c r="I808" i="1"/>
  <c r="H808" i="1"/>
  <c r="G808" i="1"/>
  <c r="J808" i="1" s="1"/>
  <c r="F808" i="1"/>
  <c r="E808" i="1"/>
  <c r="D808" i="1"/>
  <c r="C808" i="1"/>
  <c r="B808" i="1"/>
  <c r="A808" i="1"/>
  <c r="L807" i="1"/>
  <c r="K807" i="1"/>
  <c r="I807" i="1"/>
  <c r="H807" i="1"/>
  <c r="G807" i="1"/>
  <c r="J807" i="1" s="1"/>
  <c r="F807" i="1"/>
  <c r="E807" i="1"/>
  <c r="D807" i="1"/>
  <c r="C807" i="1"/>
  <c r="B807" i="1"/>
  <c r="A807" i="1"/>
  <c r="L806" i="1"/>
  <c r="K806" i="1"/>
  <c r="I806" i="1"/>
  <c r="H806" i="1"/>
  <c r="G806" i="1"/>
  <c r="J806" i="1" s="1"/>
  <c r="F806" i="1"/>
  <c r="E806" i="1"/>
  <c r="D806" i="1"/>
  <c r="C806" i="1"/>
  <c r="B806" i="1"/>
  <c r="A806" i="1"/>
  <c r="L805" i="1"/>
  <c r="K805" i="1"/>
  <c r="I805" i="1"/>
  <c r="H805" i="1"/>
  <c r="G805" i="1"/>
  <c r="J805" i="1" s="1"/>
  <c r="F805" i="1"/>
  <c r="E805" i="1"/>
  <c r="D805" i="1"/>
  <c r="C805" i="1"/>
  <c r="B805" i="1"/>
  <c r="A805" i="1"/>
  <c r="L804" i="1"/>
  <c r="K804" i="1"/>
  <c r="I804" i="1"/>
  <c r="H804" i="1"/>
  <c r="G804" i="1"/>
  <c r="J804" i="1" s="1"/>
  <c r="F804" i="1"/>
  <c r="E804" i="1"/>
  <c r="D804" i="1"/>
  <c r="C804" i="1"/>
  <c r="B804" i="1"/>
  <c r="A804" i="1"/>
  <c r="L803" i="1"/>
  <c r="K803" i="1"/>
  <c r="I803" i="1"/>
  <c r="H803" i="1"/>
  <c r="G803" i="1"/>
  <c r="J803" i="1" s="1"/>
  <c r="F803" i="1"/>
  <c r="E803" i="1"/>
  <c r="D803" i="1"/>
  <c r="C803" i="1"/>
  <c r="B803" i="1"/>
  <c r="A803" i="1"/>
  <c r="L802" i="1"/>
  <c r="K802" i="1"/>
  <c r="I802" i="1"/>
  <c r="H802" i="1"/>
  <c r="G802" i="1"/>
  <c r="F802" i="1"/>
  <c r="E802" i="1"/>
  <c r="D802" i="1"/>
  <c r="C802" i="1"/>
  <c r="B802" i="1"/>
  <c r="A802" i="1"/>
  <c r="L801" i="1"/>
  <c r="K801" i="1"/>
  <c r="I801" i="1"/>
  <c r="H801" i="1"/>
  <c r="G801" i="1"/>
  <c r="J801" i="1" s="1"/>
  <c r="F801" i="1"/>
  <c r="E801" i="1"/>
  <c r="D801" i="1"/>
  <c r="C801" i="1"/>
  <c r="B801" i="1"/>
  <c r="A801" i="1"/>
  <c r="L800" i="1"/>
  <c r="K800" i="1"/>
  <c r="I800" i="1"/>
  <c r="H800" i="1"/>
  <c r="G800" i="1"/>
  <c r="J800" i="1" s="1"/>
  <c r="F800" i="1"/>
  <c r="E800" i="1"/>
  <c r="D800" i="1"/>
  <c r="C800" i="1"/>
  <c r="B800" i="1"/>
  <c r="A800" i="1"/>
  <c r="L799" i="1"/>
  <c r="K799" i="1"/>
  <c r="I799" i="1"/>
  <c r="H799" i="1"/>
  <c r="G799" i="1"/>
  <c r="J799" i="1" s="1"/>
  <c r="F799" i="1"/>
  <c r="E799" i="1"/>
  <c r="D799" i="1"/>
  <c r="C799" i="1"/>
  <c r="B799" i="1"/>
  <c r="A799" i="1"/>
  <c r="L798" i="1"/>
  <c r="K798" i="1"/>
  <c r="I798" i="1"/>
  <c r="H798" i="1"/>
  <c r="G798" i="1"/>
  <c r="J798" i="1" s="1"/>
  <c r="F798" i="1"/>
  <c r="E798" i="1"/>
  <c r="D798" i="1"/>
  <c r="C798" i="1"/>
  <c r="B798" i="1"/>
  <c r="A798" i="1"/>
  <c r="L797" i="1"/>
  <c r="K797" i="1"/>
  <c r="I797" i="1"/>
  <c r="H797" i="1"/>
  <c r="G797" i="1"/>
  <c r="J797" i="1" s="1"/>
  <c r="F797" i="1"/>
  <c r="E797" i="1"/>
  <c r="D797" i="1"/>
  <c r="C797" i="1"/>
  <c r="B797" i="1"/>
  <c r="A797" i="1"/>
  <c r="L796" i="1"/>
  <c r="K796" i="1"/>
  <c r="I796" i="1"/>
  <c r="H796" i="1"/>
  <c r="G796" i="1"/>
  <c r="J796" i="1" s="1"/>
  <c r="F796" i="1"/>
  <c r="E796" i="1"/>
  <c r="D796" i="1"/>
  <c r="C796" i="1"/>
  <c r="B796" i="1"/>
  <c r="A796" i="1"/>
  <c r="L795" i="1"/>
  <c r="K795" i="1"/>
  <c r="I795" i="1"/>
  <c r="H795" i="1"/>
  <c r="G795" i="1"/>
  <c r="J795" i="1" s="1"/>
  <c r="F795" i="1"/>
  <c r="E795" i="1"/>
  <c r="D795" i="1"/>
  <c r="C795" i="1"/>
  <c r="B795" i="1"/>
  <c r="A795" i="1"/>
  <c r="L794" i="1"/>
  <c r="K794" i="1"/>
  <c r="I794" i="1"/>
  <c r="H794" i="1"/>
  <c r="G794" i="1"/>
  <c r="F794" i="1"/>
  <c r="E794" i="1"/>
  <c r="D794" i="1"/>
  <c r="C794" i="1"/>
  <c r="B794" i="1"/>
  <c r="A794" i="1"/>
  <c r="L793" i="1"/>
  <c r="K793" i="1"/>
  <c r="I793" i="1"/>
  <c r="H793" i="1"/>
  <c r="G793" i="1"/>
  <c r="J793" i="1" s="1"/>
  <c r="F793" i="1"/>
  <c r="E793" i="1"/>
  <c r="D793" i="1"/>
  <c r="C793" i="1"/>
  <c r="B793" i="1"/>
  <c r="A793" i="1"/>
  <c r="L792" i="1"/>
  <c r="K792" i="1"/>
  <c r="I792" i="1"/>
  <c r="H792" i="1"/>
  <c r="G792" i="1"/>
  <c r="J792" i="1" s="1"/>
  <c r="F792" i="1"/>
  <c r="E792" i="1"/>
  <c r="D792" i="1"/>
  <c r="C792" i="1"/>
  <c r="B792" i="1"/>
  <c r="A792" i="1"/>
  <c r="L791" i="1"/>
  <c r="K791" i="1"/>
  <c r="I791" i="1"/>
  <c r="H791" i="1"/>
  <c r="G791" i="1"/>
  <c r="J791" i="1" s="1"/>
  <c r="F791" i="1"/>
  <c r="E791" i="1"/>
  <c r="D791" i="1"/>
  <c r="C791" i="1"/>
  <c r="B791" i="1"/>
  <c r="A791" i="1"/>
  <c r="L790" i="1"/>
  <c r="K790" i="1"/>
  <c r="I790" i="1"/>
  <c r="H790" i="1"/>
  <c r="G790" i="1"/>
  <c r="J790" i="1" s="1"/>
  <c r="F790" i="1"/>
  <c r="E790" i="1"/>
  <c r="D790" i="1"/>
  <c r="C790" i="1"/>
  <c r="B790" i="1"/>
  <c r="A790" i="1"/>
  <c r="L789" i="1"/>
  <c r="K789" i="1"/>
  <c r="I789" i="1"/>
  <c r="H789" i="1"/>
  <c r="G789" i="1"/>
  <c r="J789" i="1" s="1"/>
  <c r="F789" i="1"/>
  <c r="E789" i="1"/>
  <c r="D789" i="1"/>
  <c r="C789" i="1"/>
  <c r="B789" i="1"/>
  <c r="A789" i="1"/>
  <c r="L788" i="1"/>
  <c r="K788" i="1"/>
  <c r="I788" i="1"/>
  <c r="H788" i="1"/>
  <c r="G788" i="1"/>
  <c r="J788" i="1" s="1"/>
  <c r="F788" i="1"/>
  <c r="E788" i="1"/>
  <c r="D788" i="1"/>
  <c r="C788" i="1"/>
  <c r="B788" i="1"/>
  <c r="A788" i="1"/>
  <c r="L787" i="1"/>
  <c r="K787" i="1"/>
  <c r="I787" i="1"/>
  <c r="H787" i="1"/>
  <c r="G787" i="1"/>
  <c r="J787" i="1" s="1"/>
  <c r="F787" i="1"/>
  <c r="E787" i="1"/>
  <c r="D787" i="1"/>
  <c r="C787" i="1"/>
  <c r="B787" i="1"/>
  <c r="A787" i="1"/>
  <c r="L786" i="1"/>
  <c r="K786" i="1"/>
  <c r="I786" i="1"/>
  <c r="H786" i="1"/>
  <c r="G786" i="1"/>
  <c r="F786" i="1"/>
  <c r="E786" i="1"/>
  <c r="D786" i="1"/>
  <c r="C786" i="1"/>
  <c r="B786" i="1"/>
  <c r="A786" i="1"/>
  <c r="L785" i="1"/>
  <c r="K785" i="1"/>
  <c r="I785" i="1"/>
  <c r="H785" i="1"/>
  <c r="G785" i="1"/>
  <c r="J785" i="1" s="1"/>
  <c r="F785" i="1"/>
  <c r="E785" i="1"/>
  <c r="D785" i="1"/>
  <c r="C785" i="1"/>
  <c r="B785" i="1"/>
  <c r="A785" i="1"/>
  <c r="L784" i="1"/>
  <c r="K784" i="1"/>
  <c r="I784" i="1"/>
  <c r="H784" i="1"/>
  <c r="G784" i="1"/>
  <c r="J784" i="1" s="1"/>
  <c r="F784" i="1"/>
  <c r="E784" i="1"/>
  <c r="D784" i="1"/>
  <c r="C784" i="1"/>
  <c r="B784" i="1"/>
  <c r="A784" i="1"/>
  <c r="L783" i="1"/>
  <c r="K783" i="1"/>
  <c r="I783" i="1"/>
  <c r="H783" i="1"/>
  <c r="G783" i="1"/>
  <c r="J783" i="1" s="1"/>
  <c r="F783" i="1"/>
  <c r="E783" i="1"/>
  <c r="D783" i="1"/>
  <c r="C783" i="1"/>
  <c r="B783" i="1"/>
  <c r="A783" i="1"/>
  <c r="L782" i="1"/>
  <c r="K782" i="1"/>
  <c r="I782" i="1"/>
  <c r="H782" i="1"/>
  <c r="G782" i="1"/>
  <c r="J782" i="1" s="1"/>
  <c r="F782" i="1"/>
  <c r="E782" i="1"/>
  <c r="D782" i="1"/>
  <c r="C782" i="1"/>
  <c r="B782" i="1"/>
  <c r="A782" i="1"/>
  <c r="L781" i="1"/>
  <c r="K781" i="1"/>
  <c r="I781" i="1"/>
  <c r="H781" i="1"/>
  <c r="G781" i="1"/>
  <c r="J781" i="1" s="1"/>
  <c r="F781" i="1"/>
  <c r="E781" i="1"/>
  <c r="D781" i="1"/>
  <c r="C781" i="1"/>
  <c r="B781" i="1"/>
  <c r="A781" i="1"/>
  <c r="L780" i="1"/>
  <c r="K780" i="1"/>
  <c r="I780" i="1"/>
  <c r="H780" i="1"/>
  <c r="G780" i="1"/>
  <c r="J780" i="1" s="1"/>
  <c r="F780" i="1"/>
  <c r="E780" i="1"/>
  <c r="D780" i="1"/>
  <c r="C780" i="1"/>
  <c r="B780" i="1"/>
  <c r="A780" i="1"/>
  <c r="L779" i="1"/>
  <c r="K779" i="1"/>
  <c r="I779" i="1"/>
  <c r="H779" i="1"/>
  <c r="G779" i="1"/>
  <c r="J779" i="1" s="1"/>
  <c r="F779" i="1"/>
  <c r="E779" i="1"/>
  <c r="D779" i="1"/>
  <c r="C779" i="1"/>
  <c r="B779" i="1"/>
  <c r="A779" i="1"/>
  <c r="L778" i="1"/>
  <c r="K778" i="1"/>
  <c r="I778" i="1"/>
  <c r="H778" i="1"/>
  <c r="G778" i="1"/>
  <c r="F778" i="1"/>
  <c r="E778" i="1"/>
  <c r="D778" i="1"/>
  <c r="C778" i="1"/>
  <c r="B778" i="1"/>
  <c r="A778" i="1"/>
  <c r="L777" i="1"/>
  <c r="K777" i="1"/>
  <c r="I777" i="1"/>
  <c r="H777" i="1"/>
  <c r="G777" i="1"/>
  <c r="J777" i="1" s="1"/>
  <c r="F777" i="1"/>
  <c r="E777" i="1"/>
  <c r="D777" i="1"/>
  <c r="C777" i="1"/>
  <c r="B777" i="1"/>
  <c r="A777" i="1"/>
  <c r="L776" i="1"/>
  <c r="K776" i="1"/>
  <c r="I776" i="1"/>
  <c r="H776" i="1"/>
  <c r="G776" i="1"/>
  <c r="J776" i="1" s="1"/>
  <c r="F776" i="1"/>
  <c r="E776" i="1"/>
  <c r="D776" i="1"/>
  <c r="C776" i="1"/>
  <c r="B776" i="1"/>
  <c r="A776" i="1"/>
  <c r="L775" i="1"/>
  <c r="K775" i="1"/>
  <c r="I775" i="1"/>
  <c r="H775" i="1"/>
  <c r="G775" i="1"/>
  <c r="J775" i="1" s="1"/>
  <c r="F775" i="1"/>
  <c r="E775" i="1"/>
  <c r="D775" i="1"/>
  <c r="C775" i="1"/>
  <c r="B775" i="1"/>
  <c r="A775" i="1"/>
  <c r="L774" i="1"/>
  <c r="K774" i="1"/>
  <c r="I774" i="1"/>
  <c r="H774" i="1"/>
  <c r="G774" i="1"/>
  <c r="J774" i="1" s="1"/>
  <c r="F774" i="1"/>
  <c r="E774" i="1"/>
  <c r="D774" i="1"/>
  <c r="C774" i="1"/>
  <c r="B774" i="1"/>
  <c r="A774" i="1"/>
  <c r="L773" i="1"/>
  <c r="K773" i="1"/>
  <c r="I773" i="1"/>
  <c r="H773" i="1"/>
  <c r="G773" i="1"/>
  <c r="J773" i="1" s="1"/>
  <c r="F773" i="1"/>
  <c r="E773" i="1"/>
  <c r="D773" i="1"/>
  <c r="C773" i="1"/>
  <c r="B773" i="1"/>
  <c r="A773" i="1"/>
  <c r="L772" i="1"/>
  <c r="K772" i="1"/>
  <c r="I772" i="1"/>
  <c r="H772" i="1"/>
  <c r="G772" i="1"/>
  <c r="J772" i="1" s="1"/>
  <c r="F772" i="1"/>
  <c r="E772" i="1"/>
  <c r="D772" i="1"/>
  <c r="C772" i="1"/>
  <c r="B772" i="1"/>
  <c r="A772" i="1"/>
  <c r="L771" i="1"/>
  <c r="K771" i="1"/>
  <c r="I771" i="1"/>
  <c r="H771" i="1"/>
  <c r="G771" i="1"/>
  <c r="J771" i="1" s="1"/>
  <c r="F771" i="1"/>
  <c r="E771" i="1"/>
  <c r="D771" i="1"/>
  <c r="C771" i="1"/>
  <c r="B771" i="1"/>
  <c r="A771" i="1"/>
  <c r="L770" i="1"/>
  <c r="K770" i="1"/>
  <c r="I770" i="1"/>
  <c r="H770" i="1"/>
  <c r="G770" i="1"/>
  <c r="F770" i="1"/>
  <c r="E770" i="1"/>
  <c r="D770" i="1"/>
  <c r="C770" i="1"/>
  <c r="B770" i="1"/>
  <c r="A770" i="1"/>
  <c r="L769" i="1"/>
  <c r="K769" i="1"/>
  <c r="I769" i="1"/>
  <c r="H769" i="1"/>
  <c r="G769" i="1"/>
  <c r="J769" i="1" s="1"/>
  <c r="F769" i="1"/>
  <c r="E769" i="1"/>
  <c r="D769" i="1"/>
  <c r="C769" i="1"/>
  <c r="B769" i="1"/>
  <c r="A769" i="1"/>
  <c r="L768" i="1"/>
  <c r="K768" i="1"/>
  <c r="I768" i="1"/>
  <c r="H768" i="1"/>
  <c r="G768" i="1"/>
  <c r="J768" i="1" s="1"/>
  <c r="F768" i="1"/>
  <c r="E768" i="1"/>
  <c r="D768" i="1"/>
  <c r="C768" i="1"/>
  <c r="B768" i="1"/>
  <c r="A768" i="1"/>
  <c r="L767" i="1"/>
  <c r="K767" i="1"/>
  <c r="I767" i="1"/>
  <c r="H767" i="1"/>
  <c r="G767" i="1"/>
  <c r="J767" i="1" s="1"/>
  <c r="F767" i="1"/>
  <c r="E767" i="1"/>
  <c r="D767" i="1"/>
  <c r="C767" i="1"/>
  <c r="B767" i="1"/>
  <c r="A767" i="1"/>
  <c r="L766" i="1"/>
  <c r="K766" i="1"/>
  <c r="I766" i="1"/>
  <c r="H766" i="1"/>
  <c r="G766" i="1"/>
  <c r="J766" i="1" s="1"/>
  <c r="F766" i="1"/>
  <c r="E766" i="1"/>
  <c r="D766" i="1"/>
  <c r="C766" i="1"/>
  <c r="B766" i="1"/>
  <c r="A766" i="1"/>
  <c r="L765" i="1"/>
  <c r="K765" i="1"/>
  <c r="I765" i="1"/>
  <c r="H765" i="1"/>
  <c r="G765" i="1"/>
  <c r="J765" i="1" s="1"/>
  <c r="F765" i="1"/>
  <c r="E765" i="1"/>
  <c r="D765" i="1"/>
  <c r="C765" i="1"/>
  <c r="B765" i="1"/>
  <c r="A765" i="1"/>
  <c r="L764" i="1"/>
  <c r="K764" i="1"/>
  <c r="I764" i="1"/>
  <c r="H764" i="1"/>
  <c r="G764" i="1"/>
  <c r="J764" i="1" s="1"/>
  <c r="F764" i="1"/>
  <c r="E764" i="1"/>
  <c r="D764" i="1"/>
  <c r="C764" i="1"/>
  <c r="B764" i="1"/>
  <c r="A764" i="1"/>
  <c r="L763" i="1"/>
  <c r="K763" i="1"/>
  <c r="I763" i="1"/>
  <c r="H763" i="1"/>
  <c r="G763" i="1"/>
  <c r="J763" i="1" s="1"/>
  <c r="F763" i="1"/>
  <c r="E763" i="1"/>
  <c r="D763" i="1"/>
  <c r="C763" i="1"/>
  <c r="B763" i="1"/>
  <c r="A763" i="1"/>
  <c r="L762" i="1"/>
  <c r="K762" i="1"/>
  <c r="I762" i="1"/>
  <c r="H762" i="1"/>
  <c r="G762" i="1"/>
  <c r="F762" i="1"/>
  <c r="E762" i="1"/>
  <c r="D762" i="1"/>
  <c r="C762" i="1"/>
  <c r="B762" i="1"/>
  <c r="A762" i="1"/>
  <c r="L761" i="1"/>
  <c r="K761" i="1"/>
  <c r="I761" i="1"/>
  <c r="H761" i="1"/>
  <c r="G761" i="1"/>
  <c r="J761" i="1" s="1"/>
  <c r="F761" i="1"/>
  <c r="E761" i="1"/>
  <c r="D761" i="1"/>
  <c r="C761" i="1"/>
  <c r="B761" i="1"/>
  <c r="A761" i="1"/>
  <c r="L760" i="1"/>
  <c r="K760" i="1"/>
  <c r="I760" i="1"/>
  <c r="H760" i="1"/>
  <c r="G760" i="1"/>
  <c r="J760" i="1" s="1"/>
  <c r="F760" i="1"/>
  <c r="E760" i="1"/>
  <c r="D760" i="1"/>
  <c r="C760" i="1"/>
  <c r="B760" i="1"/>
  <c r="A760" i="1"/>
  <c r="L759" i="1"/>
  <c r="K759" i="1"/>
  <c r="I759" i="1"/>
  <c r="H759" i="1"/>
  <c r="G759" i="1"/>
  <c r="J759" i="1" s="1"/>
  <c r="F759" i="1"/>
  <c r="E759" i="1"/>
  <c r="D759" i="1"/>
  <c r="C759" i="1"/>
  <c r="B759" i="1"/>
  <c r="A759" i="1"/>
  <c r="L758" i="1"/>
  <c r="K758" i="1"/>
  <c r="I758" i="1"/>
  <c r="H758" i="1"/>
  <c r="G758" i="1"/>
  <c r="J758" i="1" s="1"/>
  <c r="F758" i="1"/>
  <c r="E758" i="1"/>
  <c r="D758" i="1"/>
  <c r="C758" i="1"/>
  <c r="B758" i="1"/>
  <c r="A758" i="1"/>
  <c r="L757" i="1"/>
  <c r="K757" i="1"/>
  <c r="I757" i="1"/>
  <c r="H757" i="1"/>
  <c r="G757" i="1"/>
  <c r="J757" i="1" s="1"/>
  <c r="F757" i="1"/>
  <c r="E757" i="1"/>
  <c r="D757" i="1"/>
  <c r="C757" i="1"/>
  <c r="B757" i="1"/>
  <c r="A757" i="1"/>
  <c r="L756" i="1"/>
  <c r="K756" i="1"/>
  <c r="I756" i="1"/>
  <c r="H756" i="1"/>
  <c r="G756" i="1"/>
  <c r="J756" i="1" s="1"/>
  <c r="F756" i="1"/>
  <c r="E756" i="1"/>
  <c r="D756" i="1"/>
  <c r="C756" i="1"/>
  <c r="B756" i="1"/>
  <c r="A756" i="1"/>
  <c r="L755" i="1"/>
  <c r="K755" i="1"/>
  <c r="I755" i="1"/>
  <c r="H755" i="1"/>
  <c r="G755" i="1"/>
  <c r="J755" i="1" s="1"/>
  <c r="F755" i="1"/>
  <c r="E755" i="1"/>
  <c r="D755" i="1"/>
  <c r="C755" i="1"/>
  <c r="B755" i="1"/>
  <c r="A755" i="1"/>
  <c r="L754" i="1"/>
  <c r="K754" i="1"/>
  <c r="I754" i="1"/>
  <c r="H754" i="1"/>
  <c r="G754" i="1"/>
  <c r="F754" i="1"/>
  <c r="E754" i="1"/>
  <c r="D754" i="1"/>
  <c r="C754" i="1"/>
  <c r="B754" i="1"/>
  <c r="A754" i="1"/>
  <c r="L753" i="1"/>
  <c r="K753" i="1"/>
  <c r="I753" i="1"/>
  <c r="H753" i="1"/>
  <c r="G753" i="1"/>
  <c r="J753" i="1" s="1"/>
  <c r="F753" i="1"/>
  <c r="E753" i="1"/>
  <c r="D753" i="1"/>
  <c r="C753" i="1"/>
  <c r="B753" i="1"/>
  <c r="A753" i="1"/>
  <c r="L752" i="1"/>
  <c r="K752" i="1"/>
  <c r="I752" i="1"/>
  <c r="H752" i="1"/>
  <c r="G752" i="1"/>
  <c r="J752" i="1" s="1"/>
  <c r="F752" i="1"/>
  <c r="E752" i="1"/>
  <c r="D752" i="1"/>
  <c r="C752" i="1"/>
  <c r="B752" i="1"/>
  <c r="A752" i="1"/>
  <c r="L751" i="1"/>
  <c r="K751" i="1"/>
  <c r="I751" i="1"/>
  <c r="H751" i="1"/>
  <c r="G751" i="1"/>
  <c r="J751" i="1" s="1"/>
  <c r="F751" i="1"/>
  <c r="E751" i="1"/>
  <c r="D751" i="1"/>
  <c r="C751" i="1"/>
  <c r="B751" i="1"/>
  <c r="A751" i="1"/>
  <c r="L750" i="1"/>
  <c r="K750" i="1"/>
  <c r="I750" i="1"/>
  <c r="H750" i="1"/>
  <c r="G750" i="1"/>
  <c r="J750" i="1" s="1"/>
  <c r="F750" i="1"/>
  <c r="E750" i="1"/>
  <c r="D750" i="1"/>
  <c r="C750" i="1"/>
  <c r="B750" i="1"/>
  <c r="A750" i="1"/>
  <c r="L749" i="1"/>
  <c r="K749" i="1"/>
  <c r="I749" i="1"/>
  <c r="H749" i="1"/>
  <c r="G749" i="1"/>
  <c r="J749" i="1" s="1"/>
  <c r="F749" i="1"/>
  <c r="E749" i="1"/>
  <c r="D749" i="1"/>
  <c r="C749" i="1"/>
  <c r="B749" i="1"/>
  <c r="A749" i="1"/>
  <c r="L748" i="1"/>
  <c r="K748" i="1"/>
  <c r="I748" i="1"/>
  <c r="H748" i="1"/>
  <c r="G748" i="1"/>
  <c r="J748" i="1" s="1"/>
  <c r="F748" i="1"/>
  <c r="E748" i="1"/>
  <c r="D748" i="1"/>
  <c r="C748" i="1"/>
  <c r="B748" i="1"/>
  <c r="A748" i="1"/>
  <c r="L747" i="1"/>
  <c r="K747" i="1"/>
  <c r="I747" i="1"/>
  <c r="H747" i="1"/>
  <c r="G747" i="1"/>
  <c r="J747" i="1" s="1"/>
  <c r="F747" i="1"/>
  <c r="E747" i="1"/>
  <c r="D747" i="1"/>
  <c r="C747" i="1"/>
  <c r="B747" i="1"/>
  <c r="A747" i="1"/>
  <c r="L746" i="1"/>
  <c r="K746" i="1"/>
  <c r="I746" i="1"/>
  <c r="H746" i="1"/>
  <c r="G746" i="1"/>
  <c r="F746" i="1"/>
  <c r="E746" i="1"/>
  <c r="D746" i="1"/>
  <c r="C746" i="1"/>
  <c r="B746" i="1"/>
  <c r="A746" i="1"/>
  <c r="L745" i="1"/>
  <c r="K745" i="1"/>
  <c r="I745" i="1"/>
  <c r="H745" i="1"/>
  <c r="G745" i="1"/>
  <c r="J745" i="1" s="1"/>
  <c r="F745" i="1"/>
  <c r="E745" i="1"/>
  <c r="D745" i="1"/>
  <c r="C745" i="1"/>
  <c r="B745" i="1"/>
  <c r="A745" i="1"/>
  <c r="L744" i="1"/>
  <c r="K744" i="1"/>
  <c r="I744" i="1"/>
  <c r="H744" i="1"/>
  <c r="G744" i="1"/>
  <c r="J744" i="1" s="1"/>
  <c r="F744" i="1"/>
  <c r="E744" i="1"/>
  <c r="D744" i="1"/>
  <c r="C744" i="1"/>
  <c r="B744" i="1"/>
  <c r="A744" i="1"/>
  <c r="L743" i="1"/>
  <c r="K743" i="1"/>
  <c r="I743" i="1"/>
  <c r="H743" i="1"/>
  <c r="G743" i="1"/>
  <c r="J743" i="1" s="1"/>
  <c r="F743" i="1"/>
  <c r="E743" i="1"/>
  <c r="D743" i="1"/>
  <c r="C743" i="1"/>
  <c r="B743" i="1"/>
  <c r="A743" i="1"/>
  <c r="L742" i="1"/>
  <c r="K742" i="1"/>
  <c r="I742" i="1"/>
  <c r="H742" i="1"/>
  <c r="G742" i="1"/>
  <c r="J742" i="1" s="1"/>
  <c r="F742" i="1"/>
  <c r="E742" i="1"/>
  <c r="D742" i="1"/>
  <c r="C742" i="1"/>
  <c r="B742" i="1"/>
  <c r="A742" i="1"/>
  <c r="L741" i="1"/>
  <c r="K741" i="1"/>
  <c r="I741" i="1"/>
  <c r="H741" i="1"/>
  <c r="G741" i="1"/>
  <c r="J741" i="1" s="1"/>
  <c r="F741" i="1"/>
  <c r="E741" i="1"/>
  <c r="D741" i="1"/>
  <c r="C741" i="1"/>
  <c r="B741" i="1"/>
  <c r="A741" i="1"/>
  <c r="L740" i="1"/>
  <c r="K740" i="1"/>
  <c r="I740" i="1"/>
  <c r="H740" i="1"/>
  <c r="G740" i="1"/>
  <c r="J740" i="1" s="1"/>
  <c r="F740" i="1"/>
  <c r="E740" i="1"/>
  <c r="D740" i="1"/>
  <c r="C740" i="1"/>
  <c r="B740" i="1"/>
  <c r="A740" i="1"/>
  <c r="L739" i="1"/>
  <c r="K739" i="1"/>
  <c r="I739" i="1"/>
  <c r="H739" i="1"/>
  <c r="G739" i="1"/>
  <c r="J739" i="1" s="1"/>
  <c r="F739" i="1"/>
  <c r="E739" i="1"/>
  <c r="D739" i="1"/>
  <c r="C739" i="1"/>
  <c r="B739" i="1"/>
  <c r="A739" i="1"/>
  <c r="L738" i="1"/>
  <c r="K738" i="1"/>
  <c r="I738" i="1"/>
  <c r="H738" i="1"/>
  <c r="G738" i="1"/>
  <c r="F738" i="1"/>
  <c r="E738" i="1"/>
  <c r="D738" i="1"/>
  <c r="C738" i="1"/>
  <c r="B738" i="1"/>
  <c r="A738" i="1"/>
  <c r="L737" i="1"/>
  <c r="K737" i="1"/>
  <c r="I737" i="1"/>
  <c r="H737" i="1"/>
  <c r="G737" i="1"/>
  <c r="J737" i="1" s="1"/>
  <c r="F737" i="1"/>
  <c r="E737" i="1"/>
  <c r="D737" i="1"/>
  <c r="C737" i="1"/>
  <c r="B737" i="1"/>
  <c r="A737" i="1"/>
  <c r="L736" i="1"/>
  <c r="K736" i="1"/>
  <c r="I736" i="1"/>
  <c r="H736" i="1"/>
  <c r="G736" i="1"/>
  <c r="J736" i="1" s="1"/>
  <c r="F736" i="1"/>
  <c r="E736" i="1"/>
  <c r="D736" i="1"/>
  <c r="C736" i="1"/>
  <c r="B736" i="1"/>
  <c r="A736" i="1"/>
  <c r="L735" i="1"/>
  <c r="K735" i="1"/>
  <c r="I735" i="1"/>
  <c r="H735" i="1"/>
  <c r="G735" i="1"/>
  <c r="J735" i="1" s="1"/>
  <c r="F735" i="1"/>
  <c r="E735" i="1"/>
  <c r="D735" i="1"/>
  <c r="C735" i="1"/>
  <c r="B735" i="1"/>
  <c r="A735" i="1"/>
  <c r="L734" i="1"/>
  <c r="K734" i="1"/>
  <c r="I734" i="1"/>
  <c r="H734" i="1"/>
  <c r="G734" i="1"/>
  <c r="J734" i="1" s="1"/>
  <c r="F734" i="1"/>
  <c r="E734" i="1"/>
  <c r="D734" i="1"/>
  <c r="C734" i="1"/>
  <c r="B734" i="1"/>
  <c r="A734" i="1"/>
  <c r="L733" i="1"/>
  <c r="K733" i="1"/>
  <c r="I733" i="1"/>
  <c r="H733" i="1"/>
  <c r="G733" i="1"/>
  <c r="J733" i="1" s="1"/>
  <c r="F733" i="1"/>
  <c r="E733" i="1"/>
  <c r="D733" i="1"/>
  <c r="C733" i="1"/>
  <c r="B733" i="1"/>
  <c r="A733" i="1"/>
  <c r="L732" i="1"/>
  <c r="K732" i="1"/>
  <c r="I732" i="1"/>
  <c r="H732" i="1"/>
  <c r="G732" i="1"/>
  <c r="J732" i="1" s="1"/>
  <c r="F732" i="1"/>
  <c r="E732" i="1"/>
  <c r="D732" i="1"/>
  <c r="C732" i="1"/>
  <c r="B732" i="1"/>
  <c r="A732" i="1"/>
  <c r="L731" i="1"/>
  <c r="K731" i="1"/>
  <c r="I731" i="1"/>
  <c r="H731" i="1"/>
  <c r="G731" i="1"/>
  <c r="J731" i="1" s="1"/>
  <c r="F731" i="1"/>
  <c r="E731" i="1"/>
  <c r="D731" i="1"/>
  <c r="C731" i="1"/>
  <c r="B731" i="1"/>
  <c r="A731" i="1"/>
  <c r="L730" i="1"/>
  <c r="K730" i="1"/>
  <c r="I730" i="1"/>
  <c r="H730" i="1"/>
  <c r="G730" i="1"/>
  <c r="F730" i="1"/>
  <c r="E730" i="1"/>
  <c r="D730" i="1"/>
  <c r="C730" i="1"/>
  <c r="B730" i="1"/>
  <c r="A730" i="1"/>
  <c r="L729" i="1"/>
  <c r="K729" i="1"/>
  <c r="I729" i="1"/>
  <c r="H729" i="1"/>
  <c r="G729" i="1"/>
  <c r="J729" i="1" s="1"/>
  <c r="F729" i="1"/>
  <c r="E729" i="1"/>
  <c r="D729" i="1"/>
  <c r="C729" i="1"/>
  <c r="B729" i="1"/>
  <c r="A729" i="1"/>
  <c r="L728" i="1"/>
  <c r="K728" i="1"/>
  <c r="I728" i="1"/>
  <c r="H728" i="1"/>
  <c r="G728" i="1"/>
  <c r="J728" i="1" s="1"/>
  <c r="F728" i="1"/>
  <c r="E728" i="1"/>
  <c r="D728" i="1"/>
  <c r="C728" i="1"/>
  <c r="B728" i="1"/>
  <c r="A728" i="1"/>
  <c r="L727" i="1"/>
  <c r="K727" i="1"/>
  <c r="I727" i="1"/>
  <c r="H727" i="1"/>
  <c r="G727" i="1"/>
  <c r="J727" i="1" s="1"/>
  <c r="F727" i="1"/>
  <c r="E727" i="1"/>
  <c r="D727" i="1"/>
  <c r="C727" i="1"/>
  <c r="B727" i="1"/>
  <c r="A727" i="1"/>
  <c r="L726" i="1"/>
  <c r="K726" i="1"/>
  <c r="I726" i="1"/>
  <c r="H726" i="1"/>
  <c r="G726" i="1"/>
  <c r="J726" i="1" s="1"/>
  <c r="F726" i="1"/>
  <c r="E726" i="1"/>
  <c r="D726" i="1"/>
  <c r="C726" i="1"/>
  <c r="B726" i="1"/>
  <c r="A726" i="1"/>
  <c r="L725" i="1"/>
  <c r="K725" i="1"/>
  <c r="I725" i="1"/>
  <c r="H725" i="1"/>
  <c r="G725" i="1"/>
  <c r="F725" i="1"/>
  <c r="E725" i="1"/>
  <c r="D725" i="1"/>
  <c r="C725" i="1"/>
  <c r="B725" i="1"/>
  <c r="A725" i="1"/>
  <c r="L724" i="1"/>
  <c r="K724" i="1"/>
  <c r="I724" i="1"/>
  <c r="H724" i="1"/>
  <c r="G724" i="1"/>
  <c r="J724" i="1" s="1"/>
  <c r="F724" i="1"/>
  <c r="E724" i="1"/>
  <c r="D724" i="1"/>
  <c r="C724" i="1"/>
  <c r="B724" i="1"/>
  <c r="A724" i="1"/>
  <c r="L723" i="1"/>
  <c r="K723" i="1"/>
  <c r="I723" i="1"/>
  <c r="H723" i="1"/>
  <c r="G723" i="1"/>
  <c r="J723" i="1" s="1"/>
  <c r="F723" i="1"/>
  <c r="E723" i="1"/>
  <c r="D723" i="1"/>
  <c r="C723" i="1"/>
  <c r="B723" i="1"/>
  <c r="A723" i="1"/>
  <c r="L722" i="1"/>
  <c r="K722" i="1"/>
  <c r="I722" i="1"/>
  <c r="H722" i="1"/>
  <c r="G722" i="1"/>
  <c r="F722" i="1"/>
  <c r="E722" i="1"/>
  <c r="D722" i="1"/>
  <c r="C722" i="1"/>
  <c r="B722" i="1"/>
  <c r="A722" i="1"/>
  <c r="L721" i="1"/>
  <c r="K721" i="1"/>
  <c r="I721" i="1"/>
  <c r="H721" i="1"/>
  <c r="G721" i="1"/>
  <c r="J721" i="1" s="1"/>
  <c r="F721" i="1"/>
  <c r="E721" i="1"/>
  <c r="D721" i="1"/>
  <c r="C721" i="1"/>
  <c r="B721" i="1"/>
  <c r="A721" i="1"/>
  <c r="L720" i="1"/>
  <c r="K720" i="1"/>
  <c r="I720" i="1"/>
  <c r="H720" i="1"/>
  <c r="G720" i="1"/>
  <c r="J720" i="1" s="1"/>
  <c r="F720" i="1"/>
  <c r="E720" i="1"/>
  <c r="D720" i="1"/>
  <c r="C720" i="1"/>
  <c r="B720" i="1"/>
  <c r="A720" i="1"/>
  <c r="L719" i="1"/>
  <c r="K719" i="1"/>
  <c r="I719" i="1"/>
  <c r="H719" i="1"/>
  <c r="G719" i="1"/>
  <c r="J719" i="1" s="1"/>
  <c r="F719" i="1"/>
  <c r="E719" i="1"/>
  <c r="D719" i="1"/>
  <c r="C719" i="1"/>
  <c r="B719" i="1"/>
  <c r="A719" i="1"/>
  <c r="L718" i="1"/>
  <c r="K718" i="1"/>
  <c r="I718" i="1"/>
  <c r="H718" i="1"/>
  <c r="G718" i="1"/>
  <c r="J718" i="1" s="1"/>
  <c r="F718" i="1"/>
  <c r="E718" i="1"/>
  <c r="D718" i="1"/>
  <c r="C718" i="1"/>
  <c r="B718" i="1"/>
  <c r="A718" i="1"/>
  <c r="L717" i="1"/>
  <c r="K717" i="1"/>
  <c r="I717" i="1"/>
  <c r="H717" i="1"/>
  <c r="G717" i="1"/>
  <c r="F717" i="1"/>
  <c r="E717" i="1"/>
  <c r="D717" i="1"/>
  <c r="C717" i="1"/>
  <c r="B717" i="1"/>
  <c r="A717" i="1"/>
  <c r="L716" i="1"/>
  <c r="K716" i="1"/>
  <c r="I716" i="1"/>
  <c r="H716" i="1"/>
  <c r="G716" i="1"/>
  <c r="J716" i="1" s="1"/>
  <c r="F716" i="1"/>
  <c r="E716" i="1"/>
  <c r="D716" i="1"/>
  <c r="C716" i="1"/>
  <c r="B716" i="1"/>
  <c r="A716" i="1"/>
  <c r="L715" i="1"/>
  <c r="K715" i="1"/>
  <c r="I715" i="1"/>
  <c r="H715" i="1"/>
  <c r="G715" i="1"/>
  <c r="J715" i="1" s="1"/>
  <c r="F715" i="1"/>
  <c r="E715" i="1"/>
  <c r="D715" i="1"/>
  <c r="C715" i="1"/>
  <c r="B715" i="1"/>
  <c r="A715" i="1"/>
  <c r="L714" i="1"/>
  <c r="K714" i="1"/>
  <c r="I714" i="1"/>
  <c r="H714" i="1"/>
  <c r="G714" i="1"/>
  <c r="F714" i="1"/>
  <c r="E714" i="1"/>
  <c r="D714" i="1"/>
  <c r="C714" i="1"/>
  <c r="B714" i="1"/>
  <c r="A714" i="1"/>
  <c r="L713" i="1"/>
  <c r="K713" i="1"/>
  <c r="I713" i="1"/>
  <c r="H713" i="1"/>
  <c r="G713" i="1"/>
  <c r="J713" i="1" s="1"/>
  <c r="F713" i="1"/>
  <c r="E713" i="1"/>
  <c r="D713" i="1"/>
  <c r="C713" i="1"/>
  <c r="B713" i="1"/>
  <c r="A713" i="1"/>
  <c r="L712" i="1"/>
  <c r="K712" i="1"/>
  <c r="I712" i="1"/>
  <c r="H712" i="1"/>
  <c r="G712" i="1"/>
  <c r="J712" i="1" s="1"/>
  <c r="F712" i="1"/>
  <c r="E712" i="1"/>
  <c r="D712" i="1"/>
  <c r="C712" i="1"/>
  <c r="B712" i="1"/>
  <c r="A712" i="1"/>
  <c r="L711" i="1"/>
  <c r="K711" i="1"/>
  <c r="I711" i="1"/>
  <c r="H711" i="1"/>
  <c r="G711" i="1"/>
  <c r="J711" i="1" s="1"/>
  <c r="F711" i="1"/>
  <c r="E711" i="1"/>
  <c r="D711" i="1"/>
  <c r="C711" i="1"/>
  <c r="B711" i="1"/>
  <c r="A711" i="1"/>
  <c r="L710" i="1"/>
  <c r="K710" i="1"/>
  <c r="I710" i="1"/>
  <c r="H710" i="1"/>
  <c r="G710" i="1"/>
  <c r="J710" i="1" s="1"/>
  <c r="F710" i="1"/>
  <c r="E710" i="1"/>
  <c r="D710" i="1"/>
  <c r="C710" i="1"/>
  <c r="B710" i="1"/>
  <c r="A710" i="1"/>
  <c r="L709" i="1"/>
  <c r="K709" i="1"/>
  <c r="I709" i="1"/>
  <c r="H709" i="1"/>
  <c r="G709" i="1"/>
  <c r="F709" i="1"/>
  <c r="E709" i="1"/>
  <c r="D709" i="1"/>
  <c r="C709" i="1"/>
  <c r="B709" i="1"/>
  <c r="A709" i="1"/>
  <c r="L708" i="1"/>
  <c r="K708" i="1"/>
  <c r="I708" i="1"/>
  <c r="H708" i="1"/>
  <c r="G708" i="1"/>
  <c r="J708" i="1" s="1"/>
  <c r="F708" i="1"/>
  <c r="E708" i="1"/>
  <c r="D708" i="1"/>
  <c r="C708" i="1"/>
  <c r="B708" i="1"/>
  <c r="A708" i="1"/>
  <c r="L707" i="1"/>
  <c r="K707" i="1"/>
  <c r="I707" i="1"/>
  <c r="H707" i="1"/>
  <c r="G707" i="1"/>
  <c r="J707" i="1" s="1"/>
  <c r="F707" i="1"/>
  <c r="E707" i="1"/>
  <c r="D707" i="1"/>
  <c r="C707" i="1"/>
  <c r="B707" i="1"/>
  <c r="A707" i="1"/>
  <c r="L706" i="1"/>
  <c r="K706" i="1"/>
  <c r="I706" i="1"/>
  <c r="H706" i="1"/>
  <c r="G706" i="1"/>
  <c r="F706" i="1"/>
  <c r="E706" i="1"/>
  <c r="D706" i="1"/>
  <c r="C706" i="1"/>
  <c r="B706" i="1"/>
  <c r="A706" i="1"/>
  <c r="L705" i="1"/>
  <c r="K705" i="1"/>
  <c r="I705" i="1"/>
  <c r="H705" i="1"/>
  <c r="G705" i="1"/>
  <c r="J705" i="1" s="1"/>
  <c r="F705" i="1"/>
  <c r="E705" i="1"/>
  <c r="D705" i="1"/>
  <c r="C705" i="1"/>
  <c r="B705" i="1"/>
  <c r="A705" i="1"/>
  <c r="L704" i="1"/>
  <c r="K704" i="1"/>
  <c r="I704" i="1"/>
  <c r="H704" i="1"/>
  <c r="G704" i="1"/>
  <c r="J704" i="1" s="1"/>
  <c r="F704" i="1"/>
  <c r="E704" i="1"/>
  <c r="D704" i="1"/>
  <c r="C704" i="1"/>
  <c r="B704" i="1"/>
  <c r="A704" i="1"/>
  <c r="L703" i="1"/>
  <c r="K703" i="1"/>
  <c r="I703" i="1"/>
  <c r="H703" i="1"/>
  <c r="G703" i="1"/>
  <c r="J703" i="1" s="1"/>
  <c r="F703" i="1"/>
  <c r="E703" i="1"/>
  <c r="D703" i="1"/>
  <c r="C703" i="1"/>
  <c r="B703" i="1"/>
  <c r="A703" i="1"/>
  <c r="L702" i="1"/>
  <c r="K702" i="1"/>
  <c r="I702" i="1"/>
  <c r="H702" i="1"/>
  <c r="G702" i="1"/>
  <c r="J702" i="1" s="1"/>
  <c r="F702" i="1"/>
  <c r="E702" i="1"/>
  <c r="D702" i="1"/>
  <c r="C702" i="1"/>
  <c r="B702" i="1"/>
  <c r="A702" i="1"/>
  <c r="L701" i="1"/>
  <c r="K701" i="1"/>
  <c r="I701" i="1"/>
  <c r="H701" i="1"/>
  <c r="G701" i="1"/>
  <c r="F701" i="1"/>
  <c r="E701" i="1"/>
  <c r="D701" i="1"/>
  <c r="C701" i="1"/>
  <c r="B701" i="1"/>
  <c r="A701" i="1"/>
  <c r="L700" i="1"/>
  <c r="K700" i="1"/>
  <c r="I700" i="1"/>
  <c r="H700" i="1"/>
  <c r="G700" i="1"/>
  <c r="J700" i="1" s="1"/>
  <c r="F700" i="1"/>
  <c r="E700" i="1"/>
  <c r="D700" i="1"/>
  <c r="C700" i="1"/>
  <c r="B700" i="1"/>
  <c r="A700" i="1"/>
  <c r="L699" i="1"/>
  <c r="K699" i="1"/>
  <c r="I699" i="1"/>
  <c r="H699" i="1"/>
  <c r="G699" i="1"/>
  <c r="J699" i="1" s="1"/>
  <c r="F699" i="1"/>
  <c r="E699" i="1"/>
  <c r="D699" i="1"/>
  <c r="C699" i="1"/>
  <c r="B699" i="1"/>
  <c r="A699" i="1"/>
  <c r="L698" i="1"/>
  <c r="K698" i="1"/>
  <c r="I698" i="1"/>
  <c r="H698" i="1"/>
  <c r="G698" i="1"/>
  <c r="F698" i="1"/>
  <c r="E698" i="1"/>
  <c r="D698" i="1"/>
  <c r="C698" i="1"/>
  <c r="B698" i="1"/>
  <c r="A698" i="1"/>
  <c r="L697" i="1"/>
  <c r="K697" i="1"/>
  <c r="I697" i="1"/>
  <c r="H697" i="1"/>
  <c r="G697" i="1"/>
  <c r="J697" i="1" s="1"/>
  <c r="F697" i="1"/>
  <c r="E697" i="1"/>
  <c r="D697" i="1"/>
  <c r="C697" i="1"/>
  <c r="B697" i="1"/>
  <c r="A697" i="1"/>
  <c r="L696" i="1"/>
  <c r="K696" i="1"/>
  <c r="I696" i="1"/>
  <c r="H696" i="1"/>
  <c r="G696" i="1"/>
  <c r="F696" i="1"/>
  <c r="E696" i="1"/>
  <c r="D696" i="1"/>
  <c r="C696" i="1"/>
  <c r="B696" i="1"/>
  <c r="A696" i="1"/>
  <c r="L695" i="1"/>
  <c r="K695" i="1"/>
  <c r="I695" i="1"/>
  <c r="H695" i="1"/>
  <c r="G695" i="1"/>
  <c r="J695" i="1" s="1"/>
  <c r="F695" i="1"/>
  <c r="E695" i="1"/>
  <c r="D695" i="1"/>
  <c r="C695" i="1"/>
  <c r="B695" i="1"/>
  <c r="A695" i="1"/>
  <c r="L694" i="1"/>
  <c r="K694" i="1"/>
  <c r="I694" i="1"/>
  <c r="H694" i="1"/>
  <c r="G694" i="1"/>
  <c r="J694" i="1" s="1"/>
  <c r="F694" i="1"/>
  <c r="E694" i="1"/>
  <c r="D694" i="1"/>
  <c r="C694" i="1"/>
  <c r="B694" i="1"/>
  <c r="A694" i="1"/>
  <c r="L693" i="1"/>
  <c r="K693" i="1"/>
  <c r="I693" i="1"/>
  <c r="H693" i="1"/>
  <c r="G693" i="1"/>
  <c r="F693" i="1"/>
  <c r="E693" i="1"/>
  <c r="D693" i="1"/>
  <c r="C693" i="1"/>
  <c r="B693" i="1"/>
  <c r="A693" i="1"/>
  <c r="L692" i="1"/>
  <c r="K692" i="1"/>
  <c r="I692" i="1"/>
  <c r="H692" i="1"/>
  <c r="G692" i="1"/>
  <c r="J692" i="1" s="1"/>
  <c r="F692" i="1"/>
  <c r="E692" i="1"/>
  <c r="D692" i="1"/>
  <c r="C692" i="1"/>
  <c r="B692" i="1"/>
  <c r="A692" i="1"/>
  <c r="L691" i="1"/>
  <c r="K691" i="1"/>
  <c r="I691" i="1"/>
  <c r="H691" i="1"/>
  <c r="G691" i="1"/>
  <c r="J691" i="1" s="1"/>
  <c r="F691" i="1"/>
  <c r="E691" i="1"/>
  <c r="D691" i="1"/>
  <c r="C691" i="1"/>
  <c r="B691" i="1"/>
  <c r="A691" i="1"/>
  <c r="L690" i="1"/>
  <c r="K690" i="1"/>
  <c r="I690" i="1"/>
  <c r="H690" i="1"/>
  <c r="G690" i="1"/>
  <c r="F690" i="1"/>
  <c r="E690" i="1"/>
  <c r="D690" i="1"/>
  <c r="C690" i="1"/>
  <c r="B690" i="1"/>
  <c r="A690" i="1"/>
  <c r="L689" i="1"/>
  <c r="K689" i="1"/>
  <c r="I689" i="1"/>
  <c r="H689" i="1"/>
  <c r="G689" i="1"/>
  <c r="J689" i="1" s="1"/>
  <c r="F689" i="1"/>
  <c r="E689" i="1"/>
  <c r="D689" i="1"/>
  <c r="C689" i="1"/>
  <c r="B689" i="1"/>
  <c r="A689" i="1"/>
  <c r="L688" i="1"/>
  <c r="K688" i="1"/>
  <c r="I688" i="1"/>
  <c r="H688" i="1"/>
  <c r="G688" i="1"/>
  <c r="F688" i="1"/>
  <c r="E688" i="1"/>
  <c r="D688" i="1"/>
  <c r="C688" i="1"/>
  <c r="B688" i="1"/>
  <c r="A688" i="1"/>
  <c r="L687" i="1"/>
  <c r="K687" i="1"/>
  <c r="I687" i="1"/>
  <c r="H687" i="1"/>
  <c r="G687" i="1"/>
  <c r="J687" i="1" s="1"/>
  <c r="F687" i="1"/>
  <c r="E687" i="1"/>
  <c r="D687" i="1"/>
  <c r="C687" i="1"/>
  <c r="B687" i="1"/>
  <c r="A687" i="1"/>
  <c r="L686" i="1"/>
  <c r="K686" i="1"/>
  <c r="I686" i="1"/>
  <c r="H686" i="1"/>
  <c r="G686" i="1"/>
  <c r="J686" i="1" s="1"/>
  <c r="F686" i="1"/>
  <c r="E686" i="1"/>
  <c r="D686" i="1"/>
  <c r="C686" i="1"/>
  <c r="B686" i="1"/>
  <c r="A686" i="1"/>
  <c r="L685" i="1"/>
  <c r="K685" i="1"/>
  <c r="I685" i="1"/>
  <c r="H685" i="1"/>
  <c r="G685" i="1"/>
  <c r="F685" i="1"/>
  <c r="E685" i="1"/>
  <c r="D685" i="1"/>
  <c r="C685" i="1"/>
  <c r="B685" i="1"/>
  <c r="A685" i="1"/>
  <c r="L684" i="1"/>
  <c r="K684" i="1"/>
  <c r="I684" i="1"/>
  <c r="H684" i="1"/>
  <c r="G684" i="1"/>
  <c r="J684" i="1" s="1"/>
  <c r="F684" i="1"/>
  <c r="E684" i="1"/>
  <c r="D684" i="1"/>
  <c r="C684" i="1"/>
  <c r="B684" i="1"/>
  <c r="A684" i="1"/>
  <c r="L683" i="1"/>
  <c r="K683" i="1"/>
  <c r="I683" i="1"/>
  <c r="H683" i="1"/>
  <c r="G683" i="1"/>
  <c r="J683" i="1" s="1"/>
  <c r="F683" i="1"/>
  <c r="E683" i="1"/>
  <c r="D683" i="1"/>
  <c r="C683" i="1"/>
  <c r="B683" i="1"/>
  <c r="A683" i="1"/>
  <c r="L682" i="1"/>
  <c r="K682" i="1"/>
  <c r="I682" i="1"/>
  <c r="H682" i="1"/>
  <c r="G682" i="1"/>
  <c r="F682" i="1"/>
  <c r="E682" i="1"/>
  <c r="D682" i="1"/>
  <c r="C682" i="1"/>
  <c r="B682" i="1"/>
  <c r="A682" i="1"/>
  <c r="L681" i="1"/>
  <c r="K681" i="1"/>
  <c r="I681" i="1"/>
  <c r="H681" i="1"/>
  <c r="G681" i="1"/>
  <c r="J681" i="1" s="1"/>
  <c r="F681" i="1"/>
  <c r="E681" i="1"/>
  <c r="D681" i="1"/>
  <c r="C681" i="1"/>
  <c r="B681" i="1"/>
  <c r="A681" i="1"/>
  <c r="L680" i="1"/>
  <c r="K680" i="1"/>
  <c r="I680" i="1"/>
  <c r="H680" i="1"/>
  <c r="G680" i="1"/>
  <c r="F680" i="1"/>
  <c r="E680" i="1"/>
  <c r="D680" i="1"/>
  <c r="C680" i="1"/>
  <c r="B680" i="1"/>
  <c r="A680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L678" i="1"/>
  <c r="K678" i="1"/>
  <c r="I678" i="1"/>
  <c r="H678" i="1"/>
  <c r="G678" i="1"/>
  <c r="J678" i="1" s="1"/>
  <c r="F678" i="1"/>
  <c r="E678" i="1"/>
  <c r="D678" i="1"/>
  <c r="C678" i="1"/>
  <c r="B678" i="1"/>
  <c r="A678" i="1"/>
  <c r="L677" i="1"/>
  <c r="K677" i="1"/>
  <c r="I677" i="1"/>
  <c r="H677" i="1"/>
  <c r="G677" i="1"/>
  <c r="F677" i="1"/>
  <c r="E677" i="1"/>
  <c r="D677" i="1"/>
  <c r="C677" i="1"/>
  <c r="B677" i="1"/>
  <c r="A677" i="1"/>
  <c r="L676" i="1"/>
  <c r="K676" i="1"/>
  <c r="I676" i="1"/>
  <c r="H676" i="1"/>
  <c r="G676" i="1"/>
  <c r="J676" i="1" s="1"/>
  <c r="F676" i="1"/>
  <c r="E676" i="1"/>
  <c r="D676" i="1"/>
  <c r="C676" i="1"/>
  <c r="B676" i="1"/>
  <c r="A676" i="1"/>
  <c r="L675" i="1"/>
  <c r="K675" i="1"/>
  <c r="I675" i="1"/>
  <c r="H675" i="1"/>
  <c r="G675" i="1"/>
  <c r="J675" i="1" s="1"/>
  <c r="F675" i="1"/>
  <c r="E675" i="1"/>
  <c r="D675" i="1"/>
  <c r="C675" i="1"/>
  <c r="B675" i="1"/>
  <c r="A675" i="1"/>
  <c r="L674" i="1"/>
  <c r="K674" i="1"/>
  <c r="I674" i="1"/>
  <c r="H674" i="1"/>
  <c r="G674" i="1"/>
  <c r="F674" i="1"/>
  <c r="E674" i="1"/>
  <c r="D674" i="1"/>
  <c r="C674" i="1"/>
  <c r="B674" i="1"/>
  <c r="A674" i="1"/>
  <c r="L673" i="1"/>
  <c r="K673" i="1"/>
  <c r="I673" i="1"/>
  <c r="H673" i="1"/>
  <c r="G673" i="1"/>
  <c r="J673" i="1" s="1"/>
  <c r="F673" i="1"/>
  <c r="E673" i="1"/>
  <c r="D673" i="1"/>
  <c r="C673" i="1"/>
  <c r="B673" i="1"/>
  <c r="A673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L671" i="1"/>
  <c r="K671" i="1"/>
  <c r="I671" i="1"/>
  <c r="H671" i="1"/>
  <c r="G671" i="1"/>
  <c r="J671" i="1" s="1"/>
  <c r="F671" i="1"/>
  <c r="E671" i="1"/>
  <c r="D671" i="1"/>
  <c r="C671" i="1"/>
  <c r="B671" i="1"/>
  <c r="A671" i="1"/>
  <c r="L670" i="1"/>
  <c r="K670" i="1"/>
  <c r="I670" i="1"/>
  <c r="H670" i="1"/>
  <c r="G670" i="1"/>
  <c r="J670" i="1" s="1"/>
  <c r="F670" i="1"/>
  <c r="E670" i="1"/>
  <c r="D670" i="1"/>
  <c r="C670" i="1"/>
  <c r="B670" i="1"/>
  <c r="A670" i="1"/>
  <c r="L669" i="1"/>
  <c r="K669" i="1"/>
  <c r="I669" i="1"/>
  <c r="H669" i="1"/>
  <c r="G669" i="1"/>
  <c r="F669" i="1"/>
  <c r="E669" i="1"/>
  <c r="D669" i="1"/>
  <c r="C669" i="1"/>
  <c r="B669" i="1"/>
  <c r="A669" i="1"/>
  <c r="L668" i="1"/>
  <c r="K668" i="1"/>
  <c r="I668" i="1"/>
  <c r="H668" i="1"/>
  <c r="G668" i="1"/>
  <c r="J668" i="1" s="1"/>
  <c r="F668" i="1"/>
  <c r="E668" i="1"/>
  <c r="D668" i="1"/>
  <c r="C668" i="1"/>
  <c r="B668" i="1"/>
  <c r="A668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L666" i="1"/>
  <c r="K666" i="1"/>
  <c r="I666" i="1"/>
  <c r="H666" i="1"/>
  <c r="G666" i="1"/>
  <c r="F666" i="1"/>
  <c r="E666" i="1"/>
  <c r="D666" i="1"/>
  <c r="C666" i="1"/>
  <c r="B666" i="1"/>
  <c r="A666" i="1"/>
  <c r="L665" i="1"/>
  <c r="K665" i="1"/>
  <c r="I665" i="1"/>
  <c r="H665" i="1"/>
  <c r="G665" i="1"/>
  <c r="J665" i="1" s="1"/>
  <c r="F665" i="1"/>
  <c r="E665" i="1"/>
  <c r="D665" i="1"/>
  <c r="C665" i="1"/>
  <c r="B665" i="1"/>
  <c r="A665" i="1"/>
  <c r="L664" i="1"/>
  <c r="K664" i="1"/>
  <c r="I664" i="1"/>
  <c r="H664" i="1"/>
  <c r="G664" i="1"/>
  <c r="J664" i="1" s="1"/>
  <c r="F664" i="1"/>
  <c r="E664" i="1"/>
  <c r="D664" i="1"/>
  <c r="C664" i="1"/>
  <c r="B664" i="1"/>
  <c r="A664" i="1"/>
  <c r="L663" i="1"/>
  <c r="K663" i="1"/>
  <c r="I663" i="1"/>
  <c r="H663" i="1"/>
  <c r="G663" i="1"/>
  <c r="J663" i="1" s="1"/>
  <c r="F663" i="1"/>
  <c r="E663" i="1"/>
  <c r="D663" i="1"/>
  <c r="C663" i="1"/>
  <c r="B663" i="1"/>
  <c r="A663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L661" i="1"/>
  <c r="K661" i="1"/>
  <c r="I661" i="1"/>
  <c r="H661" i="1"/>
  <c r="G661" i="1"/>
  <c r="F661" i="1"/>
  <c r="E661" i="1"/>
  <c r="D661" i="1"/>
  <c r="C661" i="1"/>
  <c r="B661" i="1"/>
  <c r="A661" i="1"/>
  <c r="L660" i="1"/>
  <c r="K660" i="1"/>
  <c r="I660" i="1"/>
  <c r="H660" i="1"/>
  <c r="G660" i="1"/>
  <c r="J660" i="1" s="1"/>
  <c r="F660" i="1"/>
  <c r="E660" i="1"/>
  <c r="D660" i="1"/>
  <c r="C660" i="1"/>
  <c r="B660" i="1"/>
  <c r="A660" i="1"/>
  <c r="L659" i="1"/>
  <c r="K659" i="1"/>
  <c r="I659" i="1"/>
  <c r="H659" i="1"/>
  <c r="G659" i="1"/>
  <c r="J659" i="1" s="1"/>
  <c r="F659" i="1"/>
  <c r="E659" i="1"/>
  <c r="D659" i="1"/>
  <c r="C659" i="1"/>
  <c r="B659" i="1"/>
  <c r="A659" i="1"/>
  <c r="L658" i="1"/>
  <c r="K658" i="1"/>
  <c r="I658" i="1"/>
  <c r="H658" i="1"/>
  <c r="G658" i="1"/>
  <c r="F658" i="1"/>
  <c r="E658" i="1"/>
  <c r="D658" i="1"/>
  <c r="C658" i="1"/>
  <c r="B658" i="1"/>
  <c r="A658" i="1"/>
  <c r="L657" i="1"/>
  <c r="K657" i="1"/>
  <c r="I657" i="1"/>
  <c r="H657" i="1"/>
  <c r="G657" i="1"/>
  <c r="J657" i="1" s="1"/>
  <c r="F657" i="1"/>
  <c r="E657" i="1"/>
  <c r="D657" i="1"/>
  <c r="C657" i="1"/>
  <c r="B657" i="1"/>
  <c r="A657" i="1"/>
  <c r="L656" i="1"/>
  <c r="K656" i="1"/>
  <c r="I656" i="1"/>
  <c r="H656" i="1"/>
  <c r="G656" i="1"/>
  <c r="J656" i="1" s="1"/>
  <c r="F656" i="1"/>
  <c r="E656" i="1"/>
  <c r="D656" i="1"/>
  <c r="C656" i="1"/>
  <c r="B656" i="1"/>
  <c r="A656" i="1"/>
  <c r="L655" i="1"/>
  <c r="K655" i="1"/>
  <c r="I655" i="1"/>
  <c r="H655" i="1"/>
  <c r="G655" i="1"/>
  <c r="J655" i="1" s="1"/>
  <c r="F655" i="1"/>
  <c r="E655" i="1"/>
  <c r="D655" i="1"/>
  <c r="C655" i="1"/>
  <c r="B655" i="1"/>
  <c r="A655" i="1"/>
  <c r="L654" i="1"/>
  <c r="K654" i="1"/>
  <c r="I654" i="1"/>
  <c r="H654" i="1"/>
  <c r="G654" i="1"/>
  <c r="J654" i="1" s="1"/>
  <c r="F654" i="1"/>
  <c r="E654" i="1"/>
  <c r="D654" i="1"/>
  <c r="C654" i="1"/>
  <c r="B654" i="1"/>
  <c r="A654" i="1"/>
  <c r="L653" i="1"/>
  <c r="K653" i="1"/>
  <c r="I653" i="1"/>
  <c r="H653" i="1"/>
  <c r="G653" i="1"/>
  <c r="F653" i="1"/>
  <c r="E653" i="1"/>
  <c r="D653" i="1"/>
  <c r="C653" i="1"/>
  <c r="B653" i="1"/>
  <c r="A653" i="1"/>
  <c r="L652" i="1"/>
  <c r="K652" i="1"/>
  <c r="I652" i="1"/>
  <c r="H652" i="1"/>
  <c r="G652" i="1"/>
  <c r="J652" i="1" s="1"/>
  <c r="F652" i="1"/>
  <c r="E652" i="1"/>
  <c r="D652" i="1"/>
  <c r="C652" i="1"/>
  <c r="B652" i="1"/>
  <c r="A652" i="1"/>
  <c r="L651" i="1"/>
  <c r="K651" i="1"/>
  <c r="I651" i="1"/>
  <c r="H651" i="1"/>
  <c r="G651" i="1"/>
  <c r="J651" i="1" s="1"/>
  <c r="F651" i="1"/>
  <c r="E651" i="1"/>
  <c r="D651" i="1"/>
  <c r="C651" i="1"/>
  <c r="B651" i="1"/>
  <c r="A651" i="1"/>
  <c r="L650" i="1"/>
  <c r="K650" i="1"/>
  <c r="I650" i="1"/>
  <c r="H650" i="1"/>
  <c r="G650" i="1"/>
  <c r="F650" i="1"/>
  <c r="E650" i="1"/>
  <c r="D650" i="1"/>
  <c r="C650" i="1"/>
  <c r="B650" i="1"/>
  <c r="A650" i="1"/>
  <c r="L649" i="1"/>
  <c r="K649" i="1"/>
  <c r="I649" i="1"/>
  <c r="H649" i="1"/>
  <c r="G649" i="1"/>
  <c r="J649" i="1" s="1"/>
  <c r="F649" i="1"/>
  <c r="E649" i="1"/>
  <c r="D649" i="1"/>
  <c r="C649" i="1"/>
  <c r="B649" i="1"/>
  <c r="A649" i="1"/>
  <c r="L648" i="1"/>
  <c r="K648" i="1"/>
  <c r="I648" i="1"/>
  <c r="H648" i="1"/>
  <c r="G648" i="1"/>
  <c r="F648" i="1"/>
  <c r="E648" i="1"/>
  <c r="D648" i="1"/>
  <c r="C648" i="1"/>
  <c r="B648" i="1"/>
  <c r="A648" i="1"/>
  <c r="L647" i="1"/>
  <c r="K647" i="1"/>
  <c r="I647" i="1"/>
  <c r="H647" i="1"/>
  <c r="G647" i="1"/>
  <c r="J647" i="1" s="1"/>
  <c r="F647" i="1"/>
  <c r="E647" i="1"/>
  <c r="D647" i="1"/>
  <c r="C647" i="1"/>
  <c r="B647" i="1"/>
  <c r="A647" i="1"/>
  <c r="L646" i="1"/>
  <c r="K646" i="1"/>
  <c r="I646" i="1"/>
  <c r="H646" i="1"/>
  <c r="G646" i="1"/>
  <c r="J646" i="1" s="1"/>
  <c r="F646" i="1"/>
  <c r="E646" i="1"/>
  <c r="D646" i="1"/>
  <c r="C646" i="1"/>
  <c r="B646" i="1"/>
  <c r="A646" i="1"/>
  <c r="L645" i="1"/>
  <c r="K645" i="1"/>
  <c r="I645" i="1"/>
  <c r="H645" i="1"/>
  <c r="G645" i="1"/>
  <c r="F645" i="1"/>
  <c r="E645" i="1"/>
  <c r="D645" i="1"/>
  <c r="C645" i="1"/>
  <c r="B645" i="1"/>
  <c r="A645" i="1"/>
  <c r="L644" i="1"/>
  <c r="K644" i="1"/>
  <c r="I644" i="1"/>
  <c r="H644" i="1"/>
  <c r="G644" i="1"/>
  <c r="J644" i="1" s="1"/>
  <c r="F644" i="1"/>
  <c r="E644" i="1"/>
  <c r="D644" i="1"/>
  <c r="C644" i="1"/>
  <c r="B644" i="1"/>
  <c r="A644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L642" i="1"/>
  <c r="K642" i="1"/>
  <c r="I642" i="1"/>
  <c r="H642" i="1"/>
  <c r="G642" i="1"/>
  <c r="F642" i="1"/>
  <c r="E642" i="1"/>
  <c r="D642" i="1"/>
  <c r="C642" i="1"/>
  <c r="B642" i="1"/>
  <c r="A642" i="1"/>
  <c r="L641" i="1"/>
  <c r="K641" i="1"/>
  <c r="I641" i="1"/>
  <c r="H641" i="1"/>
  <c r="G641" i="1"/>
  <c r="J641" i="1" s="1"/>
  <c r="F641" i="1"/>
  <c r="E641" i="1"/>
  <c r="D641" i="1"/>
  <c r="C641" i="1"/>
  <c r="B641" i="1"/>
  <c r="A641" i="1"/>
  <c r="L640" i="1"/>
  <c r="K640" i="1"/>
  <c r="I640" i="1"/>
  <c r="H640" i="1"/>
  <c r="G640" i="1"/>
  <c r="F640" i="1"/>
  <c r="E640" i="1"/>
  <c r="D640" i="1"/>
  <c r="C640" i="1"/>
  <c r="B640" i="1"/>
  <c r="A640" i="1"/>
  <c r="L639" i="1"/>
  <c r="K639" i="1"/>
  <c r="I639" i="1"/>
  <c r="H639" i="1"/>
  <c r="G639" i="1"/>
  <c r="J639" i="1" s="1"/>
  <c r="F639" i="1"/>
  <c r="E639" i="1"/>
  <c r="D639" i="1"/>
  <c r="C639" i="1"/>
  <c r="B639" i="1"/>
  <c r="A639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L637" i="1"/>
  <c r="K637" i="1"/>
  <c r="I637" i="1"/>
  <c r="H637" i="1"/>
  <c r="G637" i="1"/>
  <c r="F637" i="1"/>
  <c r="E637" i="1"/>
  <c r="D637" i="1"/>
  <c r="C637" i="1"/>
  <c r="B637" i="1"/>
  <c r="A637" i="1"/>
  <c r="L636" i="1"/>
  <c r="K636" i="1"/>
  <c r="I636" i="1"/>
  <c r="H636" i="1"/>
  <c r="G636" i="1"/>
  <c r="J636" i="1" s="1"/>
  <c r="F636" i="1"/>
  <c r="E636" i="1"/>
  <c r="D636" i="1"/>
  <c r="C636" i="1"/>
  <c r="B636" i="1"/>
  <c r="A636" i="1"/>
  <c r="L635" i="1"/>
  <c r="K635" i="1"/>
  <c r="I635" i="1"/>
  <c r="H635" i="1"/>
  <c r="G635" i="1"/>
  <c r="J635" i="1" s="1"/>
  <c r="F635" i="1"/>
  <c r="E635" i="1"/>
  <c r="D635" i="1"/>
  <c r="C635" i="1"/>
  <c r="B635" i="1"/>
  <c r="A635" i="1"/>
  <c r="L634" i="1"/>
  <c r="K634" i="1"/>
  <c r="I634" i="1"/>
  <c r="H634" i="1"/>
  <c r="G634" i="1"/>
  <c r="F634" i="1"/>
  <c r="E634" i="1"/>
  <c r="D634" i="1"/>
  <c r="C634" i="1"/>
  <c r="B634" i="1"/>
  <c r="A634" i="1"/>
  <c r="L633" i="1"/>
  <c r="K633" i="1"/>
  <c r="I633" i="1"/>
  <c r="H633" i="1"/>
  <c r="G633" i="1"/>
  <c r="J633" i="1" s="1"/>
  <c r="F633" i="1"/>
  <c r="E633" i="1"/>
  <c r="D633" i="1"/>
  <c r="C633" i="1"/>
  <c r="B633" i="1"/>
  <c r="A633" i="1"/>
  <c r="L632" i="1"/>
  <c r="K632" i="1"/>
  <c r="I632" i="1"/>
  <c r="H632" i="1"/>
  <c r="G632" i="1"/>
  <c r="F632" i="1"/>
  <c r="E632" i="1"/>
  <c r="D632" i="1"/>
  <c r="C632" i="1"/>
  <c r="B632" i="1"/>
  <c r="A632" i="1"/>
  <c r="L631" i="1"/>
  <c r="K631" i="1"/>
  <c r="I631" i="1"/>
  <c r="H631" i="1"/>
  <c r="G631" i="1"/>
  <c r="J631" i="1" s="1"/>
  <c r="F631" i="1"/>
  <c r="E631" i="1"/>
  <c r="D631" i="1"/>
  <c r="C631" i="1"/>
  <c r="B631" i="1"/>
  <c r="A631" i="1"/>
  <c r="L630" i="1"/>
  <c r="K630" i="1"/>
  <c r="I630" i="1"/>
  <c r="H630" i="1"/>
  <c r="G630" i="1"/>
  <c r="J630" i="1" s="1"/>
  <c r="F630" i="1"/>
  <c r="E630" i="1"/>
  <c r="D630" i="1"/>
  <c r="C630" i="1"/>
  <c r="B630" i="1"/>
  <c r="A630" i="1"/>
  <c r="L629" i="1"/>
  <c r="K629" i="1"/>
  <c r="I629" i="1"/>
  <c r="H629" i="1"/>
  <c r="G629" i="1"/>
  <c r="F629" i="1"/>
  <c r="E629" i="1"/>
  <c r="D629" i="1"/>
  <c r="C629" i="1"/>
  <c r="B629" i="1"/>
  <c r="A629" i="1"/>
  <c r="L628" i="1"/>
  <c r="K628" i="1"/>
  <c r="I628" i="1"/>
  <c r="H628" i="1"/>
  <c r="G628" i="1"/>
  <c r="J628" i="1" s="1"/>
  <c r="F628" i="1"/>
  <c r="E628" i="1"/>
  <c r="D628" i="1"/>
  <c r="C628" i="1"/>
  <c r="B628" i="1"/>
  <c r="A628" i="1"/>
  <c r="L627" i="1"/>
  <c r="K627" i="1"/>
  <c r="I627" i="1"/>
  <c r="H627" i="1"/>
  <c r="G627" i="1"/>
  <c r="J627" i="1" s="1"/>
  <c r="F627" i="1"/>
  <c r="E627" i="1"/>
  <c r="D627" i="1"/>
  <c r="C627" i="1"/>
  <c r="B627" i="1"/>
  <c r="A627" i="1"/>
  <c r="L626" i="1"/>
  <c r="K626" i="1"/>
  <c r="I626" i="1"/>
  <c r="H626" i="1"/>
  <c r="G626" i="1"/>
  <c r="F626" i="1"/>
  <c r="E626" i="1"/>
  <c r="D626" i="1"/>
  <c r="C626" i="1"/>
  <c r="B626" i="1"/>
  <c r="A626" i="1"/>
  <c r="L625" i="1"/>
  <c r="K625" i="1"/>
  <c r="I625" i="1"/>
  <c r="H625" i="1"/>
  <c r="G625" i="1"/>
  <c r="J625" i="1" s="1"/>
  <c r="F625" i="1"/>
  <c r="E625" i="1"/>
  <c r="D625" i="1"/>
  <c r="C625" i="1"/>
  <c r="B625" i="1"/>
  <c r="A625" i="1"/>
  <c r="L624" i="1"/>
  <c r="K624" i="1"/>
  <c r="I624" i="1"/>
  <c r="H624" i="1"/>
  <c r="G624" i="1"/>
  <c r="J624" i="1" s="1"/>
  <c r="F624" i="1"/>
  <c r="E624" i="1"/>
  <c r="D624" i="1"/>
  <c r="C624" i="1"/>
  <c r="B624" i="1"/>
  <c r="A624" i="1"/>
  <c r="L623" i="1"/>
  <c r="K623" i="1"/>
  <c r="I623" i="1"/>
  <c r="H623" i="1"/>
  <c r="G623" i="1"/>
  <c r="J623" i="1" s="1"/>
  <c r="F623" i="1"/>
  <c r="E623" i="1"/>
  <c r="D623" i="1"/>
  <c r="C623" i="1"/>
  <c r="B623" i="1"/>
  <c r="A623" i="1"/>
  <c r="L622" i="1"/>
  <c r="K622" i="1"/>
  <c r="I622" i="1"/>
  <c r="H622" i="1"/>
  <c r="G622" i="1"/>
  <c r="J622" i="1" s="1"/>
  <c r="F622" i="1"/>
  <c r="E622" i="1"/>
  <c r="D622" i="1"/>
  <c r="C622" i="1"/>
  <c r="B622" i="1"/>
  <c r="A622" i="1"/>
  <c r="L621" i="1"/>
  <c r="K621" i="1"/>
  <c r="I621" i="1"/>
  <c r="H621" i="1"/>
  <c r="G621" i="1"/>
  <c r="F621" i="1"/>
  <c r="E621" i="1"/>
  <c r="D621" i="1"/>
  <c r="C621" i="1"/>
  <c r="B621" i="1"/>
  <c r="A621" i="1"/>
  <c r="L620" i="1"/>
  <c r="K620" i="1"/>
  <c r="I620" i="1"/>
  <c r="H620" i="1"/>
  <c r="G620" i="1"/>
  <c r="J620" i="1" s="1"/>
  <c r="F620" i="1"/>
  <c r="E620" i="1"/>
  <c r="D620" i="1"/>
  <c r="C620" i="1"/>
  <c r="B620" i="1"/>
  <c r="A620" i="1"/>
  <c r="L619" i="1"/>
  <c r="K619" i="1"/>
  <c r="I619" i="1"/>
  <c r="H619" i="1"/>
  <c r="G619" i="1"/>
  <c r="J619" i="1" s="1"/>
  <c r="F619" i="1"/>
  <c r="E619" i="1"/>
  <c r="D619" i="1"/>
  <c r="C619" i="1"/>
  <c r="B619" i="1"/>
  <c r="A619" i="1"/>
  <c r="L618" i="1"/>
  <c r="K618" i="1"/>
  <c r="I618" i="1"/>
  <c r="H618" i="1"/>
  <c r="G618" i="1"/>
  <c r="F618" i="1"/>
  <c r="E618" i="1"/>
  <c r="D618" i="1"/>
  <c r="C618" i="1"/>
  <c r="B618" i="1"/>
  <c r="A618" i="1"/>
  <c r="L617" i="1"/>
  <c r="K617" i="1"/>
  <c r="I617" i="1"/>
  <c r="H617" i="1"/>
  <c r="G617" i="1"/>
  <c r="J617" i="1" s="1"/>
  <c r="F617" i="1"/>
  <c r="E617" i="1"/>
  <c r="D617" i="1"/>
  <c r="C617" i="1"/>
  <c r="B617" i="1"/>
  <c r="A617" i="1"/>
  <c r="L616" i="1"/>
  <c r="K616" i="1"/>
  <c r="I616" i="1"/>
  <c r="H616" i="1"/>
  <c r="G616" i="1"/>
  <c r="J616" i="1" s="1"/>
  <c r="F616" i="1"/>
  <c r="E616" i="1"/>
  <c r="D616" i="1"/>
  <c r="C616" i="1"/>
  <c r="B616" i="1"/>
  <c r="A616" i="1"/>
  <c r="L615" i="1"/>
  <c r="K615" i="1"/>
  <c r="I615" i="1"/>
  <c r="H615" i="1"/>
  <c r="G615" i="1"/>
  <c r="J615" i="1" s="1"/>
  <c r="F615" i="1"/>
  <c r="E615" i="1"/>
  <c r="D615" i="1"/>
  <c r="C615" i="1"/>
  <c r="B615" i="1"/>
  <c r="A615" i="1"/>
  <c r="L614" i="1"/>
  <c r="K614" i="1"/>
  <c r="I614" i="1"/>
  <c r="H614" i="1"/>
  <c r="G614" i="1"/>
  <c r="J614" i="1" s="1"/>
  <c r="F614" i="1"/>
  <c r="E614" i="1"/>
  <c r="D614" i="1"/>
  <c r="C614" i="1"/>
  <c r="B614" i="1"/>
  <c r="A614" i="1"/>
  <c r="L613" i="1"/>
  <c r="K613" i="1"/>
  <c r="I613" i="1"/>
  <c r="H613" i="1"/>
  <c r="G613" i="1"/>
  <c r="F613" i="1"/>
  <c r="E613" i="1"/>
  <c r="D613" i="1"/>
  <c r="C613" i="1"/>
  <c r="B613" i="1"/>
  <c r="A613" i="1"/>
  <c r="L612" i="1"/>
  <c r="K612" i="1"/>
  <c r="I612" i="1"/>
  <c r="H612" i="1"/>
  <c r="G612" i="1"/>
  <c r="J612" i="1" s="1"/>
  <c r="F612" i="1"/>
  <c r="E612" i="1"/>
  <c r="D612" i="1"/>
  <c r="C612" i="1"/>
  <c r="B612" i="1"/>
  <c r="A612" i="1"/>
  <c r="L611" i="1"/>
  <c r="K611" i="1"/>
  <c r="I611" i="1"/>
  <c r="H611" i="1"/>
  <c r="G611" i="1"/>
  <c r="J611" i="1" s="1"/>
  <c r="F611" i="1"/>
  <c r="E611" i="1"/>
  <c r="D611" i="1"/>
  <c r="C611" i="1"/>
  <c r="B611" i="1"/>
  <c r="A611" i="1"/>
  <c r="L610" i="1"/>
  <c r="K610" i="1"/>
  <c r="I610" i="1"/>
  <c r="H610" i="1"/>
  <c r="G610" i="1"/>
  <c r="F610" i="1"/>
  <c r="E610" i="1"/>
  <c r="D610" i="1"/>
  <c r="C610" i="1"/>
  <c r="B610" i="1"/>
  <c r="A610" i="1"/>
  <c r="L609" i="1"/>
  <c r="K609" i="1"/>
  <c r="I609" i="1"/>
  <c r="H609" i="1"/>
  <c r="G609" i="1"/>
  <c r="J609" i="1" s="1"/>
  <c r="F609" i="1"/>
  <c r="E609" i="1"/>
  <c r="D609" i="1"/>
  <c r="C609" i="1"/>
  <c r="B609" i="1"/>
  <c r="A609" i="1"/>
  <c r="L608" i="1"/>
  <c r="K608" i="1"/>
  <c r="I608" i="1"/>
  <c r="H608" i="1"/>
  <c r="G608" i="1"/>
  <c r="F608" i="1"/>
  <c r="E608" i="1"/>
  <c r="D608" i="1"/>
  <c r="C608" i="1"/>
  <c r="B608" i="1"/>
  <c r="A608" i="1"/>
  <c r="L607" i="1"/>
  <c r="K607" i="1"/>
  <c r="I607" i="1"/>
  <c r="H607" i="1"/>
  <c r="G607" i="1"/>
  <c r="J607" i="1" s="1"/>
  <c r="F607" i="1"/>
  <c r="E607" i="1"/>
  <c r="D607" i="1"/>
  <c r="C607" i="1"/>
  <c r="B607" i="1"/>
  <c r="A607" i="1"/>
  <c r="L606" i="1"/>
  <c r="K606" i="1"/>
  <c r="I606" i="1"/>
  <c r="H606" i="1"/>
  <c r="G606" i="1"/>
  <c r="J606" i="1" s="1"/>
  <c r="F606" i="1"/>
  <c r="E606" i="1"/>
  <c r="D606" i="1"/>
  <c r="C606" i="1"/>
  <c r="B606" i="1"/>
  <c r="A606" i="1"/>
  <c r="L605" i="1"/>
  <c r="K605" i="1"/>
  <c r="I605" i="1"/>
  <c r="H605" i="1"/>
  <c r="G605" i="1"/>
  <c r="F605" i="1"/>
  <c r="E605" i="1"/>
  <c r="D605" i="1"/>
  <c r="C605" i="1"/>
  <c r="B605" i="1"/>
  <c r="A605" i="1"/>
  <c r="L604" i="1"/>
  <c r="K604" i="1"/>
  <c r="I604" i="1"/>
  <c r="H604" i="1"/>
  <c r="G604" i="1"/>
  <c r="J604" i="1" s="1"/>
  <c r="F604" i="1"/>
  <c r="E604" i="1"/>
  <c r="D604" i="1"/>
  <c r="C604" i="1"/>
  <c r="B604" i="1"/>
  <c r="A604" i="1"/>
  <c r="L603" i="1"/>
  <c r="K603" i="1"/>
  <c r="I603" i="1"/>
  <c r="H603" i="1"/>
  <c r="G603" i="1"/>
  <c r="J603" i="1" s="1"/>
  <c r="F603" i="1"/>
  <c r="E603" i="1"/>
  <c r="D603" i="1"/>
  <c r="C603" i="1"/>
  <c r="B603" i="1"/>
  <c r="A603" i="1"/>
  <c r="L602" i="1"/>
  <c r="K602" i="1"/>
  <c r="I602" i="1"/>
  <c r="H602" i="1"/>
  <c r="G602" i="1"/>
  <c r="F602" i="1"/>
  <c r="E602" i="1"/>
  <c r="D602" i="1"/>
  <c r="C602" i="1"/>
  <c r="B602" i="1"/>
  <c r="A602" i="1"/>
  <c r="L601" i="1"/>
  <c r="K601" i="1"/>
  <c r="I601" i="1"/>
  <c r="H601" i="1"/>
  <c r="G601" i="1"/>
  <c r="J601" i="1" s="1"/>
  <c r="F601" i="1"/>
  <c r="E601" i="1"/>
  <c r="D601" i="1"/>
  <c r="C601" i="1"/>
  <c r="B601" i="1"/>
  <c r="A601" i="1"/>
  <c r="L600" i="1"/>
  <c r="K600" i="1"/>
  <c r="I600" i="1"/>
  <c r="H600" i="1"/>
  <c r="G600" i="1"/>
  <c r="F600" i="1"/>
  <c r="E600" i="1"/>
  <c r="D600" i="1"/>
  <c r="C600" i="1"/>
  <c r="B600" i="1"/>
  <c r="A600" i="1"/>
  <c r="L599" i="1"/>
  <c r="K599" i="1"/>
  <c r="I599" i="1"/>
  <c r="H599" i="1"/>
  <c r="G599" i="1"/>
  <c r="J599" i="1" s="1"/>
  <c r="F599" i="1"/>
  <c r="E599" i="1"/>
  <c r="D599" i="1"/>
  <c r="C599" i="1"/>
  <c r="B599" i="1"/>
  <c r="A599" i="1"/>
  <c r="L598" i="1"/>
  <c r="K598" i="1"/>
  <c r="I598" i="1"/>
  <c r="H598" i="1"/>
  <c r="G598" i="1"/>
  <c r="J598" i="1" s="1"/>
  <c r="F598" i="1"/>
  <c r="E598" i="1"/>
  <c r="D598" i="1"/>
  <c r="C598" i="1"/>
  <c r="B598" i="1"/>
  <c r="A598" i="1"/>
  <c r="L597" i="1"/>
  <c r="K597" i="1"/>
  <c r="I597" i="1"/>
  <c r="H597" i="1"/>
  <c r="G597" i="1"/>
  <c r="F597" i="1"/>
  <c r="E597" i="1"/>
  <c r="D597" i="1"/>
  <c r="C597" i="1"/>
  <c r="B597" i="1"/>
  <c r="A597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L595" i="1"/>
  <c r="K595" i="1"/>
  <c r="I595" i="1"/>
  <c r="H595" i="1"/>
  <c r="G595" i="1"/>
  <c r="J595" i="1" s="1"/>
  <c r="F595" i="1"/>
  <c r="E595" i="1"/>
  <c r="D595" i="1"/>
  <c r="C595" i="1"/>
  <c r="B595" i="1"/>
  <c r="A595" i="1"/>
  <c r="L594" i="1"/>
  <c r="K594" i="1"/>
  <c r="I594" i="1"/>
  <c r="H594" i="1"/>
  <c r="G594" i="1"/>
  <c r="F594" i="1"/>
  <c r="E594" i="1"/>
  <c r="D594" i="1"/>
  <c r="C594" i="1"/>
  <c r="B594" i="1"/>
  <c r="A594" i="1"/>
  <c r="L593" i="1"/>
  <c r="K593" i="1"/>
  <c r="I593" i="1"/>
  <c r="H593" i="1"/>
  <c r="G593" i="1"/>
  <c r="J593" i="1" s="1"/>
  <c r="F593" i="1"/>
  <c r="E593" i="1"/>
  <c r="D593" i="1"/>
  <c r="C593" i="1"/>
  <c r="B593" i="1"/>
  <c r="A593" i="1"/>
  <c r="L592" i="1"/>
  <c r="K592" i="1"/>
  <c r="I592" i="1"/>
  <c r="H592" i="1"/>
  <c r="G592" i="1"/>
  <c r="F592" i="1"/>
  <c r="E592" i="1"/>
  <c r="D592" i="1"/>
  <c r="C592" i="1"/>
  <c r="B592" i="1"/>
  <c r="A592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L590" i="1"/>
  <c r="K590" i="1"/>
  <c r="I590" i="1"/>
  <c r="H590" i="1"/>
  <c r="G590" i="1"/>
  <c r="J590" i="1" s="1"/>
  <c r="F590" i="1"/>
  <c r="E590" i="1"/>
  <c r="D590" i="1"/>
  <c r="C590" i="1"/>
  <c r="B590" i="1"/>
  <c r="A590" i="1"/>
  <c r="L589" i="1"/>
  <c r="K589" i="1"/>
  <c r="I589" i="1"/>
  <c r="H589" i="1"/>
  <c r="G589" i="1"/>
  <c r="F589" i="1"/>
  <c r="E589" i="1"/>
  <c r="D589" i="1"/>
  <c r="C589" i="1"/>
  <c r="B589" i="1"/>
  <c r="A589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L587" i="1"/>
  <c r="K587" i="1"/>
  <c r="I587" i="1"/>
  <c r="H587" i="1"/>
  <c r="G587" i="1"/>
  <c r="J587" i="1" s="1"/>
  <c r="F587" i="1"/>
  <c r="E587" i="1"/>
  <c r="D587" i="1"/>
  <c r="C587" i="1"/>
  <c r="B587" i="1"/>
  <c r="A587" i="1"/>
  <c r="L586" i="1"/>
  <c r="K586" i="1"/>
  <c r="I586" i="1"/>
  <c r="H586" i="1"/>
  <c r="G586" i="1"/>
  <c r="F586" i="1"/>
  <c r="E586" i="1"/>
  <c r="D586" i="1"/>
  <c r="C586" i="1"/>
  <c r="B586" i="1"/>
  <c r="A586" i="1"/>
  <c r="L585" i="1"/>
  <c r="K585" i="1"/>
  <c r="I585" i="1"/>
  <c r="H585" i="1"/>
  <c r="G585" i="1"/>
  <c r="F585" i="1"/>
  <c r="E585" i="1"/>
  <c r="D585" i="1"/>
  <c r="C585" i="1"/>
  <c r="B585" i="1"/>
  <c r="A585" i="1"/>
  <c r="L584" i="1"/>
  <c r="K584" i="1"/>
  <c r="I584" i="1"/>
  <c r="H584" i="1"/>
  <c r="G584" i="1"/>
  <c r="F584" i="1"/>
  <c r="E584" i="1"/>
  <c r="D584" i="1"/>
  <c r="C584" i="1"/>
  <c r="B584" i="1"/>
  <c r="A584" i="1"/>
  <c r="L583" i="1"/>
  <c r="K583" i="1"/>
  <c r="I583" i="1"/>
  <c r="H583" i="1"/>
  <c r="G583" i="1"/>
  <c r="J583" i="1" s="1"/>
  <c r="F583" i="1"/>
  <c r="E583" i="1"/>
  <c r="D583" i="1"/>
  <c r="C583" i="1"/>
  <c r="B583" i="1"/>
  <c r="A583" i="1"/>
  <c r="L582" i="1"/>
  <c r="K582" i="1"/>
  <c r="I582" i="1"/>
  <c r="H582" i="1"/>
  <c r="G582" i="1"/>
  <c r="J582" i="1" s="1"/>
  <c r="F582" i="1"/>
  <c r="E582" i="1"/>
  <c r="D582" i="1"/>
  <c r="C582" i="1"/>
  <c r="B582" i="1"/>
  <c r="A582" i="1"/>
  <c r="L581" i="1"/>
  <c r="K581" i="1"/>
  <c r="I581" i="1"/>
  <c r="H581" i="1"/>
  <c r="G581" i="1"/>
  <c r="F581" i="1"/>
  <c r="E581" i="1"/>
  <c r="D581" i="1"/>
  <c r="C581" i="1"/>
  <c r="B581" i="1"/>
  <c r="A581" i="1"/>
  <c r="L580" i="1"/>
  <c r="K580" i="1"/>
  <c r="I580" i="1"/>
  <c r="H580" i="1"/>
  <c r="G580" i="1"/>
  <c r="J580" i="1" s="1"/>
  <c r="F580" i="1"/>
  <c r="E580" i="1"/>
  <c r="D580" i="1"/>
  <c r="C580" i="1"/>
  <c r="B580" i="1"/>
  <c r="A580" i="1"/>
  <c r="L579" i="1"/>
  <c r="K579" i="1"/>
  <c r="I579" i="1"/>
  <c r="H579" i="1"/>
  <c r="G579" i="1"/>
  <c r="J579" i="1" s="1"/>
  <c r="F579" i="1"/>
  <c r="E579" i="1"/>
  <c r="D579" i="1"/>
  <c r="C579" i="1"/>
  <c r="B579" i="1"/>
  <c r="A579" i="1"/>
  <c r="L578" i="1"/>
  <c r="K578" i="1"/>
  <c r="I578" i="1"/>
  <c r="H578" i="1"/>
  <c r="G578" i="1"/>
  <c r="F578" i="1"/>
  <c r="E578" i="1"/>
  <c r="D578" i="1"/>
  <c r="C578" i="1"/>
  <c r="B578" i="1"/>
  <c r="A578" i="1"/>
  <c r="L577" i="1"/>
  <c r="K577" i="1"/>
  <c r="I577" i="1"/>
  <c r="H577" i="1"/>
  <c r="G577" i="1"/>
  <c r="J577" i="1" s="1"/>
  <c r="F577" i="1"/>
  <c r="E577" i="1"/>
  <c r="D577" i="1"/>
  <c r="C577" i="1"/>
  <c r="B577" i="1"/>
  <c r="A577" i="1"/>
  <c r="L576" i="1"/>
  <c r="K576" i="1"/>
  <c r="I576" i="1"/>
  <c r="H576" i="1"/>
  <c r="G576" i="1"/>
  <c r="F576" i="1"/>
  <c r="E576" i="1"/>
  <c r="D576" i="1"/>
  <c r="C576" i="1"/>
  <c r="B576" i="1"/>
  <c r="A576" i="1"/>
  <c r="L575" i="1"/>
  <c r="K575" i="1"/>
  <c r="I575" i="1"/>
  <c r="H575" i="1"/>
  <c r="G575" i="1"/>
  <c r="J575" i="1" s="1"/>
  <c r="F575" i="1"/>
  <c r="E575" i="1"/>
  <c r="D575" i="1"/>
  <c r="C575" i="1"/>
  <c r="B575" i="1"/>
  <c r="A575" i="1"/>
  <c r="L574" i="1"/>
  <c r="K574" i="1"/>
  <c r="I574" i="1"/>
  <c r="H574" i="1"/>
  <c r="G574" i="1"/>
  <c r="J574" i="1" s="1"/>
  <c r="F574" i="1"/>
  <c r="E574" i="1"/>
  <c r="D574" i="1"/>
  <c r="C574" i="1"/>
  <c r="B574" i="1"/>
  <c r="A574" i="1"/>
  <c r="L573" i="1"/>
  <c r="K573" i="1"/>
  <c r="I573" i="1"/>
  <c r="H573" i="1"/>
  <c r="G573" i="1"/>
  <c r="F573" i="1"/>
  <c r="E573" i="1"/>
  <c r="D573" i="1"/>
  <c r="C573" i="1"/>
  <c r="B573" i="1"/>
  <c r="A573" i="1"/>
  <c r="L572" i="1"/>
  <c r="K572" i="1"/>
  <c r="I572" i="1"/>
  <c r="H572" i="1"/>
  <c r="G572" i="1"/>
  <c r="J572" i="1" s="1"/>
  <c r="F572" i="1"/>
  <c r="E572" i="1"/>
  <c r="D572" i="1"/>
  <c r="C572" i="1"/>
  <c r="B572" i="1"/>
  <c r="A572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L570" i="1"/>
  <c r="K570" i="1"/>
  <c r="I570" i="1"/>
  <c r="H570" i="1"/>
  <c r="G570" i="1"/>
  <c r="F570" i="1"/>
  <c r="E570" i="1"/>
  <c r="D570" i="1"/>
  <c r="C570" i="1"/>
  <c r="B570" i="1"/>
  <c r="A570" i="1"/>
  <c r="L569" i="1"/>
  <c r="K569" i="1"/>
  <c r="I569" i="1"/>
  <c r="H569" i="1"/>
  <c r="G569" i="1"/>
  <c r="J569" i="1" s="1"/>
  <c r="F569" i="1"/>
  <c r="E569" i="1"/>
  <c r="D569" i="1"/>
  <c r="C569" i="1"/>
  <c r="B569" i="1"/>
  <c r="A569" i="1"/>
  <c r="L568" i="1"/>
  <c r="K568" i="1"/>
  <c r="I568" i="1"/>
  <c r="H568" i="1"/>
  <c r="G568" i="1"/>
  <c r="F568" i="1"/>
  <c r="E568" i="1"/>
  <c r="D568" i="1"/>
  <c r="C568" i="1"/>
  <c r="B568" i="1"/>
  <c r="A568" i="1"/>
  <c r="L567" i="1"/>
  <c r="K567" i="1"/>
  <c r="I567" i="1"/>
  <c r="H567" i="1"/>
  <c r="G567" i="1"/>
  <c r="J567" i="1" s="1"/>
  <c r="F567" i="1"/>
  <c r="E567" i="1"/>
  <c r="D567" i="1"/>
  <c r="C567" i="1"/>
  <c r="B567" i="1"/>
  <c r="A567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L565" i="1"/>
  <c r="K565" i="1"/>
  <c r="I565" i="1"/>
  <c r="H565" i="1"/>
  <c r="G565" i="1"/>
  <c r="F565" i="1"/>
  <c r="E565" i="1"/>
  <c r="D565" i="1"/>
  <c r="C565" i="1"/>
  <c r="B565" i="1"/>
  <c r="A565" i="1"/>
  <c r="L564" i="1"/>
  <c r="K564" i="1"/>
  <c r="I564" i="1"/>
  <c r="H564" i="1"/>
  <c r="G564" i="1"/>
  <c r="J564" i="1" s="1"/>
  <c r="F564" i="1"/>
  <c r="E564" i="1"/>
  <c r="D564" i="1"/>
  <c r="C564" i="1"/>
  <c r="B564" i="1"/>
  <c r="A564" i="1"/>
  <c r="L563" i="1"/>
  <c r="K563" i="1"/>
  <c r="I563" i="1"/>
  <c r="H563" i="1"/>
  <c r="G563" i="1"/>
  <c r="J563" i="1" s="1"/>
  <c r="F563" i="1"/>
  <c r="E563" i="1"/>
  <c r="D563" i="1"/>
  <c r="C563" i="1"/>
  <c r="B563" i="1"/>
  <c r="A563" i="1"/>
  <c r="L562" i="1"/>
  <c r="K562" i="1"/>
  <c r="I562" i="1"/>
  <c r="H562" i="1"/>
  <c r="G562" i="1"/>
  <c r="F562" i="1"/>
  <c r="E562" i="1"/>
  <c r="D562" i="1"/>
  <c r="C562" i="1"/>
  <c r="B562" i="1"/>
  <c r="A562" i="1"/>
  <c r="L561" i="1"/>
  <c r="K561" i="1"/>
  <c r="I561" i="1"/>
  <c r="H561" i="1"/>
  <c r="G561" i="1"/>
  <c r="J561" i="1" s="1"/>
  <c r="F561" i="1"/>
  <c r="E561" i="1"/>
  <c r="D561" i="1"/>
  <c r="C561" i="1"/>
  <c r="B561" i="1"/>
  <c r="A561" i="1"/>
  <c r="L560" i="1"/>
  <c r="K560" i="1"/>
  <c r="I560" i="1"/>
  <c r="H560" i="1"/>
  <c r="G560" i="1"/>
  <c r="F560" i="1"/>
  <c r="E560" i="1"/>
  <c r="D560" i="1"/>
  <c r="C560" i="1"/>
  <c r="B560" i="1"/>
  <c r="A560" i="1"/>
  <c r="L559" i="1"/>
  <c r="K559" i="1"/>
  <c r="I559" i="1"/>
  <c r="H559" i="1"/>
  <c r="G559" i="1"/>
  <c r="J559" i="1" s="1"/>
  <c r="F559" i="1"/>
  <c r="E559" i="1"/>
  <c r="D559" i="1"/>
  <c r="C559" i="1"/>
  <c r="B559" i="1"/>
  <c r="A559" i="1"/>
  <c r="L558" i="1"/>
  <c r="K558" i="1"/>
  <c r="I558" i="1"/>
  <c r="H558" i="1"/>
  <c r="G558" i="1"/>
  <c r="J558" i="1" s="1"/>
  <c r="F558" i="1"/>
  <c r="E558" i="1"/>
  <c r="D558" i="1"/>
  <c r="C558" i="1"/>
  <c r="B558" i="1"/>
  <c r="A558" i="1"/>
  <c r="L557" i="1"/>
  <c r="K557" i="1"/>
  <c r="I557" i="1"/>
  <c r="H557" i="1"/>
  <c r="G557" i="1"/>
  <c r="F557" i="1"/>
  <c r="E557" i="1"/>
  <c r="D557" i="1"/>
  <c r="C557" i="1"/>
  <c r="B557" i="1"/>
  <c r="A557" i="1"/>
  <c r="L556" i="1"/>
  <c r="K556" i="1"/>
  <c r="I556" i="1"/>
  <c r="H556" i="1"/>
  <c r="G556" i="1"/>
  <c r="J556" i="1" s="1"/>
  <c r="F556" i="1"/>
  <c r="E556" i="1"/>
  <c r="D556" i="1"/>
  <c r="C556" i="1"/>
  <c r="B556" i="1"/>
  <c r="A556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L554" i="1"/>
  <c r="K554" i="1"/>
  <c r="I554" i="1"/>
  <c r="H554" i="1"/>
  <c r="G554" i="1"/>
  <c r="F554" i="1"/>
  <c r="E554" i="1"/>
  <c r="D554" i="1"/>
  <c r="C554" i="1"/>
  <c r="B554" i="1"/>
  <c r="A554" i="1"/>
  <c r="L553" i="1"/>
  <c r="K553" i="1"/>
  <c r="I553" i="1"/>
  <c r="H553" i="1"/>
  <c r="G553" i="1"/>
  <c r="J553" i="1" s="1"/>
  <c r="F553" i="1"/>
  <c r="E553" i="1"/>
  <c r="D553" i="1"/>
  <c r="C553" i="1"/>
  <c r="B553" i="1"/>
  <c r="A553" i="1"/>
  <c r="L552" i="1"/>
  <c r="K552" i="1"/>
  <c r="I552" i="1"/>
  <c r="H552" i="1"/>
  <c r="G552" i="1"/>
  <c r="F552" i="1"/>
  <c r="E552" i="1"/>
  <c r="D552" i="1"/>
  <c r="C552" i="1"/>
  <c r="B552" i="1"/>
  <c r="A552" i="1"/>
  <c r="L551" i="1"/>
  <c r="K551" i="1"/>
  <c r="I551" i="1"/>
  <c r="H551" i="1"/>
  <c r="G551" i="1"/>
  <c r="J551" i="1" s="1"/>
  <c r="F551" i="1"/>
  <c r="E551" i="1"/>
  <c r="D551" i="1"/>
  <c r="C551" i="1"/>
  <c r="B551" i="1"/>
  <c r="A551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L549" i="1"/>
  <c r="K549" i="1"/>
  <c r="I549" i="1"/>
  <c r="H549" i="1"/>
  <c r="G549" i="1"/>
  <c r="F549" i="1"/>
  <c r="E549" i="1"/>
  <c r="D549" i="1"/>
  <c r="C549" i="1"/>
  <c r="B549" i="1"/>
  <c r="A549" i="1"/>
  <c r="L548" i="1"/>
  <c r="K548" i="1"/>
  <c r="I548" i="1"/>
  <c r="H548" i="1"/>
  <c r="G548" i="1"/>
  <c r="J548" i="1" s="1"/>
  <c r="F548" i="1"/>
  <c r="E548" i="1"/>
  <c r="D548" i="1"/>
  <c r="C548" i="1"/>
  <c r="B548" i="1"/>
  <c r="A548" i="1"/>
  <c r="L547" i="1"/>
  <c r="K547" i="1"/>
  <c r="I547" i="1"/>
  <c r="H547" i="1"/>
  <c r="G547" i="1"/>
  <c r="J547" i="1" s="1"/>
  <c r="F547" i="1"/>
  <c r="E547" i="1"/>
  <c r="D547" i="1"/>
  <c r="C547" i="1"/>
  <c r="B547" i="1"/>
  <c r="A547" i="1"/>
  <c r="L546" i="1"/>
  <c r="K546" i="1"/>
  <c r="I546" i="1"/>
  <c r="H546" i="1"/>
  <c r="G546" i="1"/>
  <c r="F546" i="1"/>
  <c r="E546" i="1"/>
  <c r="D546" i="1"/>
  <c r="C546" i="1"/>
  <c r="B546" i="1"/>
  <c r="A546" i="1"/>
  <c r="L545" i="1"/>
  <c r="K545" i="1"/>
  <c r="I545" i="1"/>
  <c r="H545" i="1"/>
  <c r="G545" i="1"/>
  <c r="J545" i="1" s="1"/>
  <c r="F545" i="1"/>
  <c r="E545" i="1"/>
  <c r="D545" i="1"/>
  <c r="C545" i="1"/>
  <c r="B545" i="1"/>
  <c r="A545" i="1"/>
  <c r="L544" i="1"/>
  <c r="K544" i="1"/>
  <c r="I544" i="1"/>
  <c r="H544" i="1"/>
  <c r="G544" i="1"/>
  <c r="F544" i="1"/>
  <c r="E544" i="1"/>
  <c r="D544" i="1"/>
  <c r="C544" i="1"/>
  <c r="B544" i="1"/>
  <c r="A544" i="1"/>
  <c r="L543" i="1"/>
  <c r="K543" i="1"/>
  <c r="I543" i="1"/>
  <c r="H543" i="1"/>
  <c r="G543" i="1"/>
  <c r="J543" i="1" s="1"/>
  <c r="F543" i="1"/>
  <c r="E543" i="1"/>
  <c r="D543" i="1"/>
  <c r="C543" i="1"/>
  <c r="B543" i="1"/>
  <c r="A543" i="1"/>
  <c r="L542" i="1"/>
  <c r="K542" i="1"/>
  <c r="I542" i="1"/>
  <c r="H542" i="1"/>
  <c r="G542" i="1"/>
  <c r="J542" i="1" s="1"/>
  <c r="F542" i="1"/>
  <c r="E542" i="1"/>
  <c r="D542" i="1"/>
  <c r="C542" i="1"/>
  <c r="B542" i="1"/>
  <c r="A542" i="1"/>
  <c r="L541" i="1"/>
  <c r="K541" i="1"/>
  <c r="I541" i="1"/>
  <c r="H541" i="1"/>
  <c r="G541" i="1"/>
  <c r="F541" i="1"/>
  <c r="E541" i="1"/>
  <c r="D541" i="1"/>
  <c r="C541" i="1"/>
  <c r="B541" i="1"/>
  <c r="A541" i="1"/>
  <c r="L540" i="1"/>
  <c r="K540" i="1"/>
  <c r="I540" i="1"/>
  <c r="H540" i="1"/>
  <c r="G540" i="1"/>
  <c r="J540" i="1" s="1"/>
  <c r="F540" i="1"/>
  <c r="E540" i="1"/>
  <c r="D540" i="1"/>
  <c r="C540" i="1"/>
  <c r="B540" i="1"/>
  <c r="A540" i="1"/>
  <c r="L539" i="1"/>
  <c r="K539" i="1"/>
  <c r="I539" i="1"/>
  <c r="H539" i="1"/>
  <c r="G539" i="1"/>
  <c r="J539" i="1" s="1"/>
  <c r="F539" i="1"/>
  <c r="E539" i="1"/>
  <c r="D539" i="1"/>
  <c r="C539" i="1"/>
  <c r="B539" i="1"/>
  <c r="A539" i="1"/>
  <c r="L538" i="1"/>
  <c r="K538" i="1"/>
  <c r="I538" i="1"/>
  <c r="H538" i="1"/>
  <c r="G538" i="1"/>
  <c r="F538" i="1"/>
  <c r="E538" i="1"/>
  <c r="D538" i="1"/>
  <c r="C538" i="1"/>
  <c r="B538" i="1"/>
  <c r="A538" i="1"/>
  <c r="L537" i="1"/>
  <c r="K537" i="1"/>
  <c r="I537" i="1"/>
  <c r="H537" i="1"/>
  <c r="G537" i="1"/>
  <c r="J537" i="1" s="1"/>
  <c r="F537" i="1"/>
  <c r="E537" i="1"/>
  <c r="D537" i="1"/>
  <c r="C537" i="1"/>
  <c r="B537" i="1"/>
  <c r="A537" i="1"/>
  <c r="L536" i="1"/>
  <c r="K536" i="1"/>
  <c r="I536" i="1"/>
  <c r="H536" i="1"/>
  <c r="G536" i="1"/>
  <c r="F536" i="1"/>
  <c r="E536" i="1"/>
  <c r="D536" i="1"/>
  <c r="C536" i="1"/>
  <c r="B536" i="1"/>
  <c r="A536" i="1"/>
  <c r="L535" i="1"/>
  <c r="K535" i="1"/>
  <c r="I535" i="1"/>
  <c r="H535" i="1"/>
  <c r="G535" i="1"/>
  <c r="J535" i="1" s="1"/>
  <c r="F535" i="1"/>
  <c r="E535" i="1"/>
  <c r="D535" i="1"/>
  <c r="C535" i="1"/>
  <c r="B535" i="1"/>
  <c r="A535" i="1"/>
  <c r="L534" i="1"/>
  <c r="K534" i="1"/>
  <c r="I534" i="1"/>
  <c r="H534" i="1"/>
  <c r="G534" i="1"/>
  <c r="J534" i="1" s="1"/>
  <c r="F534" i="1"/>
  <c r="E534" i="1"/>
  <c r="D534" i="1"/>
  <c r="C534" i="1"/>
  <c r="B534" i="1"/>
  <c r="A534" i="1"/>
  <c r="L533" i="1"/>
  <c r="K533" i="1"/>
  <c r="I533" i="1"/>
  <c r="H533" i="1"/>
  <c r="G533" i="1"/>
  <c r="F533" i="1"/>
  <c r="E533" i="1"/>
  <c r="D533" i="1"/>
  <c r="C533" i="1"/>
  <c r="B533" i="1"/>
  <c r="A533" i="1"/>
  <c r="L532" i="1"/>
  <c r="K532" i="1"/>
  <c r="I532" i="1"/>
  <c r="H532" i="1"/>
  <c r="G532" i="1"/>
  <c r="J532" i="1" s="1"/>
  <c r="F532" i="1"/>
  <c r="E532" i="1"/>
  <c r="D532" i="1"/>
  <c r="C532" i="1"/>
  <c r="B532" i="1"/>
  <c r="A532" i="1"/>
  <c r="L531" i="1"/>
  <c r="K531" i="1"/>
  <c r="I531" i="1"/>
  <c r="H531" i="1"/>
  <c r="G531" i="1"/>
  <c r="J531" i="1" s="1"/>
  <c r="F531" i="1"/>
  <c r="E531" i="1"/>
  <c r="D531" i="1"/>
  <c r="C531" i="1"/>
  <c r="B531" i="1"/>
  <c r="A531" i="1"/>
  <c r="L530" i="1"/>
  <c r="K530" i="1"/>
  <c r="I530" i="1"/>
  <c r="H530" i="1"/>
  <c r="G530" i="1"/>
  <c r="F530" i="1"/>
  <c r="E530" i="1"/>
  <c r="D530" i="1"/>
  <c r="C530" i="1"/>
  <c r="B530" i="1"/>
  <c r="A530" i="1"/>
  <c r="L529" i="1"/>
  <c r="K529" i="1"/>
  <c r="I529" i="1"/>
  <c r="H529" i="1"/>
  <c r="G529" i="1"/>
  <c r="J529" i="1" s="1"/>
  <c r="F529" i="1"/>
  <c r="E529" i="1"/>
  <c r="D529" i="1"/>
  <c r="C529" i="1"/>
  <c r="B529" i="1"/>
  <c r="A529" i="1"/>
  <c r="L528" i="1"/>
  <c r="K528" i="1"/>
  <c r="I528" i="1"/>
  <c r="H528" i="1"/>
  <c r="G528" i="1"/>
  <c r="F528" i="1"/>
  <c r="E528" i="1"/>
  <c r="D528" i="1"/>
  <c r="C528" i="1"/>
  <c r="B528" i="1"/>
  <c r="A528" i="1"/>
  <c r="L527" i="1"/>
  <c r="K527" i="1"/>
  <c r="I527" i="1"/>
  <c r="H527" i="1"/>
  <c r="G527" i="1"/>
  <c r="J527" i="1" s="1"/>
  <c r="F527" i="1"/>
  <c r="E527" i="1"/>
  <c r="D527" i="1"/>
  <c r="C527" i="1"/>
  <c r="B527" i="1"/>
  <c r="A527" i="1"/>
  <c r="L526" i="1"/>
  <c r="K526" i="1"/>
  <c r="I526" i="1"/>
  <c r="H526" i="1"/>
  <c r="G526" i="1"/>
  <c r="J526" i="1" s="1"/>
  <c r="F526" i="1"/>
  <c r="E526" i="1"/>
  <c r="D526" i="1"/>
  <c r="C526" i="1"/>
  <c r="B526" i="1"/>
  <c r="A526" i="1"/>
  <c r="L525" i="1"/>
  <c r="K525" i="1"/>
  <c r="I525" i="1"/>
  <c r="H525" i="1"/>
  <c r="G525" i="1"/>
  <c r="F525" i="1"/>
  <c r="E525" i="1"/>
  <c r="D525" i="1"/>
  <c r="C525" i="1"/>
  <c r="B525" i="1"/>
  <c r="A525" i="1"/>
  <c r="L524" i="1"/>
  <c r="K524" i="1"/>
  <c r="I524" i="1"/>
  <c r="H524" i="1"/>
  <c r="G524" i="1"/>
  <c r="J524" i="1" s="1"/>
  <c r="F524" i="1"/>
  <c r="E524" i="1"/>
  <c r="D524" i="1"/>
  <c r="C524" i="1"/>
  <c r="B524" i="1"/>
  <c r="A524" i="1"/>
  <c r="L523" i="1"/>
  <c r="K523" i="1"/>
  <c r="I523" i="1"/>
  <c r="H523" i="1"/>
  <c r="G523" i="1"/>
  <c r="J523" i="1" s="1"/>
  <c r="F523" i="1"/>
  <c r="E523" i="1"/>
  <c r="D523" i="1"/>
  <c r="C523" i="1"/>
  <c r="B523" i="1"/>
  <c r="A523" i="1"/>
  <c r="L522" i="1"/>
  <c r="K522" i="1"/>
  <c r="I522" i="1"/>
  <c r="H522" i="1"/>
  <c r="G522" i="1"/>
  <c r="F522" i="1"/>
  <c r="E522" i="1"/>
  <c r="D522" i="1"/>
  <c r="C522" i="1"/>
  <c r="B522" i="1"/>
  <c r="A522" i="1"/>
  <c r="L521" i="1"/>
  <c r="K521" i="1"/>
  <c r="I521" i="1"/>
  <c r="H521" i="1"/>
  <c r="G521" i="1"/>
  <c r="J521" i="1" s="1"/>
  <c r="F521" i="1"/>
  <c r="E521" i="1"/>
  <c r="D521" i="1"/>
  <c r="C521" i="1"/>
  <c r="B521" i="1"/>
  <c r="A521" i="1"/>
  <c r="L520" i="1"/>
  <c r="K520" i="1"/>
  <c r="I520" i="1"/>
  <c r="H520" i="1"/>
  <c r="G520" i="1"/>
  <c r="F520" i="1"/>
  <c r="E520" i="1"/>
  <c r="D520" i="1"/>
  <c r="C520" i="1"/>
  <c r="B520" i="1"/>
  <c r="A520" i="1"/>
  <c r="L519" i="1"/>
  <c r="K519" i="1"/>
  <c r="I519" i="1"/>
  <c r="H519" i="1"/>
  <c r="G519" i="1"/>
  <c r="J519" i="1" s="1"/>
  <c r="F519" i="1"/>
  <c r="E519" i="1"/>
  <c r="D519" i="1"/>
  <c r="C519" i="1"/>
  <c r="B519" i="1"/>
  <c r="A519" i="1"/>
  <c r="L518" i="1"/>
  <c r="K518" i="1"/>
  <c r="I518" i="1"/>
  <c r="H518" i="1"/>
  <c r="G518" i="1"/>
  <c r="J518" i="1" s="1"/>
  <c r="F518" i="1"/>
  <c r="E518" i="1"/>
  <c r="D518" i="1"/>
  <c r="C518" i="1"/>
  <c r="B518" i="1"/>
  <c r="A518" i="1"/>
  <c r="L517" i="1"/>
  <c r="K517" i="1"/>
  <c r="I517" i="1"/>
  <c r="H517" i="1"/>
  <c r="G517" i="1"/>
  <c r="F517" i="1"/>
  <c r="E517" i="1"/>
  <c r="D517" i="1"/>
  <c r="C517" i="1"/>
  <c r="B517" i="1"/>
  <c r="A517" i="1"/>
  <c r="L516" i="1"/>
  <c r="K516" i="1"/>
  <c r="I516" i="1"/>
  <c r="H516" i="1"/>
  <c r="G516" i="1"/>
  <c r="J516" i="1" s="1"/>
  <c r="F516" i="1"/>
  <c r="E516" i="1"/>
  <c r="D516" i="1"/>
  <c r="C516" i="1"/>
  <c r="B516" i="1"/>
  <c r="A516" i="1"/>
  <c r="L515" i="1"/>
  <c r="K515" i="1"/>
  <c r="I515" i="1"/>
  <c r="H515" i="1"/>
  <c r="G515" i="1"/>
  <c r="J515" i="1" s="1"/>
  <c r="F515" i="1"/>
  <c r="E515" i="1"/>
  <c r="D515" i="1"/>
  <c r="C515" i="1"/>
  <c r="B515" i="1"/>
  <c r="A515" i="1"/>
  <c r="L514" i="1"/>
  <c r="K514" i="1"/>
  <c r="I514" i="1"/>
  <c r="H514" i="1"/>
  <c r="G514" i="1"/>
  <c r="F514" i="1"/>
  <c r="E514" i="1"/>
  <c r="D514" i="1"/>
  <c r="C514" i="1"/>
  <c r="B514" i="1"/>
  <c r="A514" i="1"/>
  <c r="L513" i="1"/>
  <c r="K513" i="1"/>
  <c r="I513" i="1"/>
  <c r="H513" i="1"/>
  <c r="G513" i="1"/>
  <c r="J513" i="1" s="1"/>
  <c r="F513" i="1"/>
  <c r="E513" i="1"/>
  <c r="D513" i="1"/>
  <c r="C513" i="1"/>
  <c r="B513" i="1"/>
  <c r="A513" i="1"/>
  <c r="L512" i="1"/>
  <c r="K512" i="1"/>
  <c r="I512" i="1"/>
  <c r="H512" i="1"/>
  <c r="G512" i="1"/>
  <c r="J512" i="1" s="1"/>
  <c r="F512" i="1"/>
  <c r="E512" i="1"/>
  <c r="D512" i="1"/>
  <c r="C512" i="1"/>
  <c r="B512" i="1"/>
  <c r="A512" i="1"/>
  <c r="L511" i="1"/>
  <c r="K511" i="1"/>
  <c r="I511" i="1"/>
  <c r="H511" i="1"/>
  <c r="G511" i="1"/>
  <c r="J511" i="1" s="1"/>
  <c r="F511" i="1"/>
  <c r="E511" i="1"/>
  <c r="D511" i="1"/>
  <c r="C511" i="1"/>
  <c r="B511" i="1"/>
  <c r="A511" i="1"/>
  <c r="L510" i="1"/>
  <c r="K510" i="1"/>
  <c r="I510" i="1"/>
  <c r="H510" i="1"/>
  <c r="G510" i="1"/>
  <c r="J510" i="1" s="1"/>
  <c r="F510" i="1"/>
  <c r="E510" i="1"/>
  <c r="D510" i="1"/>
  <c r="C510" i="1"/>
  <c r="B510" i="1"/>
  <c r="A510" i="1"/>
  <c r="L509" i="1"/>
  <c r="K509" i="1"/>
  <c r="I509" i="1"/>
  <c r="H509" i="1"/>
  <c r="G509" i="1"/>
  <c r="F509" i="1"/>
  <c r="E509" i="1"/>
  <c r="D509" i="1"/>
  <c r="C509" i="1"/>
  <c r="B509" i="1"/>
  <c r="A509" i="1"/>
  <c r="L508" i="1"/>
  <c r="K508" i="1"/>
  <c r="I508" i="1"/>
  <c r="H508" i="1"/>
  <c r="G508" i="1"/>
  <c r="J508" i="1" s="1"/>
  <c r="F508" i="1"/>
  <c r="E508" i="1"/>
  <c r="D508" i="1"/>
  <c r="C508" i="1"/>
  <c r="B508" i="1"/>
  <c r="A508" i="1"/>
  <c r="L507" i="1"/>
  <c r="K507" i="1"/>
  <c r="I507" i="1"/>
  <c r="H507" i="1"/>
  <c r="G507" i="1"/>
  <c r="J507" i="1" s="1"/>
  <c r="F507" i="1"/>
  <c r="E507" i="1"/>
  <c r="D507" i="1"/>
  <c r="C507" i="1"/>
  <c r="B507" i="1"/>
  <c r="A507" i="1"/>
  <c r="L506" i="1"/>
  <c r="K506" i="1"/>
  <c r="I506" i="1"/>
  <c r="H506" i="1"/>
  <c r="G506" i="1"/>
  <c r="F506" i="1"/>
  <c r="E506" i="1"/>
  <c r="D506" i="1"/>
  <c r="C506" i="1"/>
  <c r="B506" i="1"/>
  <c r="A506" i="1"/>
  <c r="L505" i="1"/>
  <c r="K505" i="1"/>
  <c r="I505" i="1"/>
  <c r="H505" i="1"/>
  <c r="G505" i="1"/>
  <c r="J505" i="1" s="1"/>
  <c r="F505" i="1"/>
  <c r="E505" i="1"/>
  <c r="D505" i="1"/>
  <c r="C505" i="1"/>
  <c r="B505" i="1"/>
  <c r="A505" i="1"/>
  <c r="L504" i="1"/>
  <c r="K504" i="1"/>
  <c r="I504" i="1"/>
  <c r="H504" i="1"/>
  <c r="G504" i="1"/>
  <c r="F504" i="1"/>
  <c r="E504" i="1"/>
  <c r="D504" i="1"/>
  <c r="C504" i="1"/>
  <c r="B504" i="1"/>
  <c r="A504" i="1"/>
  <c r="L503" i="1"/>
  <c r="K503" i="1"/>
  <c r="I503" i="1"/>
  <c r="H503" i="1"/>
  <c r="G503" i="1"/>
  <c r="J503" i="1" s="1"/>
  <c r="F503" i="1"/>
  <c r="E503" i="1"/>
  <c r="D503" i="1"/>
  <c r="C503" i="1"/>
  <c r="B503" i="1"/>
  <c r="A503" i="1"/>
  <c r="L502" i="1"/>
  <c r="K502" i="1"/>
  <c r="I502" i="1"/>
  <c r="H502" i="1"/>
  <c r="G502" i="1"/>
  <c r="J502" i="1" s="1"/>
  <c r="F502" i="1"/>
  <c r="E502" i="1"/>
  <c r="D502" i="1"/>
  <c r="C502" i="1"/>
  <c r="B502" i="1"/>
  <c r="A502" i="1"/>
  <c r="L501" i="1"/>
  <c r="K501" i="1"/>
  <c r="I501" i="1"/>
  <c r="H501" i="1"/>
  <c r="G501" i="1"/>
  <c r="F501" i="1"/>
  <c r="E501" i="1"/>
  <c r="D501" i="1"/>
  <c r="C501" i="1"/>
  <c r="B501" i="1"/>
  <c r="A501" i="1"/>
  <c r="L500" i="1"/>
  <c r="K500" i="1"/>
  <c r="I500" i="1"/>
  <c r="H500" i="1"/>
  <c r="G500" i="1"/>
  <c r="J500" i="1" s="1"/>
  <c r="F500" i="1"/>
  <c r="E500" i="1"/>
  <c r="D500" i="1"/>
  <c r="C500" i="1"/>
  <c r="B500" i="1"/>
  <c r="A500" i="1"/>
  <c r="L499" i="1"/>
  <c r="K499" i="1"/>
  <c r="I499" i="1"/>
  <c r="H499" i="1"/>
  <c r="G499" i="1"/>
  <c r="J499" i="1" s="1"/>
  <c r="F499" i="1"/>
  <c r="E499" i="1"/>
  <c r="D499" i="1"/>
  <c r="C499" i="1"/>
  <c r="B499" i="1"/>
  <c r="A499" i="1"/>
  <c r="L498" i="1"/>
  <c r="K498" i="1"/>
  <c r="I498" i="1"/>
  <c r="H498" i="1"/>
  <c r="G498" i="1"/>
  <c r="F498" i="1"/>
  <c r="E498" i="1"/>
  <c r="D498" i="1"/>
  <c r="C498" i="1"/>
  <c r="B498" i="1"/>
  <c r="A498" i="1"/>
  <c r="L497" i="1"/>
  <c r="K497" i="1"/>
  <c r="I497" i="1"/>
  <c r="H497" i="1"/>
  <c r="G497" i="1"/>
  <c r="J497" i="1" s="1"/>
  <c r="F497" i="1"/>
  <c r="E497" i="1"/>
  <c r="D497" i="1"/>
  <c r="C497" i="1"/>
  <c r="B497" i="1"/>
  <c r="A497" i="1"/>
  <c r="L496" i="1"/>
  <c r="K496" i="1"/>
  <c r="I496" i="1"/>
  <c r="H496" i="1"/>
  <c r="G496" i="1"/>
  <c r="F496" i="1"/>
  <c r="E496" i="1"/>
  <c r="D496" i="1"/>
  <c r="C496" i="1"/>
  <c r="B496" i="1"/>
  <c r="A496" i="1"/>
  <c r="L495" i="1"/>
  <c r="K495" i="1"/>
  <c r="I495" i="1"/>
  <c r="H495" i="1"/>
  <c r="G495" i="1"/>
  <c r="J495" i="1" s="1"/>
  <c r="F495" i="1"/>
  <c r="E495" i="1"/>
  <c r="D495" i="1"/>
  <c r="C495" i="1"/>
  <c r="B495" i="1"/>
  <c r="A495" i="1"/>
  <c r="L494" i="1"/>
  <c r="K494" i="1"/>
  <c r="I494" i="1"/>
  <c r="H494" i="1"/>
  <c r="G494" i="1"/>
  <c r="J494" i="1" s="1"/>
  <c r="F494" i="1"/>
  <c r="E494" i="1"/>
  <c r="D494" i="1"/>
  <c r="C494" i="1"/>
  <c r="B494" i="1"/>
  <c r="A494" i="1"/>
  <c r="L493" i="1"/>
  <c r="K493" i="1"/>
  <c r="I493" i="1"/>
  <c r="H493" i="1"/>
  <c r="G493" i="1"/>
  <c r="F493" i="1"/>
  <c r="E493" i="1"/>
  <c r="D493" i="1"/>
  <c r="C493" i="1"/>
  <c r="B493" i="1"/>
  <c r="A493" i="1"/>
  <c r="L492" i="1"/>
  <c r="K492" i="1"/>
  <c r="I492" i="1"/>
  <c r="H492" i="1"/>
  <c r="G492" i="1"/>
  <c r="J492" i="1" s="1"/>
  <c r="F492" i="1"/>
  <c r="E492" i="1"/>
  <c r="D492" i="1"/>
  <c r="C492" i="1"/>
  <c r="B492" i="1"/>
  <c r="A492" i="1"/>
  <c r="L491" i="1"/>
  <c r="K491" i="1"/>
  <c r="I491" i="1"/>
  <c r="H491" i="1"/>
  <c r="G491" i="1"/>
  <c r="J491" i="1" s="1"/>
  <c r="F491" i="1"/>
  <c r="E491" i="1"/>
  <c r="D491" i="1"/>
  <c r="C491" i="1"/>
  <c r="B491" i="1"/>
  <c r="A491" i="1"/>
  <c r="L490" i="1"/>
  <c r="K490" i="1"/>
  <c r="I490" i="1"/>
  <c r="H490" i="1"/>
  <c r="G490" i="1"/>
  <c r="F490" i="1"/>
  <c r="E490" i="1"/>
  <c r="D490" i="1"/>
  <c r="C490" i="1"/>
  <c r="B490" i="1"/>
  <c r="A490" i="1"/>
  <c r="L489" i="1"/>
  <c r="K489" i="1"/>
  <c r="I489" i="1"/>
  <c r="H489" i="1"/>
  <c r="G489" i="1"/>
  <c r="J489" i="1" s="1"/>
  <c r="F489" i="1"/>
  <c r="E489" i="1"/>
  <c r="D489" i="1"/>
  <c r="C489" i="1"/>
  <c r="B489" i="1"/>
  <c r="A489" i="1"/>
  <c r="L488" i="1"/>
  <c r="K488" i="1"/>
  <c r="I488" i="1"/>
  <c r="H488" i="1"/>
  <c r="G488" i="1"/>
  <c r="F488" i="1"/>
  <c r="E488" i="1"/>
  <c r="D488" i="1"/>
  <c r="C488" i="1"/>
  <c r="B488" i="1"/>
  <c r="A488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L485" i="1"/>
  <c r="K485" i="1"/>
  <c r="I485" i="1"/>
  <c r="H485" i="1"/>
  <c r="G485" i="1"/>
  <c r="F485" i="1"/>
  <c r="E485" i="1"/>
  <c r="D485" i="1"/>
  <c r="C485" i="1"/>
  <c r="B485" i="1"/>
  <c r="A485" i="1"/>
  <c r="L484" i="1"/>
  <c r="K484" i="1"/>
  <c r="I484" i="1"/>
  <c r="H484" i="1"/>
  <c r="G484" i="1"/>
  <c r="J484" i="1" s="1"/>
  <c r="F484" i="1"/>
  <c r="E484" i="1"/>
  <c r="D484" i="1"/>
  <c r="C484" i="1"/>
  <c r="B484" i="1"/>
  <c r="A484" i="1"/>
  <c r="L483" i="1"/>
  <c r="K483" i="1"/>
  <c r="I483" i="1"/>
  <c r="H483" i="1"/>
  <c r="G483" i="1"/>
  <c r="J483" i="1" s="1"/>
  <c r="F483" i="1"/>
  <c r="E483" i="1"/>
  <c r="D483" i="1"/>
  <c r="C483" i="1"/>
  <c r="B483" i="1"/>
  <c r="A483" i="1"/>
  <c r="L482" i="1"/>
  <c r="K482" i="1"/>
  <c r="I482" i="1"/>
  <c r="H482" i="1"/>
  <c r="G482" i="1"/>
  <c r="F482" i="1"/>
  <c r="E482" i="1"/>
  <c r="D482" i="1"/>
  <c r="C482" i="1"/>
  <c r="B482" i="1"/>
  <c r="A482" i="1"/>
  <c r="L481" i="1"/>
  <c r="K481" i="1"/>
  <c r="I481" i="1"/>
  <c r="H481" i="1"/>
  <c r="G481" i="1"/>
  <c r="J481" i="1" s="1"/>
  <c r="F481" i="1"/>
  <c r="E481" i="1"/>
  <c r="D481" i="1"/>
  <c r="C481" i="1"/>
  <c r="B481" i="1"/>
  <c r="A481" i="1"/>
  <c r="L480" i="1"/>
  <c r="K480" i="1"/>
  <c r="I480" i="1"/>
  <c r="H480" i="1"/>
  <c r="G480" i="1"/>
  <c r="J480" i="1" s="1"/>
  <c r="F480" i="1"/>
  <c r="E480" i="1"/>
  <c r="D480" i="1"/>
  <c r="C480" i="1"/>
  <c r="B480" i="1"/>
  <c r="A480" i="1"/>
  <c r="L479" i="1"/>
  <c r="K479" i="1"/>
  <c r="I479" i="1"/>
  <c r="H479" i="1"/>
  <c r="G479" i="1"/>
  <c r="J479" i="1" s="1"/>
  <c r="F479" i="1"/>
  <c r="E479" i="1"/>
  <c r="D479" i="1"/>
  <c r="C479" i="1"/>
  <c r="B479" i="1"/>
  <c r="A479" i="1"/>
  <c r="L478" i="1"/>
  <c r="K478" i="1"/>
  <c r="I478" i="1"/>
  <c r="H478" i="1"/>
  <c r="G478" i="1"/>
  <c r="J478" i="1" s="1"/>
  <c r="F478" i="1"/>
  <c r="E478" i="1"/>
  <c r="D478" i="1"/>
  <c r="C478" i="1"/>
  <c r="B478" i="1"/>
  <c r="A478" i="1"/>
  <c r="L477" i="1"/>
  <c r="K477" i="1"/>
  <c r="I477" i="1"/>
  <c r="H477" i="1"/>
  <c r="G477" i="1"/>
  <c r="F477" i="1"/>
  <c r="E477" i="1"/>
  <c r="D477" i="1"/>
  <c r="C477" i="1"/>
  <c r="B477" i="1"/>
  <c r="A477" i="1"/>
  <c r="L476" i="1"/>
  <c r="K476" i="1"/>
  <c r="I476" i="1"/>
  <c r="H476" i="1"/>
  <c r="G476" i="1"/>
  <c r="J476" i="1" s="1"/>
  <c r="F476" i="1"/>
  <c r="E476" i="1"/>
  <c r="D476" i="1"/>
  <c r="C476" i="1"/>
  <c r="B476" i="1"/>
  <c r="A476" i="1"/>
  <c r="L475" i="1"/>
  <c r="K475" i="1"/>
  <c r="I475" i="1"/>
  <c r="H475" i="1"/>
  <c r="G475" i="1"/>
  <c r="J475" i="1" s="1"/>
  <c r="F475" i="1"/>
  <c r="E475" i="1"/>
  <c r="D475" i="1"/>
  <c r="C475" i="1"/>
  <c r="B475" i="1"/>
  <c r="A475" i="1"/>
  <c r="L474" i="1"/>
  <c r="K474" i="1"/>
  <c r="I474" i="1"/>
  <c r="H474" i="1"/>
  <c r="G474" i="1"/>
  <c r="F474" i="1"/>
  <c r="E474" i="1"/>
  <c r="D474" i="1"/>
  <c r="C474" i="1"/>
  <c r="B474" i="1"/>
  <c r="A474" i="1"/>
  <c r="L473" i="1"/>
  <c r="K473" i="1"/>
  <c r="I473" i="1"/>
  <c r="H473" i="1"/>
  <c r="G473" i="1"/>
  <c r="J473" i="1" s="1"/>
  <c r="F473" i="1"/>
  <c r="E473" i="1"/>
  <c r="D473" i="1"/>
  <c r="C473" i="1"/>
  <c r="B473" i="1"/>
  <c r="A473" i="1"/>
  <c r="L472" i="1"/>
  <c r="K472" i="1"/>
  <c r="I472" i="1"/>
  <c r="H472" i="1"/>
  <c r="G472" i="1"/>
  <c r="F472" i="1"/>
  <c r="E472" i="1"/>
  <c r="D472" i="1"/>
  <c r="C472" i="1"/>
  <c r="B472" i="1"/>
  <c r="A472" i="1"/>
  <c r="L471" i="1"/>
  <c r="K471" i="1"/>
  <c r="I471" i="1"/>
  <c r="H471" i="1"/>
  <c r="G471" i="1"/>
  <c r="J471" i="1" s="1"/>
  <c r="F471" i="1"/>
  <c r="E471" i="1"/>
  <c r="D471" i="1"/>
  <c r="C471" i="1"/>
  <c r="B471" i="1"/>
  <c r="A471" i="1"/>
  <c r="L470" i="1"/>
  <c r="K470" i="1"/>
  <c r="I470" i="1"/>
  <c r="H470" i="1"/>
  <c r="G470" i="1"/>
  <c r="J470" i="1" s="1"/>
  <c r="F470" i="1"/>
  <c r="E470" i="1"/>
  <c r="D470" i="1"/>
  <c r="C470" i="1"/>
  <c r="B470" i="1"/>
  <c r="A470" i="1"/>
  <c r="L469" i="1"/>
  <c r="K469" i="1"/>
  <c r="I469" i="1"/>
  <c r="H469" i="1"/>
  <c r="G469" i="1"/>
  <c r="F469" i="1"/>
  <c r="E469" i="1"/>
  <c r="D469" i="1"/>
  <c r="C469" i="1"/>
  <c r="B469" i="1"/>
  <c r="A469" i="1"/>
  <c r="L468" i="1"/>
  <c r="K468" i="1"/>
  <c r="I468" i="1"/>
  <c r="H468" i="1"/>
  <c r="G468" i="1"/>
  <c r="J468" i="1" s="1"/>
  <c r="F468" i="1"/>
  <c r="E468" i="1"/>
  <c r="D468" i="1"/>
  <c r="C468" i="1"/>
  <c r="B468" i="1"/>
  <c r="A468" i="1"/>
  <c r="L467" i="1"/>
  <c r="K467" i="1"/>
  <c r="I467" i="1"/>
  <c r="H467" i="1"/>
  <c r="G467" i="1"/>
  <c r="J467" i="1" s="1"/>
  <c r="F467" i="1"/>
  <c r="E467" i="1"/>
  <c r="D467" i="1"/>
  <c r="C467" i="1"/>
  <c r="B467" i="1"/>
  <c r="A467" i="1"/>
  <c r="L466" i="1"/>
  <c r="K466" i="1"/>
  <c r="I466" i="1"/>
  <c r="H466" i="1"/>
  <c r="G466" i="1"/>
  <c r="F466" i="1"/>
  <c r="E466" i="1"/>
  <c r="D466" i="1"/>
  <c r="C466" i="1"/>
  <c r="B466" i="1"/>
  <c r="A466" i="1"/>
  <c r="L465" i="1"/>
  <c r="K465" i="1"/>
  <c r="I465" i="1"/>
  <c r="H465" i="1"/>
  <c r="G465" i="1"/>
  <c r="J465" i="1" s="1"/>
  <c r="F465" i="1"/>
  <c r="E465" i="1"/>
  <c r="D465" i="1"/>
  <c r="C465" i="1"/>
  <c r="B465" i="1"/>
  <c r="A465" i="1"/>
  <c r="L464" i="1"/>
  <c r="K464" i="1"/>
  <c r="I464" i="1"/>
  <c r="H464" i="1"/>
  <c r="G464" i="1"/>
  <c r="F464" i="1"/>
  <c r="E464" i="1"/>
  <c r="D464" i="1"/>
  <c r="C464" i="1"/>
  <c r="B464" i="1"/>
  <c r="A464" i="1"/>
  <c r="L463" i="1"/>
  <c r="K463" i="1"/>
  <c r="I463" i="1"/>
  <c r="H463" i="1"/>
  <c r="G463" i="1"/>
  <c r="J463" i="1" s="1"/>
  <c r="F463" i="1"/>
  <c r="E463" i="1"/>
  <c r="D463" i="1"/>
  <c r="C463" i="1"/>
  <c r="B463" i="1"/>
  <c r="A463" i="1"/>
  <c r="L462" i="1"/>
  <c r="K462" i="1"/>
  <c r="I462" i="1"/>
  <c r="H462" i="1"/>
  <c r="G462" i="1"/>
  <c r="J462" i="1" s="1"/>
  <c r="F462" i="1"/>
  <c r="E462" i="1"/>
  <c r="D462" i="1"/>
  <c r="C462" i="1"/>
  <c r="B462" i="1"/>
  <c r="A462" i="1"/>
  <c r="L461" i="1"/>
  <c r="K461" i="1"/>
  <c r="I461" i="1"/>
  <c r="H461" i="1"/>
  <c r="G461" i="1"/>
  <c r="F461" i="1"/>
  <c r="E461" i="1"/>
  <c r="D461" i="1"/>
  <c r="C461" i="1"/>
  <c r="B461" i="1"/>
  <c r="A461" i="1"/>
  <c r="L460" i="1"/>
  <c r="K460" i="1"/>
  <c r="I460" i="1"/>
  <c r="H460" i="1"/>
  <c r="G460" i="1"/>
  <c r="J460" i="1" s="1"/>
  <c r="F460" i="1"/>
  <c r="E460" i="1"/>
  <c r="D460" i="1"/>
  <c r="C460" i="1"/>
  <c r="B460" i="1"/>
  <c r="A460" i="1"/>
  <c r="L459" i="1"/>
  <c r="K459" i="1"/>
  <c r="I459" i="1"/>
  <c r="H459" i="1"/>
  <c r="G459" i="1"/>
  <c r="J459" i="1" s="1"/>
  <c r="F459" i="1"/>
  <c r="E459" i="1"/>
  <c r="D459" i="1"/>
  <c r="C459" i="1"/>
  <c r="B459" i="1"/>
  <c r="A459" i="1"/>
  <c r="L458" i="1"/>
  <c r="K458" i="1"/>
  <c r="I458" i="1"/>
  <c r="H458" i="1"/>
  <c r="G458" i="1"/>
  <c r="F458" i="1"/>
  <c r="E458" i="1"/>
  <c r="D458" i="1"/>
  <c r="C458" i="1"/>
  <c r="B458" i="1"/>
  <c r="A458" i="1"/>
  <c r="L457" i="1"/>
  <c r="K457" i="1"/>
  <c r="I457" i="1"/>
  <c r="H457" i="1"/>
  <c r="G457" i="1"/>
  <c r="J457" i="1" s="1"/>
  <c r="F457" i="1"/>
  <c r="E457" i="1"/>
  <c r="D457" i="1"/>
  <c r="C457" i="1"/>
  <c r="B457" i="1"/>
  <c r="A457" i="1"/>
  <c r="L456" i="1"/>
  <c r="K456" i="1"/>
  <c r="I456" i="1"/>
  <c r="H456" i="1"/>
  <c r="G456" i="1"/>
  <c r="F456" i="1"/>
  <c r="E456" i="1"/>
  <c r="D456" i="1"/>
  <c r="C456" i="1"/>
  <c r="B456" i="1"/>
  <c r="A456" i="1"/>
  <c r="L455" i="1"/>
  <c r="K455" i="1"/>
  <c r="I455" i="1"/>
  <c r="H455" i="1"/>
  <c r="G455" i="1"/>
  <c r="J455" i="1" s="1"/>
  <c r="F455" i="1"/>
  <c r="E455" i="1"/>
  <c r="D455" i="1"/>
  <c r="C455" i="1"/>
  <c r="B455" i="1"/>
  <c r="A455" i="1"/>
  <c r="L454" i="1"/>
  <c r="K454" i="1"/>
  <c r="I454" i="1"/>
  <c r="H454" i="1"/>
  <c r="G454" i="1"/>
  <c r="J454" i="1" s="1"/>
  <c r="F454" i="1"/>
  <c r="E454" i="1"/>
  <c r="D454" i="1"/>
  <c r="C454" i="1"/>
  <c r="B454" i="1"/>
  <c r="A454" i="1"/>
  <c r="L453" i="1"/>
  <c r="K453" i="1"/>
  <c r="I453" i="1"/>
  <c r="H453" i="1"/>
  <c r="G453" i="1"/>
  <c r="F453" i="1"/>
  <c r="E453" i="1"/>
  <c r="D453" i="1"/>
  <c r="C453" i="1"/>
  <c r="B453" i="1"/>
  <c r="A453" i="1"/>
  <c r="L452" i="1"/>
  <c r="K452" i="1"/>
  <c r="I452" i="1"/>
  <c r="H452" i="1"/>
  <c r="G452" i="1"/>
  <c r="J452" i="1" s="1"/>
  <c r="F452" i="1"/>
  <c r="E452" i="1"/>
  <c r="D452" i="1"/>
  <c r="C452" i="1"/>
  <c r="B452" i="1"/>
  <c r="A452" i="1"/>
  <c r="L451" i="1"/>
  <c r="K451" i="1"/>
  <c r="I451" i="1"/>
  <c r="H451" i="1"/>
  <c r="G451" i="1"/>
  <c r="J451" i="1" s="1"/>
  <c r="F451" i="1"/>
  <c r="E451" i="1"/>
  <c r="D451" i="1"/>
  <c r="C451" i="1"/>
  <c r="B451" i="1"/>
  <c r="A451" i="1"/>
  <c r="L450" i="1"/>
  <c r="K450" i="1"/>
  <c r="I450" i="1"/>
  <c r="H450" i="1"/>
  <c r="G450" i="1"/>
  <c r="F450" i="1"/>
  <c r="E450" i="1"/>
  <c r="D450" i="1"/>
  <c r="C450" i="1"/>
  <c r="B450" i="1"/>
  <c r="A450" i="1"/>
  <c r="L449" i="1"/>
  <c r="K449" i="1"/>
  <c r="I449" i="1"/>
  <c r="H449" i="1"/>
  <c r="G449" i="1"/>
  <c r="J449" i="1" s="1"/>
  <c r="F449" i="1"/>
  <c r="E449" i="1"/>
  <c r="D449" i="1"/>
  <c r="C449" i="1"/>
  <c r="B449" i="1"/>
  <c r="A449" i="1"/>
  <c r="L448" i="1"/>
  <c r="K448" i="1"/>
  <c r="I448" i="1"/>
  <c r="H448" i="1"/>
  <c r="G448" i="1"/>
  <c r="F448" i="1"/>
  <c r="E448" i="1"/>
  <c r="D448" i="1"/>
  <c r="C448" i="1"/>
  <c r="B448" i="1"/>
  <c r="A448" i="1"/>
  <c r="L447" i="1"/>
  <c r="K447" i="1"/>
  <c r="I447" i="1"/>
  <c r="H447" i="1"/>
  <c r="G447" i="1"/>
  <c r="J447" i="1" s="1"/>
  <c r="F447" i="1"/>
  <c r="E447" i="1"/>
  <c r="D447" i="1"/>
  <c r="C447" i="1"/>
  <c r="B447" i="1"/>
  <c r="A447" i="1"/>
  <c r="L446" i="1"/>
  <c r="K446" i="1"/>
  <c r="I446" i="1"/>
  <c r="H446" i="1"/>
  <c r="G446" i="1"/>
  <c r="J446" i="1" s="1"/>
  <c r="F446" i="1"/>
  <c r="E446" i="1"/>
  <c r="D446" i="1"/>
  <c r="C446" i="1"/>
  <c r="B446" i="1"/>
  <c r="A446" i="1"/>
  <c r="L445" i="1"/>
  <c r="K445" i="1"/>
  <c r="I445" i="1"/>
  <c r="H445" i="1"/>
  <c r="G445" i="1"/>
  <c r="F445" i="1"/>
  <c r="E445" i="1"/>
  <c r="D445" i="1"/>
  <c r="C445" i="1"/>
  <c r="B445" i="1"/>
  <c r="A445" i="1"/>
  <c r="L444" i="1"/>
  <c r="K444" i="1"/>
  <c r="I444" i="1"/>
  <c r="H444" i="1"/>
  <c r="G444" i="1"/>
  <c r="J444" i="1" s="1"/>
  <c r="F444" i="1"/>
  <c r="E444" i="1"/>
  <c r="D444" i="1"/>
  <c r="C444" i="1"/>
  <c r="B444" i="1"/>
  <c r="A444" i="1"/>
  <c r="L443" i="1"/>
  <c r="K443" i="1"/>
  <c r="I443" i="1"/>
  <c r="H443" i="1"/>
  <c r="G443" i="1"/>
  <c r="J443" i="1" s="1"/>
  <c r="F443" i="1"/>
  <c r="E443" i="1"/>
  <c r="D443" i="1"/>
  <c r="C443" i="1"/>
  <c r="B443" i="1"/>
  <c r="A443" i="1"/>
  <c r="L442" i="1"/>
  <c r="K442" i="1"/>
  <c r="I442" i="1"/>
  <c r="H442" i="1"/>
  <c r="G442" i="1"/>
  <c r="F442" i="1"/>
  <c r="E442" i="1"/>
  <c r="D442" i="1"/>
  <c r="C442" i="1"/>
  <c r="B442" i="1"/>
  <c r="A442" i="1"/>
  <c r="L441" i="1"/>
  <c r="K441" i="1"/>
  <c r="I441" i="1"/>
  <c r="H441" i="1"/>
  <c r="G441" i="1"/>
  <c r="J441" i="1" s="1"/>
  <c r="F441" i="1"/>
  <c r="E441" i="1"/>
  <c r="D441" i="1"/>
  <c r="C441" i="1"/>
  <c r="B441" i="1"/>
  <c r="A441" i="1"/>
  <c r="L440" i="1"/>
  <c r="K440" i="1"/>
  <c r="I440" i="1"/>
  <c r="H440" i="1"/>
  <c r="G440" i="1"/>
  <c r="F440" i="1"/>
  <c r="E440" i="1"/>
  <c r="D440" i="1"/>
  <c r="C440" i="1"/>
  <c r="B440" i="1"/>
  <c r="A440" i="1"/>
  <c r="L439" i="1"/>
  <c r="K439" i="1"/>
  <c r="I439" i="1"/>
  <c r="H439" i="1"/>
  <c r="G439" i="1"/>
  <c r="J439" i="1" s="1"/>
  <c r="F439" i="1"/>
  <c r="E439" i="1"/>
  <c r="D439" i="1"/>
  <c r="C439" i="1"/>
  <c r="B439" i="1"/>
  <c r="A439" i="1"/>
  <c r="L438" i="1"/>
  <c r="K438" i="1"/>
  <c r="I438" i="1"/>
  <c r="H438" i="1"/>
  <c r="G438" i="1"/>
  <c r="J438" i="1" s="1"/>
  <c r="F438" i="1"/>
  <c r="E438" i="1"/>
  <c r="D438" i="1"/>
  <c r="C438" i="1"/>
  <c r="B438" i="1"/>
  <c r="A438" i="1"/>
  <c r="L437" i="1"/>
  <c r="K437" i="1"/>
  <c r="I437" i="1"/>
  <c r="H437" i="1"/>
  <c r="G437" i="1"/>
  <c r="F437" i="1"/>
  <c r="E437" i="1"/>
  <c r="D437" i="1"/>
  <c r="C437" i="1"/>
  <c r="B437" i="1"/>
  <c r="A437" i="1"/>
  <c r="L436" i="1"/>
  <c r="K436" i="1"/>
  <c r="I436" i="1"/>
  <c r="H436" i="1"/>
  <c r="G436" i="1"/>
  <c r="J436" i="1" s="1"/>
  <c r="F436" i="1"/>
  <c r="E436" i="1"/>
  <c r="D436" i="1"/>
  <c r="C436" i="1"/>
  <c r="B436" i="1"/>
  <c r="A436" i="1"/>
  <c r="L435" i="1"/>
  <c r="K435" i="1"/>
  <c r="I435" i="1"/>
  <c r="H435" i="1"/>
  <c r="G435" i="1"/>
  <c r="J435" i="1" s="1"/>
  <c r="F435" i="1"/>
  <c r="E435" i="1"/>
  <c r="D435" i="1"/>
  <c r="C435" i="1"/>
  <c r="B435" i="1"/>
  <c r="A435" i="1"/>
  <c r="L434" i="1"/>
  <c r="K434" i="1"/>
  <c r="I434" i="1"/>
  <c r="H434" i="1"/>
  <c r="G434" i="1"/>
  <c r="F434" i="1"/>
  <c r="E434" i="1"/>
  <c r="D434" i="1"/>
  <c r="C434" i="1"/>
  <c r="B434" i="1"/>
  <c r="A434" i="1"/>
  <c r="L433" i="1"/>
  <c r="K433" i="1"/>
  <c r="I433" i="1"/>
  <c r="H433" i="1"/>
  <c r="G433" i="1"/>
  <c r="J433" i="1" s="1"/>
  <c r="F433" i="1"/>
  <c r="E433" i="1"/>
  <c r="D433" i="1"/>
  <c r="C433" i="1"/>
  <c r="B433" i="1"/>
  <c r="A433" i="1"/>
  <c r="L432" i="1"/>
  <c r="K432" i="1"/>
  <c r="I432" i="1"/>
  <c r="H432" i="1"/>
  <c r="G432" i="1"/>
  <c r="F432" i="1"/>
  <c r="E432" i="1"/>
  <c r="D432" i="1"/>
  <c r="C432" i="1"/>
  <c r="B432" i="1"/>
  <c r="A432" i="1"/>
  <c r="L431" i="1"/>
  <c r="K431" i="1"/>
  <c r="I431" i="1"/>
  <c r="H431" i="1"/>
  <c r="G431" i="1"/>
  <c r="J431" i="1" s="1"/>
  <c r="F431" i="1"/>
  <c r="E431" i="1"/>
  <c r="D431" i="1"/>
  <c r="C431" i="1"/>
  <c r="B431" i="1"/>
  <c r="A431" i="1"/>
  <c r="L430" i="1"/>
  <c r="K430" i="1"/>
  <c r="I430" i="1"/>
  <c r="H430" i="1"/>
  <c r="G430" i="1"/>
  <c r="J430" i="1" s="1"/>
  <c r="F430" i="1"/>
  <c r="E430" i="1"/>
  <c r="D430" i="1"/>
  <c r="C430" i="1"/>
  <c r="B430" i="1"/>
  <c r="A430" i="1"/>
  <c r="L429" i="1"/>
  <c r="K429" i="1"/>
  <c r="I429" i="1"/>
  <c r="H429" i="1"/>
  <c r="G429" i="1"/>
  <c r="F429" i="1"/>
  <c r="E429" i="1"/>
  <c r="D429" i="1"/>
  <c r="C429" i="1"/>
  <c r="B429" i="1"/>
  <c r="A429" i="1"/>
  <c r="L428" i="1"/>
  <c r="K428" i="1"/>
  <c r="I428" i="1"/>
  <c r="H428" i="1"/>
  <c r="G428" i="1"/>
  <c r="J428" i="1" s="1"/>
  <c r="F428" i="1"/>
  <c r="E428" i="1"/>
  <c r="D428" i="1"/>
  <c r="C428" i="1"/>
  <c r="B428" i="1"/>
  <c r="A428" i="1"/>
  <c r="L427" i="1"/>
  <c r="K427" i="1"/>
  <c r="I427" i="1"/>
  <c r="H427" i="1"/>
  <c r="G427" i="1"/>
  <c r="J427" i="1" s="1"/>
  <c r="F427" i="1"/>
  <c r="E427" i="1"/>
  <c r="D427" i="1"/>
  <c r="C427" i="1"/>
  <c r="B427" i="1"/>
  <c r="A427" i="1"/>
  <c r="L426" i="1"/>
  <c r="K426" i="1"/>
  <c r="I426" i="1"/>
  <c r="H426" i="1"/>
  <c r="G426" i="1"/>
  <c r="F426" i="1"/>
  <c r="E426" i="1"/>
  <c r="D426" i="1"/>
  <c r="C426" i="1"/>
  <c r="B426" i="1"/>
  <c r="A426" i="1"/>
  <c r="L425" i="1"/>
  <c r="K425" i="1"/>
  <c r="I425" i="1"/>
  <c r="H425" i="1"/>
  <c r="G425" i="1"/>
  <c r="J425" i="1" s="1"/>
  <c r="F425" i="1"/>
  <c r="E425" i="1"/>
  <c r="D425" i="1"/>
  <c r="C425" i="1"/>
  <c r="B425" i="1"/>
  <c r="A425" i="1"/>
  <c r="L424" i="1"/>
  <c r="K424" i="1"/>
  <c r="I424" i="1"/>
  <c r="H424" i="1"/>
  <c r="G424" i="1"/>
  <c r="J424" i="1" s="1"/>
  <c r="F424" i="1"/>
  <c r="E424" i="1"/>
  <c r="D424" i="1"/>
  <c r="C424" i="1"/>
  <c r="B424" i="1"/>
  <c r="A424" i="1"/>
  <c r="L423" i="1"/>
  <c r="K423" i="1"/>
  <c r="I423" i="1"/>
  <c r="H423" i="1"/>
  <c r="G423" i="1"/>
  <c r="J423" i="1" s="1"/>
  <c r="F423" i="1"/>
  <c r="E423" i="1"/>
  <c r="D423" i="1"/>
  <c r="C423" i="1"/>
  <c r="B423" i="1"/>
  <c r="A423" i="1"/>
  <c r="L422" i="1"/>
  <c r="K422" i="1"/>
  <c r="I422" i="1"/>
  <c r="H422" i="1"/>
  <c r="G422" i="1"/>
  <c r="J422" i="1" s="1"/>
  <c r="F422" i="1"/>
  <c r="E422" i="1"/>
  <c r="D422" i="1"/>
  <c r="C422" i="1"/>
  <c r="B422" i="1"/>
  <c r="A422" i="1"/>
  <c r="L421" i="1"/>
  <c r="K421" i="1"/>
  <c r="I421" i="1"/>
  <c r="H421" i="1"/>
  <c r="G421" i="1"/>
  <c r="F421" i="1"/>
  <c r="E421" i="1"/>
  <c r="D421" i="1"/>
  <c r="C421" i="1"/>
  <c r="B421" i="1"/>
  <c r="A421" i="1"/>
  <c r="L420" i="1"/>
  <c r="K420" i="1"/>
  <c r="I420" i="1"/>
  <c r="H420" i="1"/>
  <c r="G420" i="1"/>
  <c r="J420" i="1" s="1"/>
  <c r="F420" i="1"/>
  <c r="E420" i="1"/>
  <c r="D420" i="1"/>
  <c r="C420" i="1"/>
  <c r="B420" i="1"/>
  <c r="A420" i="1"/>
  <c r="L419" i="1"/>
  <c r="K419" i="1"/>
  <c r="I419" i="1"/>
  <c r="H419" i="1"/>
  <c r="G419" i="1"/>
  <c r="J419" i="1" s="1"/>
  <c r="F419" i="1"/>
  <c r="E419" i="1"/>
  <c r="D419" i="1"/>
  <c r="C419" i="1"/>
  <c r="B419" i="1"/>
  <c r="A419" i="1"/>
  <c r="L418" i="1"/>
  <c r="K418" i="1"/>
  <c r="I418" i="1"/>
  <c r="H418" i="1"/>
  <c r="G418" i="1"/>
  <c r="F418" i="1"/>
  <c r="E418" i="1"/>
  <c r="D418" i="1"/>
  <c r="C418" i="1"/>
  <c r="B418" i="1"/>
  <c r="A418" i="1"/>
  <c r="L417" i="1"/>
  <c r="K417" i="1"/>
  <c r="I417" i="1"/>
  <c r="H417" i="1"/>
  <c r="G417" i="1"/>
  <c r="J417" i="1" s="1"/>
  <c r="F417" i="1"/>
  <c r="E417" i="1"/>
  <c r="D417" i="1"/>
  <c r="C417" i="1"/>
  <c r="B417" i="1"/>
  <c r="A417" i="1"/>
  <c r="L416" i="1"/>
  <c r="K416" i="1"/>
  <c r="I416" i="1"/>
  <c r="H416" i="1"/>
  <c r="G416" i="1"/>
  <c r="F416" i="1"/>
  <c r="E416" i="1"/>
  <c r="D416" i="1"/>
  <c r="C416" i="1"/>
  <c r="B416" i="1"/>
  <c r="A416" i="1"/>
  <c r="L415" i="1"/>
  <c r="K415" i="1"/>
  <c r="I415" i="1"/>
  <c r="H415" i="1"/>
  <c r="G415" i="1"/>
  <c r="J415" i="1" s="1"/>
  <c r="F415" i="1"/>
  <c r="E415" i="1"/>
  <c r="D415" i="1"/>
  <c r="C415" i="1"/>
  <c r="B415" i="1"/>
  <c r="A415" i="1"/>
  <c r="L414" i="1"/>
  <c r="K414" i="1"/>
  <c r="I414" i="1"/>
  <c r="H414" i="1"/>
  <c r="G414" i="1"/>
  <c r="J414" i="1" s="1"/>
  <c r="F414" i="1"/>
  <c r="E414" i="1"/>
  <c r="D414" i="1"/>
  <c r="C414" i="1"/>
  <c r="B414" i="1"/>
  <c r="A414" i="1"/>
  <c r="L413" i="1"/>
  <c r="K413" i="1"/>
  <c r="I413" i="1"/>
  <c r="H413" i="1"/>
  <c r="G413" i="1"/>
  <c r="F413" i="1"/>
  <c r="E413" i="1"/>
  <c r="D413" i="1"/>
  <c r="C413" i="1"/>
  <c r="B413" i="1"/>
  <c r="A413" i="1"/>
  <c r="L412" i="1"/>
  <c r="K412" i="1"/>
  <c r="I412" i="1"/>
  <c r="H412" i="1"/>
  <c r="G412" i="1"/>
  <c r="J412" i="1" s="1"/>
  <c r="F412" i="1"/>
  <c r="E412" i="1"/>
  <c r="D412" i="1"/>
  <c r="C412" i="1"/>
  <c r="B412" i="1"/>
  <c r="A412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L410" i="1"/>
  <c r="K410" i="1"/>
  <c r="I410" i="1"/>
  <c r="H410" i="1"/>
  <c r="G410" i="1"/>
  <c r="F410" i="1"/>
  <c r="E410" i="1"/>
  <c r="D410" i="1"/>
  <c r="C410" i="1"/>
  <c r="B410" i="1"/>
  <c r="A410" i="1"/>
  <c r="L409" i="1"/>
  <c r="K409" i="1"/>
  <c r="I409" i="1"/>
  <c r="H409" i="1"/>
  <c r="G409" i="1"/>
  <c r="J409" i="1" s="1"/>
  <c r="F409" i="1"/>
  <c r="E409" i="1"/>
  <c r="D409" i="1"/>
  <c r="C409" i="1"/>
  <c r="B409" i="1"/>
  <c r="A409" i="1"/>
  <c r="L408" i="1"/>
  <c r="K408" i="1"/>
  <c r="I408" i="1"/>
  <c r="H408" i="1"/>
  <c r="G408" i="1"/>
  <c r="F408" i="1"/>
  <c r="E408" i="1"/>
  <c r="D408" i="1"/>
  <c r="C408" i="1"/>
  <c r="B408" i="1"/>
  <c r="A408" i="1"/>
  <c r="L407" i="1"/>
  <c r="K407" i="1"/>
  <c r="I407" i="1"/>
  <c r="H407" i="1"/>
  <c r="G407" i="1"/>
  <c r="J407" i="1" s="1"/>
  <c r="F407" i="1"/>
  <c r="E407" i="1"/>
  <c r="D407" i="1"/>
  <c r="C407" i="1"/>
  <c r="B407" i="1"/>
  <c r="A407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L405" i="1"/>
  <c r="K405" i="1"/>
  <c r="I405" i="1"/>
  <c r="H405" i="1"/>
  <c r="G405" i="1"/>
  <c r="F405" i="1"/>
  <c r="E405" i="1"/>
  <c r="D405" i="1"/>
  <c r="C405" i="1"/>
  <c r="B405" i="1"/>
  <c r="A405" i="1"/>
  <c r="L404" i="1"/>
  <c r="K404" i="1"/>
  <c r="I404" i="1"/>
  <c r="H404" i="1"/>
  <c r="G404" i="1"/>
  <c r="J404" i="1" s="1"/>
  <c r="F404" i="1"/>
  <c r="E404" i="1"/>
  <c r="D404" i="1"/>
  <c r="C404" i="1"/>
  <c r="B404" i="1"/>
  <c r="A404" i="1"/>
  <c r="L403" i="1"/>
  <c r="K403" i="1"/>
  <c r="I403" i="1"/>
  <c r="H403" i="1"/>
  <c r="G403" i="1"/>
  <c r="J403" i="1" s="1"/>
  <c r="F403" i="1"/>
  <c r="E403" i="1"/>
  <c r="D403" i="1"/>
  <c r="C403" i="1"/>
  <c r="B403" i="1"/>
  <c r="A403" i="1"/>
  <c r="L402" i="1"/>
  <c r="K402" i="1"/>
  <c r="I402" i="1"/>
  <c r="H402" i="1"/>
  <c r="G402" i="1"/>
  <c r="F402" i="1"/>
  <c r="E402" i="1"/>
  <c r="D402" i="1"/>
  <c r="C402" i="1"/>
  <c r="B402" i="1"/>
  <c r="A402" i="1"/>
  <c r="L401" i="1"/>
  <c r="K401" i="1"/>
  <c r="I401" i="1"/>
  <c r="H401" i="1"/>
  <c r="G401" i="1"/>
  <c r="J401" i="1" s="1"/>
  <c r="F401" i="1"/>
  <c r="E401" i="1"/>
  <c r="D401" i="1"/>
  <c r="C401" i="1"/>
  <c r="B401" i="1"/>
  <c r="A401" i="1"/>
  <c r="L400" i="1"/>
  <c r="K400" i="1"/>
  <c r="I400" i="1"/>
  <c r="H400" i="1"/>
  <c r="G400" i="1"/>
  <c r="J400" i="1" s="1"/>
  <c r="F400" i="1"/>
  <c r="E400" i="1"/>
  <c r="D400" i="1"/>
  <c r="C400" i="1"/>
  <c r="B400" i="1"/>
  <c r="A400" i="1"/>
  <c r="L399" i="1"/>
  <c r="K399" i="1"/>
  <c r="I399" i="1"/>
  <c r="H399" i="1"/>
  <c r="G399" i="1"/>
  <c r="F399" i="1"/>
  <c r="E399" i="1"/>
  <c r="D399" i="1"/>
  <c r="C399" i="1"/>
  <c r="B399" i="1"/>
  <c r="A399" i="1"/>
  <c r="L398" i="1"/>
  <c r="K398" i="1"/>
  <c r="I398" i="1"/>
  <c r="H398" i="1"/>
  <c r="G398" i="1"/>
  <c r="J398" i="1" s="1"/>
  <c r="F398" i="1"/>
  <c r="E398" i="1"/>
  <c r="D398" i="1"/>
  <c r="C398" i="1"/>
  <c r="B398" i="1"/>
  <c r="A398" i="1"/>
  <c r="L397" i="1"/>
  <c r="K397" i="1"/>
  <c r="I397" i="1"/>
  <c r="H397" i="1"/>
  <c r="G397" i="1"/>
  <c r="F397" i="1"/>
  <c r="E397" i="1"/>
  <c r="D397" i="1"/>
  <c r="C397" i="1"/>
  <c r="B397" i="1"/>
  <c r="A397" i="1"/>
  <c r="L396" i="1"/>
  <c r="K396" i="1"/>
  <c r="I396" i="1"/>
  <c r="H396" i="1"/>
  <c r="G396" i="1"/>
  <c r="J396" i="1" s="1"/>
  <c r="F396" i="1"/>
  <c r="E396" i="1"/>
  <c r="D396" i="1"/>
  <c r="C396" i="1"/>
  <c r="B396" i="1"/>
  <c r="A396" i="1"/>
  <c r="L395" i="1"/>
  <c r="K395" i="1"/>
  <c r="I395" i="1"/>
  <c r="H395" i="1"/>
  <c r="G395" i="1"/>
  <c r="J395" i="1" s="1"/>
  <c r="F395" i="1"/>
  <c r="E395" i="1"/>
  <c r="D395" i="1"/>
  <c r="C395" i="1"/>
  <c r="B395" i="1"/>
  <c r="A395" i="1"/>
  <c r="L394" i="1"/>
  <c r="K394" i="1"/>
  <c r="I394" i="1"/>
  <c r="H394" i="1"/>
  <c r="G394" i="1"/>
  <c r="F394" i="1"/>
  <c r="E394" i="1"/>
  <c r="D394" i="1"/>
  <c r="C394" i="1"/>
  <c r="B394" i="1"/>
  <c r="A394" i="1"/>
  <c r="L393" i="1"/>
  <c r="K393" i="1"/>
  <c r="I393" i="1"/>
  <c r="H393" i="1"/>
  <c r="G393" i="1"/>
  <c r="J393" i="1" s="1"/>
  <c r="F393" i="1"/>
  <c r="E393" i="1"/>
  <c r="D393" i="1"/>
  <c r="C393" i="1"/>
  <c r="B393" i="1"/>
  <c r="A393" i="1"/>
  <c r="L392" i="1"/>
  <c r="K392" i="1"/>
  <c r="I392" i="1"/>
  <c r="H392" i="1"/>
  <c r="G392" i="1"/>
  <c r="J392" i="1" s="1"/>
  <c r="F392" i="1"/>
  <c r="E392" i="1"/>
  <c r="D392" i="1"/>
  <c r="C392" i="1"/>
  <c r="B392" i="1"/>
  <c r="A392" i="1"/>
  <c r="L391" i="1"/>
  <c r="K391" i="1"/>
  <c r="I391" i="1"/>
  <c r="H391" i="1"/>
  <c r="G391" i="1"/>
  <c r="F391" i="1"/>
  <c r="E391" i="1"/>
  <c r="D391" i="1"/>
  <c r="C391" i="1"/>
  <c r="B391" i="1"/>
  <c r="A391" i="1"/>
  <c r="L390" i="1"/>
  <c r="K390" i="1"/>
  <c r="I390" i="1"/>
  <c r="H390" i="1"/>
  <c r="G390" i="1"/>
  <c r="J390" i="1" s="1"/>
  <c r="F390" i="1"/>
  <c r="E390" i="1"/>
  <c r="D390" i="1"/>
  <c r="C390" i="1"/>
  <c r="B390" i="1"/>
  <c r="A390" i="1"/>
  <c r="L389" i="1"/>
  <c r="K389" i="1"/>
  <c r="I389" i="1"/>
  <c r="H389" i="1"/>
  <c r="G389" i="1"/>
  <c r="F389" i="1"/>
  <c r="E389" i="1"/>
  <c r="D389" i="1"/>
  <c r="C389" i="1"/>
  <c r="B389" i="1"/>
  <c r="A389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L387" i="1"/>
  <c r="K387" i="1"/>
  <c r="I387" i="1"/>
  <c r="H387" i="1"/>
  <c r="G387" i="1"/>
  <c r="J387" i="1" s="1"/>
  <c r="F387" i="1"/>
  <c r="E387" i="1"/>
  <c r="D387" i="1"/>
  <c r="C387" i="1"/>
  <c r="B387" i="1"/>
  <c r="A387" i="1"/>
  <c r="L386" i="1"/>
  <c r="K386" i="1"/>
  <c r="I386" i="1"/>
  <c r="H386" i="1"/>
  <c r="G386" i="1"/>
  <c r="F386" i="1"/>
  <c r="E386" i="1"/>
  <c r="D386" i="1"/>
  <c r="C386" i="1"/>
  <c r="B386" i="1"/>
  <c r="A386" i="1"/>
  <c r="L385" i="1"/>
  <c r="K385" i="1"/>
  <c r="I385" i="1"/>
  <c r="H385" i="1"/>
  <c r="G385" i="1"/>
  <c r="J385" i="1" s="1"/>
  <c r="F385" i="1"/>
  <c r="E385" i="1"/>
  <c r="D385" i="1"/>
  <c r="C385" i="1"/>
  <c r="B385" i="1"/>
  <c r="A385" i="1"/>
  <c r="L384" i="1"/>
  <c r="K384" i="1"/>
  <c r="I384" i="1"/>
  <c r="H384" i="1"/>
  <c r="G384" i="1"/>
  <c r="F384" i="1"/>
  <c r="E384" i="1"/>
  <c r="D384" i="1"/>
  <c r="C384" i="1"/>
  <c r="B384" i="1"/>
  <c r="A384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L382" i="1"/>
  <c r="K382" i="1"/>
  <c r="I382" i="1"/>
  <c r="H382" i="1"/>
  <c r="G382" i="1"/>
  <c r="J382" i="1" s="1"/>
  <c r="F382" i="1"/>
  <c r="E382" i="1"/>
  <c r="D382" i="1"/>
  <c r="C382" i="1"/>
  <c r="B382" i="1"/>
  <c r="A382" i="1"/>
  <c r="L381" i="1"/>
  <c r="K381" i="1"/>
  <c r="I381" i="1"/>
  <c r="H381" i="1"/>
  <c r="G381" i="1"/>
  <c r="F381" i="1"/>
  <c r="E381" i="1"/>
  <c r="D381" i="1"/>
  <c r="C381" i="1"/>
  <c r="B381" i="1"/>
  <c r="A381" i="1"/>
  <c r="L380" i="1"/>
  <c r="K380" i="1"/>
  <c r="I380" i="1"/>
  <c r="H380" i="1"/>
  <c r="G380" i="1"/>
  <c r="J380" i="1" s="1"/>
  <c r="F380" i="1"/>
  <c r="E380" i="1"/>
  <c r="D380" i="1"/>
  <c r="C380" i="1"/>
  <c r="B380" i="1"/>
  <c r="A380" i="1"/>
  <c r="L379" i="1"/>
  <c r="K379" i="1"/>
  <c r="I379" i="1"/>
  <c r="H379" i="1"/>
  <c r="G379" i="1"/>
  <c r="J379" i="1" s="1"/>
  <c r="F379" i="1"/>
  <c r="E379" i="1"/>
  <c r="D379" i="1"/>
  <c r="C379" i="1"/>
  <c r="B379" i="1"/>
  <c r="A379" i="1"/>
  <c r="L378" i="1"/>
  <c r="K378" i="1"/>
  <c r="I378" i="1"/>
  <c r="H378" i="1"/>
  <c r="G378" i="1"/>
  <c r="F378" i="1"/>
  <c r="E378" i="1"/>
  <c r="D378" i="1"/>
  <c r="C378" i="1"/>
  <c r="B378" i="1"/>
  <c r="A378" i="1"/>
  <c r="L377" i="1"/>
  <c r="K377" i="1"/>
  <c r="I377" i="1"/>
  <c r="H377" i="1"/>
  <c r="G377" i="1"/>
  <c r="J377" i="1" s="1"/>
  <c r="F377" i="1"/>
  <c r="E377" i="1"/>
  <c r="D377" i="1"/>
  <c r="C377" i="1"/>
  <c r="B377" i="1"/>
  <c r="A377" i="1"/>
  <c r="L376" i="1"/>
  <c r="K376" i="1"/>
  <c r="I376" i="1"/>
  <c r="H376" i="1"/>
  <c r="G376" i="1"/>
  <c r="F376" i="1"/>
  <c r="E376" i="1"/>
  <c r="D376" i="1"/>
  <c r="C376" i="1"/>
  <c r="B376" i="1"/>
  <c r="A376" i="1"/>
  <c r="L375" i="1"/>
  <c r="K375" i="1"/>
  <c r="I375" i="1"/>
  <c r="H375" i="1"/>
  <c r="G375" i="1"/>
  <c r="F375" i="1"/>
  <c r="E375" i="1"/>
  <c r="D375" i="1"/>
  <c r="C375" i="1"/>
  <c r="B375" i="1"/>
  <c r="A375" i="1"/>
  <c r="L374" i="1"/>
  <c r="K374" i="1"/>
  <c r="I374" i="1"/>
  <c r="H374" i="1"/>
  <c r="G374" i="1"/>
  <c r="J374" i="1" s="1"/>
  <c r="F374" i="1"/>
  <c r="E374" i="1"/>
  <c r="D374" i="1"/>
  <c r="C374" i="1"/>
  <c r="B374" i="1"/>
  <c r="A374" i="1"/>
  <c r="L373" i="1"/>
  <c r="K373" i="1"/>
  <c r="I373" i="1"/>
  <c r="H373" i="1"/>
  <c r="G373" i="1"/>
  <c r="F373" i="1"/>
  <c r="E373" i="1"/>
  <c r="D373" i="1"/>
  <c r="C373" i="1"/>
  <c r="B373" i="1"/>
  <c r="A373" i="1"/>
  <c r="L372" i="1"/>
  <c r="K372" i="1"/>
  <c r="I372" i="1"/>
  <c r="H372" i="1"/>
  <c r="G372" i="1"/>
  <c r="J372" i="1" s="1"/>
  <c r="F372" i="1"/>
  <c r="E372" i="1"/>
  <c r="D372" i="1"/>
  <c r="C372" i="1"/>
  <c r="B372" i="1"/>
  <c r="A372" i="1"/>
  <c r="L371" i="1"/>
  <c r="K371" i="1"/>
  <c r="I371" i="1"/>
  <c r="H371" i="1"/>
  <c r="G371" i="1"/>
  <c r="J371" i="1" s="1"/>
  <c r="F371" i="1"/>
  <c r="E371" i="1"/>
  <c r="D371" i="1"/>
  <c r="C371" i="1"/>
  <c r="B371" i="1"/>
  <c r="A371" i="1"/>
  <c r="L370" i="1"/>
  <c r="K370" i="1"/>
  <c r="I370" i="1"/>
  <c r="H370" i="1"/>
  <c r="G370" i="1"/>
  <c r="F370" i="1"/>
  <c r="E370" i="1"/>
  <c r="D370" i="1"/>
  <c r="C370" i="1"/>
  <c r="B370" i="1"/>
  <c r="A370" i="1"/>
  <c r="L369" i="1"/>
  <c r="K369" i="1"/>
  <c r="I369" i="1"/>
  <c r="H369" i="1"/>
  <c r="G369" i="1"/>
  <c r="J369" i="1" s="1"/>
  <c r="F369" i="1"/>
  <c r="E369" i="1"/>
  <c r="D369" i="1"/>
  <c r="C369" i="1"/>
  <c r="B369" i="1"/>
  <c r="A369" i="1"/>
  <c r="L368" i="1"/>
  <c r="K368" i="1"/>
  <c r="I368" i="1"/>
  <c r="H368" i="1"/>
  <c r="G368" i="1"/>
  <c r="F368" i="1"/>
  <c r="E368" i="1"/>
  <c r="D368" i="1"/>
  <c r="C368" i="1"/>
  <c r="B368" i="1"/>
  <c r="A368" i="1"/>
  <c r="L367" i="1"/>
  <c r="K367" i="1"/>
  <c r="I367" i="1"/>
  <c r="H367" i="1"/>
  <c r="G367" i="1"/>
  <c r="F367" i="1"/>
  <c r="E367" i="1"/>
  <c r="D367" i="1"/>
  <c r="C367" i="1"/>
  <c r="B367" i="1"/>
  <c r="A367" i="1"/>
  <c r="L366" i="1"/>
  <c r="K366" i="1"/>
  <c r="I366" i="1"/>
  <c r="H366" i="1"/>
  <c r="G366" i="1"/>
  <c r="J366" i="1" s="1"/>
  <c r="F366" i="1"/>
  <c r="E366" i="1"/>
  <c r="D366" i="1"/>
  <c r="C366" i="1"/>
  <c r="B366" i="1"/>
  <c r="A366" i="1"/>
  <c r="L365" i="1"/>
  <c r="K365" i="1"/>
  <c r="I365" i="1"/>
  <c r="H365" i="1"/>
  <c r="G365" i="1"/>
  <c r="F365" i="1"/>
  <c r="E365" i="1"/>
  <c r="D365" i="1"/>
  <c r="C365" i="1"/>
  <c r="B365" i="1"/>
  <c r="A365" i="1"/>
  <c r="L364" i="1"/>
  <c r="K364" i="1"/>
  <c r="I364" i="1"/>
  <c r="H364" i="1"/>
  <c r="G364" i="1"/>
  <c r="J364" i="1" s="1"/>
  <c r="F364" i="1"/>
  <c r="E364" i="1"/>
  <c r="D364" i="1"/>
  <c r="C364" i="1"/>
  <c r="B364" i="1"/>
  <c r="A364" i="1"/>
  <c r="L363" i="1"/>
  <c r="K363" i="1"/>
  <c r="I363" i="1"/>
  <c r="H363" i="1"/>
  <c r="G363" i="1"/>
  <c r="J363" i="1" s="1"/>
  <c r="F363" i="1"/>
  <c r="E363" i="1"/>
  <c r="D363" i="1"/>
  <c r="C363" i="1"/>
  <c r="B363" i="1"/>
  <c r="A363" i="1"/>
  <c r="L362" i="1"/>
  <c r="K362" i="1"/>
  <c r="I362" i="1"/>
  <c r="H362" i="1"/>
  <c r="G362" i="1"/>
  <c r="F362" i="1"/>
  <c r="E362" i="1"/>
  <c r="D362" i="1"/>
  <c r="C362" i="1"/>
  <c r="B362" i="1"/>
  <c r="A362" i="1"/>
  <c r="L361" i="1"/>
  <c r="K361" i="1"/>
  <c r="I361" i="1"/>
  <c r="H361" i="1"/>
  <c r="G361" i="1"/>
  <c r="J361" i="1" s="1"/>
  <c r="F361" i="1"/>
  <c r="E361" i="1"/>
  <c r="D361" i="1"/>
  <c r="C361" i="1"/>
  <c r="B361" i="1"/>
  <c r="A361" i="1"/>
  <c r="L360" i="1"/>
  <c r="K360" i="1"/>
  <c r="I360" i="1"/>
  <c r="H360" i="1"/>
  <c r="G360" i="1"/>
  <c r="F360" i="1"/>
  <c r="E360" i="1"/>
  <c r="D360" i="1"/>
  <c r="C360" i="1"/>
  <c r="B360" i="1"/>
  <c r="A360" i="1"/>
  <c r="L359" i="1"/>
  <c r="K359" i="1"/>
  <c r="I359" i="1"/>
  <c r="H359" i="1"/>
  <c r="G359" i="1"/>
  <c r="J359" i="1" s="1"/>
  <c r="F359" i="1"/>
  <c r="E359" i="1"/>
  <c r="D359" i="1"/>
  <c r="C359" i="1"/>
  <c r="B359" i="1"/>
  <c r="A359" i="1"/>
  <c r="L358" i="1"/>
  <c r="K358" i="1"/>
  <c r="I358" i="1"/>
  <c r="H358" i="1"/>
  <c r="G358" i="1"/>
  <c r="J358" i="1" s="1"/>
  <c r="F358" i="1"/>
  <c r="E358" i="1"/>
  <c r="D358" i="1"/>
  <c r="C358" i="1"/>
  <c r="B358" i="1"/>
  <c r="A358" i="1"/>
  <c r="L357" i="1"/>
  <c r="K357" i="1"/>
  <c r="I357" i="1"/>
  <c r="H357" i="1"/>
  <c r="G357" i="1"/>
  <c r="F357" i="1"/>
  <c r="E357" i="1"/>
  <c r="D357" i="1"/>
  <c r="C357" i="1"/>
  <c r="B357" i="1"/>
  <c r="A357" i="1"/>
  <c r="L356" i="1"/>
  <c r="K356" i="1"/>
  <c r="I356" i="1"/>
  <c r="H356" i="1"/>
  <c r="G356" i="1"/>
  <c r="J356" i="1" s="1"/>
  <c r="F356" i="1"/>
  <c r="E356" i="1"/>
  <c r="D356" i="1"/>
  <c r="C356" i="1"/>
  <c r="B356" i="1"/>
  <c r="A356" i="1"/>
  <c r="L355" i="1"/>
  <c r="K355" i="1"/>
  <c r="I355" i="1"/>
  <c r="H355" i="1"/>
  <c r="G355" i="1"/>
  <c r="J355" i="1" s="1"/>
  <c r="F355" i="1"/>
  <c r="E355" i="1"/>
  <c r="D355" i="1"/>
  <c r="C355" i="1"/>
  <c r="B355" i="1"/>
  <c r="A355" i="1"/>
  <c r="L354" i="1"/>
  <c r="K354" i="1"/>
  <c r="I354" i="1"/>
  <c r="H354" i="1"/>
  <c r="G354" i="1"/>
  <c r="F354" i="1"/>
  <c r="E354" i="1"/>
  <c r="D354" i="1"/>
  <c r="C354" i="1"/>
  <c r="B354" i="1"/>
  <c r="A354" i="1"/>
  <c r="L353" i="1"/>
  <c r="K353" i="1"/>
  <c r="I353" i="1"/>
  <c r="H353" i="1"/>
  <c r="G353" i="1"/>
  <c r="J353" i="1" s="1"/>
  <c r="F353" i="1"/>
  <c r="E353" i="1"/>
  <c r="D353" i="1"/>
  <c r="C353" i="1"/>
  <c r="B353" i="1"/>
  <c r="A353" i="1"/>
  <c r="L352" i="1"/>
  <c r="K352" i="1"/>
  <c r="I352" i="1"/>
  <c r="H352" i="1"/>
  <c r="G352" i="1"/>
  <c r="F352" i="1"/>
  <c r="E352" i="1"/>
  <c r="D352" i="1"/>
  <c r="C352" i="1"/>
  <c r="B352" i="1"/>
  <c r="A352" i="1"/>
  <c r="L351" i="1"/>
  <c r="K351" i="1"/>
  <c r="I351" i="1"/>
  <c r="H351" i="1"/>
  <c r="G351" i="1"/>
  <c r="J351" i="1" s="1"/>
  <c r="F351" i="1"/>
  <c r="E351" i="1"/>
  <c r="D351" i="1"/>
  <c r="C351" i="1"/>
  <c r="B351" i="1"/>
  <c r="A351" i="1"/>
  <c r="L350" i="1"/>
  <c r="K350" i="1"/>
  <c r="I350" i="1"/>
  <c r="H350" i="1"/>
  <c r="G350" i="1"/>
  <c r="J350" i="1" s="1"/>
  <c r="F350" i="1"/>
  <c r="E350" i="1"/>
  <c r="D350" i="1"/>
  <c r="C350" i="1"/>
  <c r="B350" i="1"/>
  <c r="A350" i="1"/>
  <c r="L349" i="1"/>
  <c r="K349" i="1"/>
  <c r="I349" i="1"/>
  <c r="H349" i="1"/>
  <c r="G349" i="1"/>
  <c r="F349" i="1"/>
  <c r="E349" i="1"/>
  <c r="D349" i="1"/>
  <c r="C349" i="1"/>
  <c r="B349" i="1"/>
  <c r="A349" i="1"/>
  <c r="L348" i="1"/>
  <c r="K348" i="1"/>
  <c r="I348" i="1"/>
  <c r="H348" i="1"/>
  <c r="G348" i="1"/>
  <c r="J348" i="1" s="1"/>
  <c r="F348" i="1"/>
  <c r="E348" i="1"/>
  <c r="D348" i="1"/>
  <c r="C348" i="1"/>
  <c r="B348" i="1"/>
  <c r="A348" i="1"/>
  <c r="L347" i="1"/>
  <c r="K347" i="1"/>
  <c r="I347" i="1"/>
  <c r="H347" i="1"/>
  <c r="G347" i="1"/>
  <c r="J347" i="1" s="1"/>
  <c r="F347" i="1"/>
  <c r="E347" i="1"/>
  <c r="D347" i="1"/>
  <c r="C347" i="1"/>
  <c r="B347" i="1"/>
  <c r="A347" i="1"/>
  <c r="L346" i="1"/>
  <c r="K346" i="1"/>
  <c r="I346" i="1"/>
  <c r="H346" i="1"/>
  <c r="G346" i="1"/>
  <c r="F346" i="1"/>
  <c r="E346" i="1"/>
  <c r="D346" i="1"/>
  <c r="C346" i="1"/>
  <c r="B346" i="1"/>
  <c r="A346" i="1"/>
  <c r="L345" i="1"/>
  <c r="K345" i="1"/>
  <c r="I345" i="1"/>
  <c r="H345" i="1"/>
  <c r="G345" i="1"/>
  <c r="J345" i="1" s="1"/>
  <c r="F345" i="1"/>
  <c r="E345" i="1"/>
  <c r="D345" i="1"/>
  <c r="C345" i="1"/>
  <c r="B345" i="1"/>
  <c r="A345" i="1"/>
  <c r="L344" i="1"/>
  <c r="K344" i="1"/>
  <c r="I344" i="1"/>
  <c r="H344" i="1"/>
  <c r="G344" i="1"/>
  <c r="F344" i="1"/>
  <c r="E344" i="1"/>
  <c r="D344" i="1"/>
  <c r="C344" i="1"/>
  <c r="B344" i="1"/>
  <c r="A344" i="1"/>
  <c r="L343" i="1"/>
  <c r="K343" i="1"/>
  <c r="I343" i="1"/>
  <c r="H343" i="1"/>
  <c r="G343" i="1"/>
  <c r="J343" i="1" s="1"/>
  <c r="F343" i="1"/>
  <c r="E343" i="1"/>
  <c r="D343" i="1"/>
  <c r="C343" i="1"/>
  <c r="B343" i="1"/>
  <c r="A343" i="1"/>
  <c r="L342" i="1"/>
  <c r="K342" i="1"/>
  <c r="I342" i="1"/>
  <c r="H342" i="1"/>
  <c r="G342" i="1"/>
  <c r="J342" i="1" s="1"/>
  <c r="F342" i="1"/>
  <c r="E342" i="1"/>
  <c r="D342" i="1"/>
  <c r="C342" i="1"/>
  <c r="B342" i="1"/>
  <c r="A342" i="1"/>
  <c r="L341" i="1"/>
  <c r="K341" i="1"/>
  <c r="I341" i="1"/>
  <c r="H341" i="1"/>
  <c r="G341" i="1"/>
  <c r="F341" i="1"/>
  <c r="E341" i="1"/>
  <c r="D341" i="1"/>
  <c r="C341" i="1"/>
  <c r="B341" i="1"/>
  <c r="A341" i="1"/>
  <c r="L340" i="1"/>
  <c r="K340" i="1"/>
  <c r="I340" i="1"/>
  <c r="H340" i="1"/>
  <c r="G340" i="1"/>
  <c r="J340" i="1" s="1"/>
  <c r="F340" i="1"/>
  <c r="E340" i="1"/>
  <c r="D340" i="1"/>
  <c r="C340" i="1"/>
  <c r="B340" i="1"/>
  <c r="A340" i="1"/>
  <c r="L339" i="1"/>
  <c r="K339" i="1"/>
  <c r="I339" i="1"/>
  <c r="H339" i="1"/>
  <c r="G339" i="1"/>
  <c r="J339" i="1" s="1"/>
  <c r="F339" i="1"/>
  <c r="E339" i="1"/>
  <c r="D339" i="1"/>
  <c r="C339" i="1"/>
  <c r="B339" i="1"/>
  <c r="A339" i="1"/>
  <c r="L338" i="1"/>
  <c r="K338" i="1"/>
  <c r="I338" i="1"/>
  <c r="H338" i="1"/>
  <c r="G338" i="1"/>
  <c r="F338" i="1"/>
  <c r="E338" i="1"/>
  <c r="D338" i="1"/>
  <c r="C338" i="1"/>
  <c r="B338" i="1"/>
  <c r="A338" i="1"/>
  <c r="L337" i="1"/>
  <c r="K337" i="1"/>
  <c r="I337" i="1"/>
  <c r="H337" i="1"/>
  <c r="G337" i="1"/>
  <c r="J337" i="1" s="1"/>
  <c r="F337" i="1"/>
  <c r="E337" i="1"/>
  <c r="D337" i="1"/>
  <c r="C337" i="1"/>
  <c r="B337" i="1"/>
  <c r="A337" i="1"/>
  <c r="L336" i="1"/>
  <c r="K336" i="1"/>
  <c r="I336" i="1"/>
  <c r="H336" i="1"/>
  <c r="G336" i="1"/>
  <c r="F336" i="1"/>
  <c r="E336" i="1"/>
  <c r="D336" i="1"/>
  <c r="C336" i="1"/>
  <c r="B336" i="1"/>
  <c r="A336" i="1"/>
  <c r="L335" i="1"/>
  <c r="K335" i="1"/>
  <c r="I335" i="1"/>
  <c r="H335" i="1"/>
  <c r="G335" i="1"/>
  <c r="J335" i="1" s="1"/>
  <c r="F335" i="1"/>
  <c r="E335" i="1"/>
  <c r="D335" i="1"/>
  <c r="C335" i="1"/>
  <c r="B335" i="1"/>
  <c r="A335" i="1"/>
  <c r="L334" i="1"/>
  <c r="K334" i="1"/>
  <c r="I334" i="1"/>
  <c r="H334" i="1"/>
  <c r="G334" i="1"/>
  <c r="J334" i="1" s="1"/>
  <c r="F334" i="1"/>
  <c r="E334" i="1"/>
  <c r="D334" i="1"/>
  <c r="C334" i="1"/>
  <c r="B334" i="1"/>
  <c r="A334" i="1"/>
  <c r="L333" i="1"/>
  <c r="K333" i="1"/>
  <c r="I333" i="1"/>
  <c r="H333" i="1"/>
  <c r="G333" i="1"/>
  <c r="F333" i="1"/>
  <c r="E333" i="1"/>
  <c r="D333" i="1"/>
  <c r="C333" i="1"/>
  <c r="B333" i="1"/>
  <c r="A333" i="1"/>
  <c r="L332" i="1"/>
  <c r="K332" i="1"/>
  <c r="I332" i="1"/>
  <c r="H332" i="1"/>
  <c r="G332" i="1"/>
  <c r="J332" i="1" s="1"/>
  <c r="F332" i="1"/>
  <c r="E332" i="1"/>
  <c r="D332" i="1"/>
  <c r="C332" i="1"/>
  <c r="B332" i="1"/>
  <c r="A332" i="1"/>
  <c r="L331" i="1"/>
  <c r="K331" i="1"/>
  <c r="I331" i="1"/>
  <c r="H331" i="1"/>
  <c r="G331" i="1"/>
  <c r="J331" i="1" s="1"/>
  <c r="F331" i="1"/>
  <c r="E331" i="1"/>
  <c r="D331" i="1"/>
  <c r="C331" i="1"/>
  <c r="B331" i="1"/>
  <c r="A331" i="1"/>
  <c r="L330" i="1"/>
  <c r="K330" i="1"/>
  <c r="I330" i="1"/>
  <c r="H330" i="1"/>
  <c r="G330" i="1"/>
  <c r="F330" i="1"/>
  <c r="E330" i="1"/>
  <c r="D330" i="1"/>
  <c r="C330" i="1"/>
  <c r="B330" i="1"/>
  <c r="A330" i="1"/>
  <c r="L329" i="1"/>
  <c r="K329" i="1"/>
  <c r="I329" i="1"/>
  <c r="H329" i="1"/>
  <c r="G329" i="1"/>
  <c r="J329" i="1" s="1"/>
  <c r="F329" i="1"/>
  <c r="E329" i="1"/>
  <c r="D329" i="1"/>
  <c r="C329" i="1"/>
  <c r="B329" i="1"/>
  <c r="A329" i="1"/>
  <c r="L328" i="1"/>
  <c r="K328" i="1"/>
  <c r="I328" i="1"/>
  <c r="H328" i="1"/>
  <c r="G328" i="1"/>
  <c r="F328" i="1"/>
  <c r="E328" i="1"/>
  <c r="D328" i="1"/>
  <c r="C328" i="1"/>
  <c r="B328" i="1"/>
  <c r="A328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L326" i="1"/>
  <c r="K326" i="1"/>
  <c r="I326" i="1"/>
  <c r="H326" i="1"/>
  <c r="G326" i="1"/>
  <c r="J326" i="1" s="1"/>
  <c r="F326" i="1"/>
  <c r="E326" i="1"/>
  <c r="D326" i="1"/>
  <c r="C326" i="1"/>
  <c r="B326" i="1"/>
  <c r="A326" i="1"/>
  <c r="L325" i="1"/>
  <c r="K325" i="1"/>
  <c r="I325" i="1"/>
  <c r="H325" i="1"/>
  <c r="G325" i="1"/>
  <c r="F325" i="1"/>
  <c r="E325" i="1"/>
  <c r="D325" i="1"/>
  <c r="C325" i="1"/>
  <c r="B325" i="1"/>
  <c r="A325" i="1"/>
  <c r="L324" i="1"/>
  <c r="K324" i="1"/>
  <c r="I324" i="1"/>
  <c r="H324" i="1"/>
  <c r="G324" i="1"/>
  <c r="J324" i="1" s="1"/>
  <c r="F324" i="1"/>
  <c r="E324" i="1"/>
  <c r="D324" i="1"/>
  <c r="C324" i="1"/>
  <c r="B324" i="1"/>
  <c r="A324" i="1"/>
  <c r="L323" i="1"/>
  <c r="K323" i="1"/>
  <c r="I323" i="1"/>
  <c r="H323" i="1"/>
  <c r="G323" i="1"/>
  <c r="J323" i="1" s="1"/>
  <c r="F323" i="1"/>
  <c r="E323" i="1"/>
  <c r="D323" i="1"/>
  <c r="C323" i="1"/>
  <c r="B323" i="1"/>
  <c r="A323" i="1"/>
  <c r="L322" i="1"/>
  <c r="K322" i="1"/>
  <c r="I322" i="1"/>
  <c r="H322" i="1"/>
  <c r="G322" i="1"/>
  <c r="F322" i="1"/>
  <c r="E322" i="1"/>
  <c r="D322" i="1"/>
  <c r="C322" i="1"/>
  <c r="B322" i="1"/>
  <c r="A322" i="1"/>
  <c r="L321" i="1"/>
  <c r="K321" i="1"/>
  <c r="I321" i="1"/>
  <c r="H321" i="1"/>
  <c r="G321" i="1"/>
  <c r="J321" i="1" s="1"/>
  <c r="F321" i="1"/>
  <c r="E321" i="1"/>
  <c r="D321" i="1"/>
  <c r="C321" i="1"/>
  <c r="B321" i="1"/>
  <c r="A321" i="1"/>
  <c r="L320" i="1"/>
  <c r="K320" i="1"/>
  <c r="I320" i="1"/>
  <c r="H320" i="1"/>
  <c r="G320" i="1"/>
  <c r="F320" i="1"/>
  <c r="E320" i="1"/>
  <c r="D320" i="1"/>
  <c r="C320" i="1"/>
  <c r="B320" i="1"/>
  <c r="A320" i="1"/>
  <c r="L319" i="1"/>
  <c r="K319" i="1"/>
  <c r="I319" i="1"/>
  <c r="H319" i="1"/>
  <c r="G319" i="1"/>
  <c r="J319" i="1" s="1"/>
  <c r="F319" i="1"/>
  <c r="E319" i="1"/>
  <c r="D319" i="1"/>
  <c r="C319" i="1"/>
  <c r="B319" i="1"/>
  <c r="A319" i="1"/>
  <c r="L318" i="1"/>
  <c r="K318" i="1"/>
  <c r="I318" i="1"/>
  <c r="H318" i="1"/>
  <c r="G318" i="1"/>
  <c r="J318" i="1" s="1"/>
  <c r="F318" i="1"/>
  <c r="E318" i="1"/>
  <c r="D318" i="1"/>
  <c r="C318" i="1"/>
  <c r="B318" i="1"/>
  <c r="A318" i="1"/>
  <c r="L317" i="1"/>
  <c r="K317" i="1"/>
  <c r="I317" i="1"/>
  <c r="H317" i="1"/>
  <c r="G317" i="1"/>
  <c r="F317" i="1"/>
  <c r="E317" i="1"/>
  <c r="D317" i="1"/>
  <c r="C317" i="1"/>
  <c r="B317" i="1"/>
  <c r="A317" i="1"/>
  <c r="L316" i="1"/>
  <c r="K316" i="1"/>
  <c r="I316" i="1"/>
  <c r="H316" i="1"/>
  <c r="G316" i="1"/>
  <c r="J316" i="1" s="1"/>
  <c r="F316" i="1"/>
  <c r="E316" i="1"/>
  <c r="D316" i="1"/>
  <c r="C316" i="1"/>
  <c r="B316" i="1"/>
  <c r="A316" i="1"/>
  <c r="L315" i="1"/>
  <c r="K315" i="1"/>
  <c r="I315" i="1"/>
  <c r="H315" i="1"/>
  <c r="G315" i="1"/>
  <c r="J315" i="1" s="1"/>
  <c r="F315" i="1"/>
  <c r="E315" i="1"/>
  <c r="D315" i="1"/>
  <c r="C315" i="1"/>
  <c r="B315" i="1"/>
  <c r="A315" i="1"/>
  <c r="L314" i="1"/>
  <c r="K314" i="1"/>
  <c r="I314" i="1"/>
  <c r="H314" i="1"/>
  <c r="G314" i="1"/>
  <c r="F314" i="1"/>
  <c r="E314" i="1"/>
  <c r="D314" i="1"/>
  <c r="C314" i="1"/>
  <c r="B314" i="1"/>
  <c r="A314" i="1"/>
  <c r="L313" i="1"/>
  <c r="K313" i="1"/>
  <c r="I313" i="1"/>
  <c r="H313" i="1"/>
  <c r="G313" i="1"/>
  <c r="J313" i="1" s="1"/>
  <c r="F313" i="1"/>
  <c r="E313" i="1"/>
  <c r="D313" i="1"/>
  <c r="C313" i="1"/>
  <c r="B313" i="1"/>
  <c r="A313" i="1"/>
  <c r="L312" i="1"/>
  <c r="K312" i="1"/>
  <c r="I312" i="1"/>
  <c r="H312" i="1"/>
  <c r="G312" i="1"/>
  <c r="F312" i="1"/>
  <c r="E312" i="1"/>
  <c r="D312" i="1"/>
  <c r="C312" i="1"/>
  <c r="B312" i="1"/>
  <c r="A312" i="1"/>
  <c r="L311" i="1"/>
  <c r="K311" i="1"/>
  <c r="I311" i="1"/>
  <c r="H311" i="1"/>
  <c r="G311" i="1"/>
  <c r="J311" i="1" s="1"/>
  <c r="F311" i="1"/>
  <c r="E311" i="1"/>
  <c r="D311" i="1"/>
  <c r="C311" i="1"/>
  <c r="B311" i="1"/>
  <c r="A311" i="1"/>
  <c r="L310" i="1"/>
  <c r="K310" i="1"/>
  <c r="I310" i="1"/>
  <c r="H310" i="1"/>
  <c r="G310" i="1"/>
  <c r="J310" i="1" s="1"/>
  <c r="F310" i="1"/>
  <c r="E310" i="1"/>
  <c r="D310" i="1"/>
  <c r="C310" i="1"/>
  <c r="B310" i="1"/>
  <c r="A310" i="1"/>
  <c r="L309" i="1"/>
  <c r="K309" i="1"/>
  <c r="I309" i="1"/>
  <c r="H309" i="1"/>
  <c r="G309" i="1"/>
  <c r="F309" i="1"/>
  <c r="E309" i="1"/>
  <c r="D309" i="1"/>
  <c r="C309" i="1"/>
  <c r="B309" i="1"/>
  <c r="A309" i="1"/>
  <c r="L308" i="1"/>
  <c r="K308" i="1"/>
  <c r="I308" i="1"/>
  <c r="H308" i="1"/>
  <c r="G308" i="1"/>
  <c r="J308" i="1" s="1"/>
  <c r="F308" i="1"/>
  <c r="E308" i="1"/>
  <c r="D308" i="1"/>
  <c r="C308" i="1"/>
  <c r="B308" i="1"/>
  <c r="A308" i="1"/>
  <c r="L307" i="1"/>
  <c r="K307" i="1"/>
  <c r="I307" i="1"/>
  <c r="H307" i="1"/>
  <c r="G307" i="1"/>
  <c r="J307" i="1" s="1"/>
  <c r="F307" i="1"/>
  <c r="E307" i="1"/>
  <c r="D307" i="1"/>
  <c r="C307" i="1"/>
  <c r="B307" i="1"/>
  <c r="A307" i="1"/>
  <c r="L306" i="1"/>
  <c r="K306" i="1"/>
  <c r="I306" i="1"/>
  <c r="H306" i="1"/>
  <c r="G306" i="1"/>
  <c r="F306" i="1"/>
  <c r="E306" i="1"/>
  <c r="D306" i="1"/>
  <c r="C306" i="1"/>
  <c r="B306" i="1"/>
  <c r="A306" i="1"/>
  <c r="L305" i="1"/>
  <c r="K305" i="1"/>
  <c r="I305" i="1"/>
  <c r="H305" i="1"/>
  <c r="G305" i="1"/>
  <c r="J305" i="1" s="1"/>
  <c r="F305" i="1"/>
  <c r="E305" i="1"/>
  <c r="D305" i="1"/>
  <c r="C305" i="1"/>
  <c r="B305" i="1"/>
  <c r="A305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L303" i="1"/>
  <c r="K303" i="1"/>
  <c r="I303" i="1"/>
  <c r="H303" i="1"/>
  <c r="G303" i="1"/>
  <c r="J303" i="1" s="1"/>
  <c r="F303" i="1"/>
  <c r="E303" i="1"/>
  <c r="D303" i="1"/>
  <c r="C303" i="1"/>
  <c r="B303" i="1"/>
  <c r="A303" i="1"/>
  <c r="L302" i="1"/>
  <c r="K302" i="1"/>
  <c r="I302" i="1"/>
  <c r="H302" i="1"/>
  <c r="G302" i="1"/>
  <c r="J302" i="1" s="1"/>
  <c r="F302" i="1"/>
  <c r="E302" i="1"/>
  <c r="D302" i="1"/>
  <c r="C302" i="1"/>
  <c r="B302" i="1"/>
  <c r="A302" i="1"/>
  <c r="L301" i="1"/>
  <c r="K301" i="1"/>
  <c r="I301" i="1"/>
  <c r="H301" i="1"/>
  <c r="G301" i="1"/>
  <c r="F301" i="1"/>
  <c r="E301" i="1"/>
  <c r="D301" i="1"/>
  <c r="C301" i="1"/>
  <c r="B301" i="1"/>
  <c r="A301" i="1"/>
  <c r="L300" i="1"/>
  <c r="K300" i="1"/>
  <c r="I300" i="1"/>
  <c r="H300" i="1"/>
  <c r="G300" i="1"/>
  <c r="J300" i="1" s="1"/>
  <c r="F300" i="1"/>
  <c r="E300" i="1"/>
  <c r="D300" i="1"/>
  <c r="C300" i="1"/>
  <c r="B300" i="1"/>
  <c r="A300" i="1"/>
  <c r="L299" i="1"/>
  <c r="K299" i="1"/>
  <c r="I299" i="1"/>
  <c r="H299" i="1"/>
  <c r="G299" i="1"/>
  <c r="J299" i="1" s="1"/>
  <c r="F299" i="1"/>
  <c r="E299" i="1"/>
  <c r="D299" i="1"/>
  <c r="C299" i="1"/>
  <c r="B299" i="1"/>
  <c r="A299" i="1"/>
  <c r="L298" i="1"/>
  <c r="K298" i="1"/>
  <c r="I298" i="1"/>
  <c r="H298" i="1"/>
  <c r="G298" i="1"/>
  <c r="F298" i="1"/>
  <c r="E298" i="1"/>
  <c r="D298" i="1"/>
  <c r="C298" i="1"/>
  <c r="B298" i="1"/>
  <c r="A298" i="1"/>
  <c r="L297" i="1"/>
  <c r="K297" i="1"/>
  <c r="I297" i="1"/>
  <c r="H297" i="1"/>
  <c r="G297" i="1"/>
  <c r="J297" i="1" s="1"/>
  <c r="F297" i="1"/>
  <c r="E297" i="1"/>
  <c r="D297" i="1"/>
  <c r="C297" i="1"/>
  <c r="B297" i="1"/>
  <c r="A297" i="1"/>
  <c r="L296" i="1"/>
  <c r="K296" i="1"/>
  <c r="I296" i="1"/>
  <c r="H296" i="1"/>
  <c r="G296" i="1"/>
  <c r="J296" i="1" s="1"/>
  <c r="F296" i="1"/>
  <c r="E296" i="1"/>
  <c r="D296" i="1"/>
  <c r="C296" i="1"/>
  <c r="B296" i="1"/>
  <c r="A296" i="1"/>
  <c r="L295" i="1"/>
  <c r="K295" i="1"/>
  <c r="I295" i="1"/>
  <c r="H295" i="1"/>
  <c r="G295" i="1"/>
  <c r="J295" i="1" s="1"/>
  <c r="F295" i="1"/>
  <c r="E295" i="1"/>
  <c r="D295" i="1"/>
  <c r="C295" i="1"/>
  <c r="B295" i="1"/>
  <c r="A295" i="1"/>
  <c r="L294" i="1"/>
  <c r="K294" i="1"/>
  <c r="I294" i="1"/>
  <c r="H294" i="1"/>
  <c r="G294" i="1"/>
  <c r="J294" i="1" s="1"/>
  <c r="F294" i="1"/>
  <c r="E294" i="1"/>
  <c r="D294" i="1"/>
  <c r="C294" i="1"/>
  <c r="B294" i="1"/>
  <c r="A294" i="1"/>
  <c r="L293" i="1"/>
  <c r="K293" i="1"/>
  <c r="I293" i="1"/>
  <c r="H293" i="1"/>
  <c r="G293" i="1"/>
  <c r="F293" i="1"/>
  <c r="E293" i="1"/>
  <c r="D293" i="1"/>
  <c r="C293" i="1"/>
  <c r="B293" i="1"/>
  <c r="A293" i="1"/>
  <c r="L292" i="1"/>
  <c r="K292" i="1"/>
  <c r="I292" i="1"/>
  <c r="H292" i="1"/>
  <c r="G292" i="1"/>
  <c r="J292" i="1" s="1"/>
  <c r="F292" i="1"/>
  <c r="E292" i="1"/>
  <c r="D292" i="1"/>
  <c r="C292" i="1"/>
  <c r="B292" i="1"/>
  <c r="A292" i="1"/>
  <c r="L291" i="1"/>
  <c r="K291" i="1"/>
  <c r="I291" i="1"/>
  <c r="H291" i="1"/>
  <c r="G291" i="1"/>
  <c r="J291" i="1" s="1"/>
  <c r="F291" i="1"/>
  <c r="E291" i="1"/>
  <c r="D291" i="1"/>
  <c r="C291" i="1"/>
  <c r="B291" i="1"/>
  <c r="A291" i="1"/>
  <c r="L290" i="1"/>
  <c r="K290" i="1"/>
  <c r="I290" i="1"/>
  <c r="H290" i="1"/>
  <c r="G290" i="1"/>
  <c r="F290" i="1"/>
  <c r="E290" i="1"/>
  <c r="D290" i="1"/>
  <c r="C290" i="1"/>
  <c r="B290" i="1"/>
  <c r="A290" i="1"/>
  <c r="L289" i="1"/>
  <c r="K289" i="1"/>
  <c r="I289" i="1"/>
  <c r="H289" i="1"/>
  <c r="G289" i="1"/>
  <c r="J289" i="1" s="1"/>
  <c r="F289" i="1"/>
  <c r="E289" i="1"/>
  <c r="D289" i="1"/>
  <c r="C289" i="1"/>
  <c r="B289" i="1"/>
  <c r="A289" i="1"/>
  <c r="L288" i="1"/>
  <c r="K288" i="1"/>
  <c r="I288" i="1"/>
  <c r="H288" i="1"/>
  <c r="G288" i="1"/>
  <c r="J288" i="1" s="1"/>
  <c r="F288" i="1"/>
  <c r="E288" i="1"/>
  <c r="D288" i="1"/>
  <c r="C288" i="1"/>
  <c r="B288" i="1"/>
  <c r="A288" i="1"/>
  <c r="L287" i="1"/>
  <c r="K287" i="1"/>
  <c r="I287" i="1"/>
  <c r="H287" i="1"/>
  <c r="G287" i="1"/>
  <c r="J287" i="1" s="1"/>
  <c r="F287" i="1"/>
  <c r="E287" i="1"/>
  <c r="D287" i="1"/>
  <c r="C287" i="1"/>
  <c r="B287" i="1"/>
  <c r="A287" i="1"/>
  <c r="L286" i="1"/>
  <c r="K286" i="1"/>
  <c r="I286" i="1"/>
  <c r="H286" i="1"/>
  <c r="G286" i="1"/>
  <c r="J286" i="1" s="1"/>
  <c r="F286" i="1"/>
  <c r="E286" i="1"/>
  <c r="D286" i="1"/>
  <c r="C286" i="1"/>
  <c r="B286" i="1"/>
  <c r="A286" i="1"/>
  <c r="L285" i="1"/>
  <c r="K285" i="1"/>
  <c r="I285" i="1"/>
  <c r="H285" i="1"/>
  <c r="G285" i="1"/>
  <c r="F285" i="1"/>
  <c r="E285" i="1"/>
  <c r="D285" i="1"/>
  <c r="C285" i="1"/>
  <c r="B285" i="1"/>
  <c r="A285" i="1"/>
  <c r="L284" i="1"/>
  <c r="K284" i="1"/>
  <c r="I284" i="1"/>
  <c r="H284" i="1"/>
  <c r="G284" i="1"/>
  <c r="J284" i="1" s="1"/>
  <c r="F284" i="1"/>
  <c r="E284" i="1"/>
  <c r="D284" i="1"/>
  <c r="C284" i="1"/>
  <c r="B284" i="1"/>
  <c r="A284" i="1"/>
  <c r="L283" i="1"/>
  <c r="K283" i="1"/>
  <c r="I283" i="1"/>
  <c r="H283" i="1"/>
  <c r="G283" i="1"/>
  <c r="J283" i="1" s="1"/>
  <c r="F283" i="1"/>
  <c r="E283" i="1"/>
  <c r="D283" i="1"/>
  <c r="C283" i="1"/>
  <c r="B283" i="1"/>
  <c r="A283" i="1"/>
  <c r="L282" i="1"/>
  <c r="K282" i="1"/>
  <c r="I282" i="1"/>
  <c r="H282" i="1"/>
  <c r="G282" i="1"/>
  <c r="F282" i="1"/>
  <c r="E282" i="1"/>
  <c r="D282" i="1"/>
  <c r="C282" i="1"/>
  <c r="B282" i="1"/>
  <c r="A282" i="1"/>
  <c r="L281" i="1"/>
  <c r="K281" i="1"/>
  <c r="I281" i="1"/>
  <c r="H281" i="1"/>
  <c r="G281" i="1"/>
  <c r="J281" i="1" s="1"/>
  <c r="F281" i="1"/>
  <c r="E281" i="1"/>
  <c r="D281" i="1"/>
  <c r="C281" i="1"/>
  <c r="B281" i="1"/>
  <c r="A281" i="1"/>
  <c r="L280" i="1"/>
  <c r="K280" i="1"/>
  <c r="I280" i="1"/>
  <c r="H280" i="1"/>
  <c r="G280" i="1"/>
  <c r="J280" i="1" s="1"/>
  <c r="F280" i="1"/>
  <c r="E280" i="1"/>
  <c r="D280" i="1"/>
  <c r="C280" i="1"/>
  <c r="B280" i="1"/>
  <c r="A280" i="1"/>
  <c r="L279" i="1"/>
  <c r="K279" i="1"/>
  <c r="I279" i="1"/>
  <c r="H279" i="1"/>
  <c r="G279" i="1"/>
  <c r="J279" i="1" s="1"/>
  <c r="F279" i="1"/>
  <c r="E279" i="1"/>
  <c r="D279" i="1"/>
  <c r="C279" i="1"/>
  <c r="B279" i="1"/>
  <c r="A279" i="1"/>
  <c r="L278" i="1"/>
  <c r="K278" i="1"/>
  <c r="I278" i="1"/>
  <c r="H278" i="1"/>
  <c r="G278" i="1"/>
  <c r="J278" i="1" s="1"/>
  <c r="F278" i="1"/>
  <c r="E278" i="1"/>
  <c r="D278" i="1"/>
  <c r="C278" i="1"/>
  <c r="B278" i="1"/>
  <c r="A278" i="1"/>
  <c r="L277" i="1"/>
  <c r="K277" i="1"/>
  <c r="I277" i="1"/>
  <c r="H277" i="1"/>
  <c r="G277" i="1"/>
  <c r="F277" i="1"/>
  <c r="E277" i="1"/>
  <c r="D277" i="1"/>
  <c r="C277" i="1"/>
  <c r="B277" i="1"/>
  <c r="A277" i="1"/>
  <c r="L276" i="1"/>
  <c r="K276" i="1"/>
  <c r="I276" i="1"/>
  <c r="H276" i="1"/>
  <c r="G276" i="1"/>
  <c r="J276" i="1" s="1"/>
  <c r="F276" i="1"/>
  <c r="E276" i="1"/>
  <c r="D276" i="1"/>
  <c r="C276" i="1"/>
  <c r="B276" i="1"/>
  <c r="A276" i="1"/>
  <c r="L275" i="1"/>
  <c r="K275" i="1"/>
  <c r="I275" i="1"/>
  <c r="H275" i="1"/>
  <c r="G275" i="1"/>
  <c r="J275" i="1" s="1"/>
  <c r="F275" i="1"/>
  <c r="E275" i="1"/>
  <c r="D275" i="1"/>
  <c r="C275" i="1"/>
  <c r="B275" i="1"/>
  <c r="A275" i="1"/>
  <c r="L274" i="1"/>
  <c r="K274" i="1"/>
  <c r="I274" i="1"/>
  <c r="H274" i="1"/>
  <c r="G274" i="1"/>
  <c r="F274" i="1"/>
  <c r="E274" i="1"/>
  <c r="D274" i="1"/>
  <c r="C274" i="1"/>
  <c r="B274" i="1"/>
  <c r="A274" i="1"/>
  <c r="L273" i="1"/>
  <c r="K273" i="1"/>
  <c r="I273" i="1"/>
  <c r="H273" i="1"/>
  <c r="G273" i="1"/>
  <c r="J273" i="1" s="1"/>
  <c r="F273" i="1"/>
  <c r="E273" i="1"/>
  <c r="D273" i="1"/>
  <c r="C273" i="1"/>
  <c r="B273" i="1"/>
  <c r="A273" i="1"/>
  <c r="L272" i="1"/>
  <c r="K272" i="1"/>
  <c r="I272" i="1"/>
  <c r="H272" i="1"/>
  <c r="G272" i="1"/>
  <c r="J272" i="1" s="1"/>
  <c r="F272" i="1"/>
  <c r="E272" i="1"/>
  <c r="D272" i="1"/>
  <c r="C272" i="1"/>
  <c r="B272" i="1"/>
  <c r="A272" i="1"/>
  <c r="L271" i="1"/>
  <c r="K271" i="1"/>
  <c r="I271" i="1"/>
  <c r="H271" i="1"/>
  <c r="G271" i="1"/>
  <c r="J271" i="1" s="1"/>
  <c r="F271" i="1"/>
  <c r="E271" i="1"/>
  <c r="D271" i="1"/>
  <c r="C271" i="1"/>
  <c r="B271" i="1"/>
  <c r="A271" i="1"/>
  <c r="L270" i="1"/>
  <c r="K270" i="1"/>
  <c r="I270" i="1"/>
  <c r="H270" i="1"/>
  <c r="G270" i="1"/>
  <c r="J270" i="1" s="1"/>
  <c r="F270" i="1"/>
  <c r="E270" i="1"/>
  <c r="D270" i="1"/>
  <c r="C270" i="1"/>
  <c r="B270" i="1"/>
  <c r="A270" i="1"/>
  <c r="L269" i="1"/>
  <c r="K269" i="1"/>
  <c r="I269" i="1"/>
  <c r="H269" i="1"/>
  <c r="G269" i="1"/>
  <c r="F269" i="1"/>
  <c r="E269" i="1"/>
  <c r="D269" i="1"/>
  <c r="C269" i="1"/>
  <c r="B269" i="1"/>
  <c r="A269" i="1"/>
  <c r="L268" i="1"/>
  <c r="K268" i="1"/>
  <c r="I268" i="1"/>
  <c r="H268" i="1"/>
  <c r="G268" i="1"/>
  <c r="J268" i="1" s="1"/>
  <c r="F268" i="1"/>
  <c r="E268" i="1"/>
  <c r="D268" i="1"/>
  <c r="C268" i="1"/>
  <c r="B268" i="1"/>
  <c r="A268" i="1"/>
  <c r="L267" i="1"/>
  <c r="K267" i="1"/>
  <c r="I267" i="1"/>
  <c r="H267" i="1"/>
  <c r="G267" i="1"/>
  <c r="J267" i="1" s="1"/>
  <c r="F267" i="1"/>
  <c r="E267" i="1"/>
  <c r="D267" i="1"/>
  <c r="C267" i="1"/>
  <c r="B267" i="1"/>
  <c r="A267" i="1"/>
  <c r="L266" i="1"/>
  <c r="K266" i="1"/>
  <c r="I266" i="1"/>
  <c r="H266" i="1"/>
  <c r="G266" i="1"/>
  <c r="F266" i="1"/>
  <c r="E266" i="1"/>
  <c r="D266" i="1"/>
  <c r="C266" i="1"/>
  <c r="B266" i="1"/>
  <c r="A266" i="1"/>
  <c r="L265" i="1"/>
  <c r="K265" i="1"/>
  <c r="I265" i="1"/>
  <c r="H265" i="1"/>
  <c r="G265" i="1"/>
  <c r="J265" i="1" s="1"/>
  <c r="F265" i="1"/>
  <c r="E265" i="1"/>
  <c r="D265" i="1"/>
  <c r="C265" i="1"/>
  <c r="B265" i="1"/>
  <c r="A265" i="1"/>
  <c r="L264" i="1"/>
  <c r="K264" i="1"/>
  <c r="I264" i="1"/>
  <c r="H264" i="1"/>
  <c r="G264" i="1"/>
  <c r="J264" i="1" s="1"/>
  <c r="F264" i="1"/>
  <c r="E264" i="1"/>
  <c r="D264" i="1"/>
  <c r="C264" i="1"/>
  <c r="B264" i="1"/>
  <c r="A264" i="1"/>
  <c r="L263" i="1"/>
  <c r="K263" i="1"/>
  <c r="I263" i="1"/>
  <c r="H263" i="1"/>
  <c r="G263" i="1"/>
  <c r="J263" i="1" s="1"/>
  <c r="F263" i="1"/>
  <c r="E263" i="1"/>
  <c r="D263" i="1"/>
  <c r="C263" i="1"/>
  <c r="B263" i="1"/>
  <c r="A263" i="1"/>
  <c r="L262" i="1"/>
  <c r="K262" i="1"/>
  <c r="I262" i="1"/>
  <c r="H262" i="1"/>
  <c r="G262" i="1"/>
  <c r="J262" i="1" s="1"/>
  <c r="F262" i="1"/>
  <c r="E262" i="1"/>
  <c r="D262" i="1"/>
  <c r="C262" i="1"/>
  <c r="B262" i="1"/>
  <c r="A262" i="1"/>
  <c r="L261" i="1"/>
  <c r="K261" i="1"/>
  <c r="I261" i="1"/>
  <c r="H261" i="1"/>
  <c r="G261" i="1"/>
  <c r="F261" i="1"/>
  <c r="E261" i="1"/>
  <c r="D261" i="1"/>
  <c r="C261" i="1"/>
  <c r="B261" i="1"/>
  <c r="A261" i="1"/>
  <c r="L260" i="1"/>
  <c r="K260" i="1"/>
  <c r="I260" i="1"/>
  <c r="H260" i="1"/>
  <c r="G260" i="1"/>
  <c r="J260" i="1" s="1"/>
  <c r="F260" i="1"/>
  <c r="E260" i="1"/>
  <c r="D260" i="1"/>
  <c r="C260" i="1"/>
  <c r="B260" i="1"/>
  <c r="A260" i="1"/>
  <c r="L259" i="1"/>
  <c r="K259" i="1"/>
  <c r="I259" i="1"/>
  <c r="H259" i="1"/>
  <c r="G259" i="1"/>
  <c r="J259" i="1" s="1"/>
  <c r="F259" i="1"/>
  <c r="E259" i="1"/>
  <c r="D259" i="1"/>
  <c r="C259" i="1"/>
  <c r="B259" i="1"/>
  <c r="A259" i="1"/>
  <c r="L258" i="1"/>
  <c r="K258" i="1"/>
  <c r="I258" i="1"/>
  <c r="H258" i="1"/>
  <c r="G258" i="1"/>
  <c r="F258" i="1"/>
  <c r="E258" i="1"/>
  <c r="D258" i="1"/>
  <c r="C258" i="1"/>
  <c r="B258" i="1"/>
  <c r="A258" i="1"/>
  <c r="L257" i="1"/>
  <c r="K257" i="1"/>
  <c r="I257" i="1"/>
  <c r="H257" i="1"/>
  <c r="G257" i="1"/>
  <c r="J257" i="1" s="1"/>
  <c r="F257" i="1"/>
  <c r="E257" i="1"/>
  <c r="D257" i="1"/>
  <c r="C257" i="1"/>
  <c r="B257" i="1"/>
  <c r="A257" i="1"/>
  <c r="L256" i="1"/>
  <c r="K256" i="1"/>
  <c r="I256" i="1"/>
  <c r="H256" i="1"/>
  <c r="G256" i="1"/>
  <c r="J256" i="1" s="1"/>
  <c r="F256" i="1"/>
  <c r="E256" i="1"/>
  <c r="D256" i="1"/>
  <c r="C256" i="1"/>
  <c r="B256" i="1"/>
  <c r="A256" i="1"/>
  <c r="L255" i="1"/>
  <c r="K255" i="1"/>
  <c r="I255" i="1"/>
  <c r="H255" i="1"/>
  <c r="G255" i="1"/>
  <c r="J255" i="1" s="1"/>
  <c r="F255" i="1"/>
  <c r="E255" i="1"/>
  <c r="D255" i="1"/>
  <c r="C255" i="1"/>
  <c r="B255" i="1"/>
  <c r="A255" i="1"/>
  <c r="L254" i="1"/>
  <c r="K254" i="1"/>
  <c r="I254" i="1"/>
  <c r="H254" i="1"/>
  <c r="G254" i="1"/>
  <c r="J254" i="1" s="1"/>
  <c r="F254" i="1"/>
  <c r="E254" i="1"/>
  <c r="D254" i="1"/>
  <c r="C254" i="1"/>
  <c r="B254" i="1"/>
  <c r="A254" i="1"/>
  <c r="L253" i="1"/>
  <c r="K253" i="1"/>
  <c r="I253" i="1"/>
  <c r="H253" i="1"/>
  <c r="G253" i="1"/>
  <c r="F253" i="1"/>
  <c r="E253" i="1"/>
  <c r="D253" i="1"/>
  <c r="C253" i="1"/>
  <c r="B253" i="1"/>
  <c r="A253" i="1"/>
  <c r="L252" i="1"/>
  <c r="K252" i="1"/>
  <c r="I252" i="1"/>
  <c r="H252" i="1"/>
  <c r="G252" i="1"/>
  <c r="J252" i="1" s="1"/>
  <c r="F252" i="1"/>
  <c r="E252" i="1"/>
  <c r="D252" i="1"/>
  <c r="C252" i="1"/>
  <c r="B252" i="1"/>
  <c r="A252" i="1"/>
  <c r="L251" i="1"/>
  <c r="K251" i="1"/>
  <c r="I251" i="1"/>
  <c r="H251" i="1"/>
  <c r="G251" i="1"/>
  <c r="J251" i="1" s="1"/>
  <c r="F251" i="1"/>
  <c r="E251" i="1"/>
  <c r="D251" i="1"/>
  <c r="C251" i="1"/>
  <c r="B251" i="1"/>
  <c r="A251" i="1"/>
  <c r="L250" i="1"/>
  <c r="K250" i="1"/>
  <c r="I250" i="1"/>
  <c r="H250" i="1"/>
  <c r="G250" i="1"/>
  <c r="F250" i="1"/>
  <c r="E250" i="1"/>
  <c r="D250" i="1"/>
  <c r="C250" i="1"/>
  <c r="B250" i="1"/>
  <c r="A250" i="1"/>
  <c r="L249" i="1"/>
  <c r="K249" i="1"/>
  <c r="I249" i="1"/>
  <c r="H249" i="1"/>
  <c r="G249" i="1"/>
  <c r="J249" i="1" s="1"/>
  <c r="F249" i="1"/>
  <c r="E249" i="1"/>
  <c r="D249" i="1"/>
  <c r="C249" i="1"/>
  <c r="B249" i="1"/>
  <c r="A249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L247" i="1"/>
  <c r="K247" i="1"/>
  <c r="I247" i="1"/>
  <c r="H247" i="1"/>
  <c r="G247" i="1"/>
  <c r="J247" i="1" s="1"/>
  <c r="F247" i="1"/>
  <c r="E247" i="1"/>
  <c r="D247" i="1"/>
  <c r="C247" i="1"/>
  <c r="B247" i="1"/>
  <c r="A247" i="1"/>
  <c r="L246" i="1"/>
  <c r="K246" i="1"/>
  <c r="I246" i="1"/>
  <c r="H246" i="1"/>
  <c r="G246" i="1"/>
  <c r="J246" i="1" s="1"/>
  <c r="F246" i="1"/>
  <c r="E246" i="1"/>
  <c r="D246" i="1"/>
  <c r="C246" i="1"/>
  <c r="B246" i="1"/>
  <c r="A246" i="1"/>
  <c r="L245" i="1"/>
  <c r="K245" i="1"/>
  <c r="I245" i="1"/>
  <c r="H245" i="1"/>
  <c r="G245" i="1"/>
  <c r="F245" i="1"/>
  <c r="E245" i="1"/>
  <c r="D245" i="1"/>
  <c r="C245" i="1"/>
  <c r="B245" i="1"/>
  <c r="A245" i="1"/>
  <c r="L244" i="1"/>
  <c r="K244" i="1"/>
  <c r="I244" i="1"/>
  <c r="H244" i="1"/>
  <c r="G244" i="1"/>
  <c r="J244" i="1" s="1"/>
  <c r="F244" i="1"/>
  <c r="E244" i="1"/>
  <c r="D244" i="1"/>
  <c r="C244" i="1"/>
  <c r="B244" i="1"/>
  <c r="A244" i="1"/>
  <c r="L243" i="1"/>
  <c r="K243" i="1"/>
  <c r="I243" i="1"/>
  <c r="H243" i="1"/>
  <c r="G243" i="1"/>
  <c r="J243" i="1" s="1"/>
  <c r="F243" i="1"/>
  <c r="E243" i="1"/>
  <c r="D243" i="1"/>
  <c r="C243" i="1"/>
  <c r="B243" i="1"/>
  <c r="A243" i="1"/>
  <c r="L242" i="1"/>
  <c r="K242" i="1"/>
  <c r="I242" i="1"/>
  <c r="H242" i="1"/>
  <c r="G242" i="1"/>
  <c r="F242" i="1"/>
  <c r="E242" i="1"/>
  <c r="D242" i="1"/>
  <c r="C242" i="1"/>
  <c r="B242" i="1"/>
  <c r="A242" i="1"/>
  <c r="L241" i="1"/>
  <c r="K241" i="1"/>
  <c r="I241" i="1"/>
  <c r="H241" i="1"/>
  <c r="G241" i="1"/>
  <c r="J241" i="1" s="1"/>
  <c r="F241" i="1"/>
  <c r="E241" i="1"/>
  <c r="D241" i="1"/>
  <c r="C241" i="1"/>
  <c r="B241" i="1"/>
  <c r="A241" i="1"/>
  <c r="L240" i="1"/>
  <c r="K240" i="1"/>
  <c r="I240" i="1"/>
  <c r="H240" i="1"/>
  <c r="G240" i="1"/>
  <c r="J240" i="1" s="1"/>
  <c r="F240" i="1"/>
  <c r="E240" i="1"/>
  <c r="D240" i="1"/>
  <c r="C240" i="1"/>
  <c r="B240" i="1"/>
  <c r="A240" i="1"/>
  <c r="L239" i="1"/>
  <c r="K239" i="1"/>
  <c r="I239" i="1"/>
  <c r="H239" i="1"/>
  <c r="G239" i="1"/>
  <c r="J239" i="1" s="1"/>
  <c r="F239" i="1"/>
  <c r="E239" i="1"/>
  <c r="D239" i="1"/>
  <c r="C239" i="1"/>
  <c r="B239" i="1"/>
  <c r="A239" i="1"/>
  <c r="L238" i="1"/>
  <c r="K238" i="1"/>
  <c r="I238" i="1"/>
  <c r="H238" i="1"/>
  <c r="G238" i="1"/>
  <c r="J238" i="1" s="1"/>
  <c r="F238" i="1"/>
  <c r="E238" i="1"/>
  <c r="D238" i="1"/>
  <c r="C238" i="1"/>
  <c r="B238" i="1"/>
  <c r="A238" i="1"/>
  <c r="L237" i="1"/>
  <c r="K237" i="1"/>
  <c r="I237" i="1"/>
  <c r="H237" i="1"/>
  <c r="G237" i="1"/>
  <c r="F237" i="1"/>
  <c r="E237" i="1"/>
  <c r="D237" i="1"/>
  <c r="C237" i="1"/>
  <c r="B237" i="1"/>
  <c r="A237" i="1"/>
  <c r="L236" i="1"/>
  <c r="K236" i="1"/>
  <c r="I236" i="1"/>
  <c r="H236" i="1"/>
  <c r="G236" i="1"/>
  <c r="J236" i="1" s="1"/>
  <c r="F236" i="1"/>
  <c r="E236" i="1"/>
  <c r="D236" i="1"/>
  <c r="C236" i="1"/>
  <c r="B236" i="1"/>
  <c r="A236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L234" i="1"/>
  <c r="K234" i="1"/>
  <c r="I234" i="1"/>
  <c r="H234" i="1"/>
  <c r="G234" i="1"/>
  <c r="F234" i="1"/>
  <c r="E234" i="1"/>
  <c r="D234" i="1"/>
  <c r="C234" i="1"/>
  <c r="B234" i="1"/>
  <c r="A234" i="1"/>
  <c r="L233" i="1"/>
  <c r="K233" i="1"/>
  <c r="I233" i="1"/>
  <c r="H233" i="1"/>
  <c r="G233" i="1"/>
  <c r="J233" i="1" s="1"/>
  <c r="F233" i="1"/>
  <c r="E233" i="1"/>
  <c r="D233" i="1"/>
  <c r="C233" i="1"/>
  <c r="B233" i="1"/>
  <c r="A233" i="1"/>
  <c r="L232" i="1"/>
  <c r="K232" i="1"/>
  <c r="I232" i="1"/>
  <c r="H232" i="1"/>
  <c r="G232" i="1"/>
  <c r="J232" i="1" s="1"/>
  <c r="F232" i="1"/>
  <c r="E232" i="1"/>
  <c r="D232" i="1"/>
  <c r="C232" i="1"/>
  <c r="B232" i="1"/>
  <c r="A232" i="1"/>
  <c r="L231" i="1"/>
  <c r="K231" i="1"/>
  <c r="I231" i="1"/>
  <c r="H231" i="1"/>
  <c r="G231" i="1"/>
  <c r="J231" i="1" s="1"/>
  <c r="F231" i="1"/>
  <c r="E231" i="1"/>
  <c r="D231" i="1"/>
  <c r="C231" i="1"/>
  <c r="B231" i="1"/>
  <c r="A231" i="1"/>
  <c r="L230" i="1"/>
  <c r="K230" i="1"/>
  <c r="I230" i="1"/>
  <c r="H230" i="1"/>
  <c r="G230" i="1"/>
  <c r="J230" i="1" s="1"/>
  <c r="F230" i="1"/>
  <c r="E230" i="1"/>
  <c r="D230" i="1"/>
  <c r="C230" i="1"/>
  <c r="B230" i="1"/>
  <c r="A230" i="1"/>
  <c r="L229" i="1"/>
  <c r="K229" i="1"/>
  <c r="I229" i="1"/>
  <c r="H229" i="1"/>
  <c r="G229" i="1"/>
  <c r="F229" i="1"/>
  <c r="E229" i="1"/>
  <c r="D229" i="1"/>
  <c r="C229" i="1"/>
  <c r="B229" i="1"/>
  <c r="A229" i="1"/>
  <c r="L228" i="1"/>
  <c r="K228" i="1"/>
  <c r="I228" i="1"/>
  <c r="H228" i="1"/>
  <c r="G228" i="1"/>
  <c r="J228" i="1" s="1"/>
  <c r="F228" i="1"/>
  <c r="E228" i="1"/>
  <c r="D228" i="1"/>
  <c r="C228" i="1"/>
  <c r="B228" i="1"/>
  <c r="A228" i="1"/>
  <c r="L227" i="1"/>
  <c r="K227" i="1"/>
  <c r="I227" i="1"/>
  <c r="H227" i="1"/>
  <c r="G227" i="1"/>
  <c r="J227" i="1" s="1"/>
  <c r="F227" i="1"/>
  <c r="E227" i="1"/>
  <c r="D227" i="1"/>
  <c r="C227" i="1"/>
  <c r="B227" i="1"/>
  <c r="A227" i="1"/>
  <c r="L226" i="1"/>
  <c r="K226" i="1"/>
  <c r="I226" i="1"/>
  <c r="H226" i="1"/>
  <c r="G226" i="1"/>
  <c r="F226" i="1"/>
  <c r="E226" i="1"/>
  <c r="D226" i="1"/>
  <c r="C226" i="1"/>
  <c r="B226" i="1"/>
  <c r="A226" i="1"/>
  <c r="L225" i="1"/>
  <c r="K225" i="1"/>
  <c r="I225" i="1"/>
  <c r="H225" i="1"/>
  <c r="G225" i="1"/>
  <c r="J225" i="1" s="1"/>
  <c r="F225" i="1"/>
  <c r="E225" i="1"/>
  <c r="D225" i="1"/>
  <c r="C225" i="1"/>
  <c r="B225" i="1"/>
  <c r="A225" i="1"/>
  <c r="L224" i="1"/>
  <c r="K224" i="1"/>
  <c r="I224" i="1"/>
  <c r="H224" i="1"/>
  <c r="G224" i="1"/>
  <c r="J224" i="1" s="1"/>
  <c r="F224" i="1"/>
  <c r="E224" i="1"/>
  <c r="D224" i="1"/>
  <c r="C224" i="1"/>
  <c r="B224" i="1"/>
  <c r="A224" i="1"/>
  <c r="L223" i="1"/>
  <c r="K223" i="1"/>
  <c r="I223" i="1"/>
  <c r="H223" i="1"/>
  <c r="G223" i="1"/>
  <c r="J223" i="1" s="1"/>
  <c r="F223" i="1"/>
  <c r="E223" i="1"/>
  <c r="D223" i="1"/>
  <c r="C223" i="1"/>
  <c r="B223" i="1"/>
  <c r="A223" i="1"/>
  <c r="L222" i="1"/>
  <c r="K222" i="1"/>
  <c r="I222" i="1"/>
  <c r="H222" i="1"/>
  <c r="G222" i="1"/>
  <c r="J222" i="1" s="1"/>
  <c r="F222" i="1"/>
  <c r="E222" i="1"/>
  <c r="D222" i="1"/>
  <c r="C222" i="1"/>
  <c r="B222" i="1"/>
  <c r="A222" i="1"/>
  <c r="L221" i="1"/>
  <c r="K221" i="1"/>
  <c r="I221" i="1"/>
  <c r="H221" i="1"/>
  <c r="G221" i="1"/>
  <c r="F221" i="1"/>
  <c r="E221" i="1"/>
  <c r="D221" i="1"/>
  <c r="C221" i="1"/>
  <c r="B221" i="1"/>
  <c r="A221" i="1"/>
  <c r="L220" i="1"/>
  <c r="K220" i="1"/>
  <c r="I220" i="1"/>
  <c r="H220" i="1"/>
  <c r="G220" i="1"/>
  <c r="J220" i="1" s="1"/>
  <c r="F220" i="1"/>
  <c r="E220" i="1"/>
  <c r="D220" i="1"/>
  <c r="C220" i="1"/>
  <c r="B220" i="1"/>
  <c r="A220" i="1"/>
  <c r="L219" i="1"/>
  <c r="K219" i="1"/>
  <c r="I219" i="1"/>
  <c r="H219" i="1"/>
  <c r="G219" i="1"/>
  <c r="J219" i="1" s="1"/>
  <c r="F219" i="1"/>
  <c r="E219" i="1"/>
  <c r="D219" i="1"/>
  <c r="C219" i="1"/>
  <c r="B219" i="1"/>
  <c r="A219" i="1"/>
  <c r="L218" i="1"/>
  <c r="K218" i="1"/>
  <c r="I218" i="1"/>
  <c r="H218" i="1"/>
  <c r="G218" i="1"/>
  <c r="F218" i="1"/>
  <c r="E218" i="1"/>
  <c r="D218" i="1"/>
  <c r="C218" i="1"/>
  <c r="B218" i="1"/>
  <c r="A218" i="1"/>
  <c r="L217" i="1"/>
  <c r="K217" i="1"/>
  <c r="I217" i="1"/>
  <c r="H217" i="1"/>
  <c r="G217" i="1"/>
  <c r="J217" i="1" s="1"/>
  <c r="F217" i="1"/>
  <c r="E217" i="1"/>
  <c r="D217" i="1"/>
  <c r="C217" i="1"/>
  <c r="B217" i="1"/>
  <c r="A217" i="1"/>
  <c r="L216" i="1"/>
  <c r="K216" i="1"/>
  <c r="I216" i="1"/>
  <c r="H216" i="1"/>
  <c r="G216" i="1"/>
  <c r="J216" i="1" s="1"/>
  <c r="F216" i="1"/>
  <c r="E216" i="1"/>
  <c r="D216" i="1"/>
  <c r="C216" i="1"/>
  <c r="B216" i="1"/>
  <c r="A216" i="1"/>
  <c r="L215" i="1"/>
  <c r="K215" i="1"/>
  <c r="I215" i="1"/>
  <c r="H215" i="1"/>
  <c r="G215" i="1"/>
  <c r="J215" i="1" s="1"/>
  <c r="F215" i="1"/>
  <c r="E215" i="1"/>
  <c r="D215" i="1"/>
  <c r="C215" i="1"/>
  <c r="B215" i="1"/>
  <c r="A215" i="1"/>
  <c r="L214" i="1"/>
  <c r="K214" i="1"/>
  <c r="I214" i="1"/>
  <c r="H214" i="1"/>
  <c r="G214" i="1"/>
  <c r="J214" i="1" s="1"/>
  <c r="F214" i="1"/>
  <c r="E214" i="1"/>
  <c r="D214" i="1"/>
  <c r="C214" i="1"/>
  <c r="B214" i="1"/>
  <c r="A214" i="1"/>
  <c r="L213" i="1"/>
  <c r="K213" i="1"/>
  <c r="I213" i="1"/>
  <c r="H213" i="1"/>
  <c r="G213" i="1"/>
  <c r="F213" i="1"/>
  <c r="E213" i="1"/>
  <c r="D213" i="1"/>
  <c r="C213" i="1"/>
  <c r="B213" i="1"/>
  <c r="A213" i="1"/>
  <c r="L212" i="1"/>
  <c r="K212" i="1"/>
  <c r="I212" i="1"/>
  <c r="H212" i="1"/>
  <c r="G212" i="1"/>
  <c r="J212" i="1" s="1"/>
  <c r="F212" i="1"/>
  <c r="E212" i="1"/>
  <c r="D212" i="1"/>
  <c r="C212" i="1"/>
  <c r="B212" i="1"/>
  <c r="A212" i="1"/>
  <c r="L211" i="1"/>
  <c r="K211" i="1"/>
  <c r="I211" i="1"/>
  <c r="H211" i="1"/>
  <c r="G211" i="1"/>
  <c r="J211" i="1" s="1"/>
  <c r="F211" i="1"/>
  <c r="E211" i="1"/>
  <c r="D211" i="1"/>
  <c r="C211" i="1"/>
  <c r="B211" i="1"/>
  <c r="A211" i="1"/>
  <c r="L210" i="1"/>
  <c r="K210" i="1"/>
  <c r="I210" i="1"/>
  <c r="H210" i="1"/>
  <c r="G210" i="1"/>
  <c r="F210" i="1"/>
  <c r="E210" i="1"/>
  <c r="D210" i="1"/>
  <c r="C210" i="1"/>
  <c r="B210" i="1"/>
  <c r="A210" i="1"/>
  <c r="L209" i="1"/>
  <c r="K209" i="1"/>
  <c r="I209" i="1"/>
  <c r="H209" i="1"/>
  <c r="G209" i="1"/>
  <c r="J209" i="1" s="1"/>
  <c r="F209" i="1"/>
  <c r="E209" i="1"/>
  <c r="D209" i="1"/>
  <c r="C209" i="1"/>
  <c r="B209" i="1"/>
  <c r="A209" i="1"/>
  <c r="L208" i="1"/>
  <c r="K208" i="1"/>
  <c r="I208" i="1"/>
  <c r="H208" i="1"/>
  <c r="G208" i="1"/>
  <c r="J208" i="1" s="1"/>
  <c r="F208" i="1"/>
  <c r="E208" i="1"/>
  <c r="D208" i="1"/>
  <c r="C208" i="1"/>
  <c r="B208" i="1"/>
  <c r="A208" i="1"/>
  <c r="L207" i="1"/>
  <c r="K207" i="1"/>
  <c r="I207" i="1"/>
  <c r="H207" i="1"/>
  <c r="G207" i="1"/>
  <c r="J207" i="1" s="1"/>
  <c r="F207" i="1"/>
  <c r="E207" i="1"/>
  <c r="D207" i="1"/>
  <c r="C207" i="1"/>
  <c r="B207" i="1"/>
  <c r="A207" i="1"/>
  <c r="L206" i="1"/>
  <c r="K206" i="1"/>
  <c r="I206" i="1"/>
  <c r="H206" i="1"/>
  <c r="G206" i="1"/>
  <c r="J206" i="1" s="1"/>
  <c r="F206" i="1"/>
  <c r="E206" i="1"/>
  <c r="D206" i="1"/>
  <c r="C206" i="1"/>
  <c r="B206" i="1"/>
  <c r="A206" i="1"/>
  <c r="L205" i="1"/>
  <c r="K205" i="1"/>
  <c r="I205" i="1"/>
  <c r="H205" i="1"/>
  <c r="G205" i="1"/>
  <c r="F205" i="1"/>
  <c r="E205" i="1"/>
  <c r="D205" i="1"/>
  <c r="C205" i="1"/>
  <c r="B205" i="1"/>
  <c r="A205" i="1"/>
  <c r="L204" i="1"/>
  <c r="K204" i="1"/>
  <c r="I204" i="1"/>
  <c r="H204" i="1"/>
  <c r="G204" i="1"/>
  <c r="J204" i="1" s="1"/>
  <c r="F204" i="1"/>
  <c r="E204" i="1"/>
  <c r="D204" i="1"/>
  <c r="C204" i="1"/>
  <c r="B204" i="1"/>
  <c r="A204" i="1"/>
  <c r="L203" i="1"/>
  <c r="K203" i="1"/>
  <c r="I203" i="1"/>
  <c r="H203" i="1"/>
  <c r="G203" i="1"/>
  <c r="J203" i="1" s="1"/>
  <c r="F203" i="1"/>
  <c r="E203" i="1"/>
  <c r="D203" i="1"/>
  <c r="C203" i="1"/>
  <c r="B203" i="1"/>
  <c r="A203" i="1"/>
  <c r="L202" i="1"/>
  <c r="K202" i="1"/>
  <c r="I202" i="1"/>
  <c r="H202" i="1"/>
  <c r="G202" i="1"/>
  <c r="F202" i="1"/>
  <c r="E202" i="1"/>
  <c r="D202" i="1"/>
  <c r="C202" i="1"/>
  <c r="B202" i="1"/>
  <c r="A202" i="1"/>
  <c r="L201" i="1"/>
  <c r="K201" i="1"/>
  <c r="I201" i="1"/>
  <c r="H201" i="1"/>
  <c r="G201" i="1"/>
  <c r="J201" i="1" s="1"/>
  <c r="F201" i="1"/>
  <c r="E201" i="1"/>
  <c r="D201" i="1"/>
  <c r="C201" i="1"/>
  <c r="B201" i="1"/>
  <c r="A201" i="1"/>
  <c r="L200" i="1"/>
  <c r="K200" i="1"/>
  <c r="I200" i="1"/>
  <c r="H200" i="1"/>
  <c r="G200" i="1"/>
  <c r="J200" i="1" s="1"/>
  <c r="F200" i="1"/>
  <c r="E200" i="1"/>
  <c r="D200" i="1"/>
  <c r="C200" i="1"/>
  <c r="B200" i="1"/>
  <c r="A200" i="1"/>
  <c r="L199" i="1"/>
  <c r="K199" i="1"/>
  <c r="I199" i="1"/>
  <c r="H199" i="1"/>
  <c r="G199" i="1"/>
  <c r="J199" i="1" s="1"/>
  <c r="F199" i="1"/>
  <c r="E199" i="1"/>
  <c r="D199" i="1"/>
  <c r="C199" i="1"/>
  <c r="B199" i="1"/>
  <c r="A199" i="1"/>
  <c r="L198" i="1"/>
  <c r="K198" i="1"/>
  <c r="I198" i="1"/>
  <c r="H198" i="1"/>
  <c r="G198" i="1"/>
  <c r="J198" i="1" s="1"/>
  <c r="F198" i="1"/>
  <c r="E198" i="1"/>
  <c r="D198" i="1"/>
  <c r="C198" i="1"/>
  <c r="B198" i="1"/>
  <c r="A198" i="1"/>
  <c r="L197" i="1"/>
  <c r="K197" i="1"/>
  <c r="I197" i="1"/>
  <c r="H197" i="1"/>
  <c r="G197" i="1"/>
  <c r="F197" i="1"/>
  <c r="E197" i="1"/>
  <c r="D197" i="1"/>
  <c r="C197" i="1"/>
  <c r="B197" i="1"/>
  <c r="A197" i="1"/>
  <c r="L196" i="1"/>
  <c r="K196" i="1"/>
  <c r="I196" i="1"/>
  <c r="H196" i="1"/>
  <c r="G196" i="1"/>
  <c r="J196" i="1" s="1"/>
  <c r="F196" i="1"/>
  <c r="E196" i="1"/>
  <c r="D196" i="1"/>
  <c r="C196" i="1"/>
  <c r="B196" i="1"/>
  <c r="A196" i="1"/>
  <c r="L195" i="1"/>
  <c r="K195" i="1"/>
  <c r="I195" i="1"/>
  <c r="H195" i="1"/>
  <c r="G195" i="1"/>
  <c r="J195" i="1" s="1"/>
  <c r="F195" i="1"/>
  <c r="E195" i="1"/>
  <c r="D195" i="1"/>
  <c r="C195" i="1"/>
  <c r="B195" i="1"/>
  <c r="A195" i="1"/>
  <c r="L194" i="1"/>
  <c r="K194" i="1"/>
  <c r="I194" i="1"/>
  <c r="H194" i="1"/>
  <c r="G194" i="1"/>
  <c r="F194" i="1"/>
  <c r="E194" i="1"/>
  <c r="D194" i="1"/>
  <c r="C194" i="1"/>
  <c r="B194" i="1"/>
  <c r="A194" i="1"/>
  <c r="L193" i="1"/>
  <c r="K193" i="1"/>
  <c r="I193" i="1"/>
  <c r="H193" i="1"/>
  <c r="G193" i="1"/>
  <c r="J193" i="1" s="1"/>
  <c r="F193" i="1"/>
  <c r="E193" i="1"/>
  <c r="D193" i="1"/>
  <c r="C193" i="1"/>
  <c r="B193" i="1"/>
  <c r="A193" i="1"/>
  <c r="L192" i="1"/>
  <c r="K192" i="1"/>
  <c r="I192" i="1"/>
  <c r="H192" i="1"/>
  <c r="G192" i="1"/>
  <c r="J192" i="1" s="1"/>
  <c r="F192" i="1"/>
  <c r="E192" i="1"/>
  <c r="D192" i="1"/>
  <c r="C192" i="1"/>
  <c r="B192" i="1"/>
  <c r="A192" i="1"/>
  <c r="L191" i="1"/>
  <c r="K191" i="1"/>
  <c r="I191" i="1"/>
  <c r="H191" i="1"/>
  <c r="G191" i="1"/>
  <c r="J191" i="1" s="1"/>
  <c r="F191" i="1"/>
  <c r="E191" i="1"/>
  <c r="D191" i="1"/>
  <c r="C191" i="1"/>
  <c r="B191" i="1"/>
  <c r="A191" i="1"/>
  <c r="L190" i="1"/>
  <c r="K190" i="1"/>
  <c r="I190" i="1"/>
  <c r="H190" i="1"/>
  <c r="G190" i="1"/>
  <c r="J190" i="1" s="1"/>
  <c r="F190" i="1"/>
  <c r="E190" i="1"/>
  <c r="D190" i="1"/>
  <c r="C190" i="1"/>
  <c r="B190" i="1"/>
  <c r="A190" i="1"/>
  <c r="L189" i="1"/>
  <c r="K189" i="1"/>
  <c r="I189" i="1"/>
  <c r="H189" i="1"/>
  <c r="G189" i="1"/>
  <c r="F189" i="1"/>
  <c r="E189" i="1"/>
  <c r="D189" i="1"/>
  <c r="C189" i="1"/>
  <c r="B189" i="1"/>
  <c r="A189" i="1"/>
  <c r="L188" i="1"/>
  <c r="K188" i="1"/>
  <c r="I188" i="1"/>
  <c r="H188" i="1"/>
  <c r="G188" i="1"/>
  <c r="J188" i="1" s="1"/>
  <c r="F188" i="1"/>
  <c r="E188" i="1"/>
  <c r="D188" i="1"/>
  <c r="C188" i="1"/>
  <c r="B188" i="1"/>
  <c r="A188" i="1"/>
  <c r="L187" i="1"/>
  <c r="K187" i="1"/>
  <c r="I187" i="1"/>
  <c r="H187" i="1"/>
  <c r="G187" i="1"/>
  <c r="J187" i="1" s="1"/>
  <c r="F187" i="1"/>
  <c r="E187" i="1"/>
  <c r="D187" i="1"/>
  <c r="C187" i="1"/>
  <c r="B187" i="1"/>
  <c r="A187" i="1"/>
  <c r="L186" i="1"/>
  <c r="K186" i="1"/>
  <c r="I186" i="1"/>
  <c r="H186" i="1"/>
  <c r="G186" i="1"/>
  <c r="F186" i="1"/>
  <c r="E186" i="1"/>
  <c r="D186" i="1"/>
  <c r="C186" i="1"/>
  <c r="B186" i="1"/>
  <c r="A186" i="1"/>
  <c r="L185" i="1"/>
  <c r="K185" i="1"/>
  <c r="I185" i="1"/>
  <c r="H185" i="1"/>
  <c r="G185" i="1"/>
  <c r="J185" i="1" s="1"/>
  <c r="F185" i="1"/>
  <c r="E185" i="1"/>
  <c r="D185" i="1"/>
  <c r="C185" i="1"/>
  <c r="B185" i="1"/>
  <c r="A185" i="1"/>
  <c r="L184" i="1"/>
  <c r="K184" i="1"/>
  <c r="I184" i="1"/>
  <c r="H184" i="1"/>
  <c r="G184" i="1"/>
  <c r="J184" i="1" s="1"/>
  <c r="F184" i="1"/>
  <c r="E184" i="1"/>
  <c r="D184" i="1"/>
  <c r="C184" i="1"/>
  <c r="B184" i="1"/>
  <c r="A184" i="1"/>
  <c r="L183" i="1"/>
  <c r="K183" i="1"/>
  <c r="I183" i="1"/>
  <c r="H183" i="1"/>
  <c r="G183" i="1"/>
  <c r="J183" i="1" s="1"/>
  <c r="F183" i="1"/>
  <c r="E183" i="1"/>
  <c r="D183" i="1"/>
  <c r="C183" i="1"/>
  <c r="B183" i="1"/>
  <c r="A183" i="1"/>
  <c r="L182" i="1"/>
  <c r="K182" i="1"/>
  <c r="I182" i="1"/>
  <c r="H182" i="1"/>
  <c r="G182" i="1"/>
  <c r="J182" i="1" s="1"/>
  <c r="F182" i="1"/>
  <c r="E182" i="1"/>
  <c r="D182" i="1"/>
  <c r="C182" i="1"/>
  <c r="B182" i="1"/>
  <c r="A182" i="1"/>
  <c r="L181" i="1"/>
  <c r="K181" i="1"/>
  <c r="I181" i="1"/>
  <c r="H181" i="1"/>
  <c r="G181" i="1"/>
  <c r="F181" i="1"/>
  <c r="E181" i="1"/>
  <c r="D181" i="1"/>
  <c r="C181" i="1"/>
  <c r="B181" i="1"/>
  <c r="A181" i="1"/>
  <c r="L180" i="1"/>
  <c r="K180" i="1"/>
  <c r="I180" i="1"/>
  <c r="H180" i="1"/>
  <c r="G180" i="1"/>
  <c r="J180" i="1" s="1"/>
  <c r="F180" i="1"/>
  <c r="E180" i="1"/>
  <c r="D180" i="1"/>
  <c r="C180" i="1"/>
  <c r="B180" i="1"/>
  <c r="A180" i="1"/>
  <c r="L179" i="1"/>
  <c r="K179" i="1"/>
  <c r="I179" i="1"/>
  <c r="H179" i="1"/>
  <c r="G179" i="1"/>
  <c r="J179" i="1" s="1"/>
  <c r="F179" i="1"/>
  <c r="E179" i="1"/>
  <c r="D179" i="1"/>
  <c r="C179" i="1"/>
  <c r="B179" i="1"/>
  <c r="A179" i="1"/>
  <c r="L178" i="1"/>
  <c r="K178" i="1"/>
  <c r="I178" i="1"/>
  <c r="H178" i="1"/>
  <c r="G178" i="1"/>
  <c r="F178" i="1"/>
  <c r="E178" i="1"/>
  <c r="D178" i="1"/>
  <c r="C178" i="1"/>
  <c r="B178" i="1"/>
  <c r="A178" i="1"/>
  <c r="L177" i="1"/>
  <c r="K177" i="1"/>
  <c r="I177" i="1"/>
  <c r="H177" i="1"/>
  <c r="G177" i="1"/>
  <c r="J177" i="1" s="1"/>
  <c r="F177" i="1"/>
  <c r="E177" i="1"/>
  <c r="D177" i="1"/>
  <c r="C177" i="1"/>
  <c r="B177" i="1"/>
  <c r="A177" i="1"/>
  <c r="L176" i="1"/>
  <c r="K176" i="1"/>
  <c r="I176" i="1"/>
  <c r="H176" i="1"/>
  <c r="G176" i="1"/>
  <c r="J176" i="1" s="1"/>
  <c r="F176" i="1"/>
  <c r="E176" i="1"/>
  <c r="D176" i="1"/>
  <c r="C176" i="1"/>
  <c r="B176" i="1"/>
  <c r="A176" i="1"/>
  <c r="L175" i="1"/>
  <c r="K175" i="1"/>
  <c r="I175" i="1"/>
  <c r="H175" i="1"/>
  <c r="G175" i="1"/>
  <c r="J175" i="1" s="1"/>
  <c r="F175" i="1"/>
  <c r="E175" i="1"/>
  <c r="D175" i="1"/>
  <c r="C175" i="1"/>
  <c r="B175" i="1"/>
  <c r="A175" i="1"/>
  <c r="L174" i="1"/>
  <c r="K174" i="1"/>
  <c r="I174" i="1"/>
  <c r="H174" i="1"/>
  <c r="G174" i="1"/>
  <c r="J174" i="1" s="1"/>
  <c r="F174" i="1"/>
  <c r="E174" i="1"/>
  <c r="D174" i="1"/>
  <c r="C174" i="1"/>
  <c r="B174" i="1"/>
  <c r="A174" i="1"/>
  <c r="L173" i="1"/>
  <c r="K173" i="1"/>
  <c r="I173" i="1"/>
  <c r="H173" i="1"/>
  <c r="G173" i="1"/>
  <c r="F173" i="1"/>
  <c r="E173" i="1"/>
  <c r="D173" i="1"/>
  <c r="C173" i="1"/>
  <c r="B173" i="1"/>
  <c r="A173" i="1"/>
  <c r="L172" i="1"/>
  <c r="K172" i="1"/>
  <c r="I172" i="1"/>
  <c r="H172" i="1"/>
  <c r="G172" i="1"/>
  <c r="J172" i="1" s="1"/>
  <c r="F172" i="1"/>
  <c r="E172" i="1"/>
  <c r="D172" i="1"/>
  <c r="C172" i="1"/>
  <c r="B172" i="1"/>
  <c r="A172" i="1"/>
  <c r="L171" i="1"/>
  <c r="K171" i="1"/>
  <c r="I171" i="1"/>
  <c r="H171" i="1"/>
  <c r="G171" i="1"/>
  <c r="J171" i="1" s="1"/>
  <c r="F171" i="1"/>
  <c r="E171" i="1"/>
  <c r="D171" i="1"/>
  <c r="C171" i="1"/>
  <c r="B171" i="1"/>
  <c r="A171" i="1"/>
  <c r="L170" i="1"/>
  <c r="K170" i="1"/>
  <c r="I170" i="1"/>
  <c r="H170" i="1"/>
  <c r="G170" i="1"/>
  <c r="F170" i="1"/>
  <c r="E170" i="1"/>
  <c r="D170" i="1"/>
  <c r="C170" i="1"/>
  <c r="B170" i="1"/>
  <c r="A170" i="1"/>
  <c r="L169" i="1"/>
  <c r="K169" i="1"/>
  <c r="I169" i="1"/>
  <c r="H169" i="1"/>
  <c r="G169" i="1"/>
  <c r="J169" i="1" s="1"/>
  <c r="F169" i="1"/>
  <c r="E169" i="1"/>
  <c r="D169" i="1"/>
  <c r="C169" i="1"/>
  <c r="B169" i="1"/>
  <c r="A169" i="1"/>
  <c r="L168" i="1"/>
  <c r="K168" i="1"/>
  <c r="I168" i="1"/>
  <c r="H168" i="1"/>
  <c r="G168" i="1"/>
  <c r="J168" i="1" s="1"/>
  <c r="F168" i="1"/>
  <c r="E168" i="1"/>
  <c r="D168" i="1"/>
  <c r="C168" i="1"/>
  <c r="B168" i="1"/>
  <c r="A168" i="1"/>
  <c r="L167" i="1"/>
  <c r="K167" i="1"/>
  <c r="I167" i="1"/>
  <c r="H167" i="1"/>
  <c r="G167" i="1"/>
  <c r="J167" i="1" s="1"/>
  <c r="F167" i="1"/>
  <c r="E167" i="1"/>
  <c r="D167" i="1"/>
  <c r="C167" i="1"/>
  <c r="B167" i="1"/>
  <c r="A167" i="1"/>
  <c r="L166" i="1"/>
  <c r="K166" i="1"/>
  <c r="I166" i="1"/>
  <c r="H166" i="1"/>
  <c r="G166" i="1"/>
  <c r="J166" i="1" s="1"/>
  <c r="F166" i="1"/>
  <c r="E166" i="1"/>
  <c r="D166" i="1"/>
  <c r="C166" i="1"/>
  <c r="B166" i="1"/>
  <c r="A166" i="1"/>
  <c r="L165" i="1"/>
  <c r="K165" i="1"/>
  <c r="I165" i="1"/>
  <c r="H165" i="1"/>
  <c r="G165" i="1"/>
  <c r="F165" i="1"/>
  <c r="E165" i="1"/>
  <c r="D165" i="1"/>
  <c r="C165" i="1"/>
  <c r="B165" i="1"/>
  <c r="A165" i="1"/>
  <c r="L164" i="1"/>
  <c r="K164" i="1"/>
  <c r="I164" i="1"/>
  <c r="H164" i="1"/>
  <c r="G164" i="1"/>
  <c r="J164" i="1" s="1"/>
  <c r="F164" i="1"/>
  <c r="E164" i="1"/>
  <c r="D164" i="1"/>
  <c r="C164" i="1"/>
  <c r="B164" i="1"/>
  <c r="A164" i="1"/>
  <c r="L163" i="1"/>
  <c r="K163" i="1"/>
  <c r="I163" i="1"/>
  <c r="H163" i="1"/>
  <c r="G163" i="1"/>
  <c r="J163" i="1" s="1"/>
  <c r="F163" i="1"/>
  <c r="E163" i="1"/>
  <c r="D163" i="1"/>
  <c r="C163" i="1"/>
  <c r="B163" i="1"/>
  <c r="A163" i="1"/>
  <c r="L162" i="1"/>
  <c r="K162" i="1"/>
  <c r="I162" i="1"/>
  <c r="H162" i="1"/>
  <c r="G162" i="1"/>
  <c r="F162" i="1"/>
  <c r="E162" i="1"/>
  <c r="D162" i="1"/>
  <c r="C162" i="1"/>
  <c r="B162" i="1"/>
  <c r="A162" i="1"/>
  <c r="L161" i="1"/>
  <c r="K161" i="1"/>
  <c r="I161" i="1"/>
  <c r="H161" i="1"/>
  <c r="G161" i="1"/>
  <c r="J161" i="1" s="1"/>
  <c r="F161" i="1"/>
  <c r="E161" i="1"/>
  <c r="D161" i="1"/>
  <c r="C161" i="1"/>
  <c r="B161" i="1"/>
  <c r="A161" i="1"/>
  <c r="L160" i="1"/>
  <c r="K160" i="1"/>
  <c r="I160" i="1"/>
  <c r="H160" i="1"/>
  <c r="G160" i="1"/>
  <c r="J160" i="1" s="1"/>
  <c r="F160" i="1"/>
  <c r="E160" i="1"/>
  <c r="D160" i="1"/>
  <c r="C160" i="1"/>
  <c r="B160" i="1"/>
  <c r="A160" i="1"/>
  <c r="L159" i="1"/>
  <c r="K159" i="1"/>
  <c r="I159" i="1"/>
  <c r="H159" i="1"/>
  <c r="G159" i="1"/>
  <c r="J159" i="1" s="1"/>
  <c r="F159" i="1"/>
  <c r="E159" i="1"/>
  <c r="D159" i="1"/>
  <c r="C159" i="1"/>
  <c r="B159" i="1"/>
  <c r="A159" i="1"/>
  <c r="L158" i="1"/>
  <c r="K158" i="1"/>
  <c r="I158" i="1"/>
  <c r="H158" i="1"/>
  <c r="G158" i="1"/>
  <c r="J158" i="1" s="1"/>
  <c r="F158" i="1"/>
  <c r="E158" i="1"/>
  <c r="D158" i="1"/>
  <c r="C158" i="1"/>
  <c r="B158" i="1"/>
  <c r="A158" i="1"/>
  <c r="L157" i="1"/>
  <c r="K157" i="1"/>
  <c r="I157" i="1"/>
  <c r="H157" i="1"/>
  <c r="G157" i="1"/>
  <c r="F157" i="1"/>
  <c r="E157" i="1"/>
  <c r="D157" i="1"/>
  <c r="C157" i="1"/>
  <c r="B157" i="1"/>
  <c r="A157" i="1"/>
  <c r="L156" i="1"/>
  <c r="K156" i="1"/>
  <c r="I156" i="1"/>
  <c r="H156" i="1"/>
  <c r="G156" i="1"/>
  <c r="J156" i="1" s="1"/>
  <c r="F156" i="1"/>
  <c r="E156" i="1"/>
  <c r="D156" i="1"/>
  <c r="C156" i="1"/>
  <c r="B156" i="1"/>
  <c r="A156" i="1"/>
  <c r="L155" i="1"/>
  <c r="K155" i="1"/>
  <c r="I155" i="1"/>
  <c r="H155" i="1"/>
  <c r="G155" i="1"/>
  <c r="J155" i="1" s="1"/>
  <c r="F155" i="1"/>
  <c r="E155" i="1"/>
  <c r="D155" i="1"/>
  <c r="C155" i="1"/>
  <c r="B155" i="1"/>
  <c r="A155" i="1"/>
  <c r="L154" i="1"/>
  <c r="K154" i="1"/>
  <c r="I154" i="1"/>
  <c r="H154" i="1"/>
  <c r="G154" i="1"/>
  <c r="F154" i="1"/>
  <c r="E154" i="1"/>
  <c r="D154" i="1"/>
  <c r="C154" i="1"/>
  <c r="B154" i="1"/>
  <c r="A154" i="1"/>
  <c r="L153" i="1"/>
  <c r="K153" i="1"/>
  <c r="I153" i="1"/>
  <c r="H153" i="1"/>
  <c r="G153" i="1"/>
  <c r="J153" i="1" s="1"/>
  <c r="F153" i="1"/>
  <c r="E153" i="1"/>
  <c r="D153" i="1"/>
  <c r="C153" i="1"/>
  <c r="B153" i="1"/>
  <c r="A153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L151" i="1"/>
  <c r="K151" i="1"/>
  <c r="I151" i="1"/>
  <c r="H151" i="1"/>
  <c r="G151" i="1"/>
  <c r="J151" i="1" s="1"/>
  <c r="F151" i="1"/>
  <c r="E151" i="1"/>
  <c r="D151" i="1"/>
  <c r="C151" i="1"/>
  <c r="B151" i="1"/>
  <c r="A151" i="1"/>
  <c r="L150" i="1"/>
  <c r="K150" i="1"/>
  <c r="I150" i="1"/>
  <c r="H150" i="1"/>
  <c r="G150" i="1"/>
  <c r="J150" i="1" s="1"/>
  <c r="F150" i="1"/>
  <c r="E150" i="1"/>
  <c r="D150" i="1"/>
  <c r="C150" i="1"/>
  <c r="B150" i="1"/>
  <c r="A150" i="1"/>
  <c r="L149" i="1"/>
  <c r="K149" i="1"/>
  <c r="I149" i="1"/>
  <c r="H149" i="1"/>
  <c r="G149" i="1"/>
  <c r="F149" i="1"/>
  <c r="E149" i="1"/>
  <c r="D149" i="1"/>
  <c r="C149" i="1"/>
  <c r="B149" i="1"/>
  <c r="A149" i="1"/>
  <c r="L148" i="1"/>
  <c r="K148" i="1"/>
  <c r="I148" i="1"/>
  <c r="H148" i="1"/>
  <c r="G148" i="1"/>
  <c r="J148" i="1" s="1"/>
  <c r="F148" i="1"/>
  <c r="E148" i="1"/>
  <c r="D148" i="1"/>
  <c r="C148" i="1"/>
  <c r="B148" i="1"/>
  <c r="A148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L146" i="1"/>
  <c r="K146" i="1"/>
  <c r="I146" i="1"/>
  <c r="H146" i="1"/>
  <c r="G146" i="1"/>
  <c r="J146" i="1" s="1"/>
  <c r="F146" i="1"/>
  <c r="E146" i="1"/>
  <c r="D146" i="1"/>
  <c r="C146" i="1"/>
  <c r="B146" i="1"/>
  <c r="A146" i="1"/>
  <c r="L145" i="1"/>
  <c r="K145" i="1"/>
  <c r="I145" i="1"/>
  <c r="H145" i="1"/>
  <c r="G145" i="1"/>
  <c r="J145" i="1" s="1"/>
  <c r="F145" i="1"/>
  <c r="E145" i="1"/>
  <c r="D145" i="1"/>
  <c r="C145" i="1"/>
  <c r="B145" i="1"/>
  <c r="A145" i="1"/>
  <c r="L144" i="1"/>
  <c r="K144" i="1"/>
  <c r="I144" i="1"/>
  <c r="H144" i="1"/>
  <c r="G144" i="1"/>
  <c r="J144" i="1" s="1"/>
  <c r="F144" i="1"/>
  <c r="E144" i="1"/>
  <c r="D144" i="1"/>
  <c r="C144" i="1"/>
  <c r="B144" i="1"/>
  <c r="A144" i="1"/>
  <c r="L143" i="1"/>
  <c r="K143" i="1"/>
  <c r="I143" i="1"/>
  <c r="H143" i="1"/>
  <c r="G143" i="1"/>
  <c r="J143" i="1" s="1"/>
  <c r="F143" i="1"/>
  <c r="E143" i="1"/>
  <c r="D143" i="1"/>
  <c r="C143" i="1"/>
  <c r="B143" i="1"/>
  <c r="A143" i="1"/>
  <c r="L142" i="1"/>
  <c r="K142" i="1"/>
  <c r="I142" i="1"/>
  <c r="H142" i="1"/>
  <c r="G142" i="1"/>
  <c r="J142" i="1" s="1"/>
  <c r="F142" i="1"/>
  <c r="E142" i="1"/>
  <c r="D142" i="1"/>
  <c r="C142" i="1"/>
  <c r="B142" i="1"/>
  <c r="A142" i="1"/>
  <c r="L141" i="1"/>
  <c r="K141" i="1"/>
  <c r="I141" i="1"/>
  <c r="H141" i="1"/>
  <c r="G141" i="1"/>
  <c r="F141" i="1"/>
  <c r="E141" i="1"/>
  <c r="D141" i="1"/>
  <c r="C141" i="1"/>
  <c r="B141" i="1"/>
  <c r="A141" i="1"/>
  <c r="L140" i="1"/>
  <c r="K140" i="1"/>
  <c r="I140" i="1"/>
  <c r="H140" i="1"/>
  <c r="G140" i="1"/>
  <c r="J140" i="1" s="1"/>
  <c r="F140" i="1"/>
  <c r="E140" i="1"/>
  <c r="D140" i="1"/>
  <c r="C140" i="1"/>
  <c r="B140" i="1"/>
  <c r="A140" i="1"/>
  <c r="L139" i="1"/>
  <c r="K139" i="1"/>
  <c r="I139" i="1"/>
  <c r="H139" i="1"/>
  <c r="G139" i="1"/>
  <c r="F139" i="1"/>
  <c r="E139" i="1"/>
  <c r="D139" i="1"/>
  <c r="C139" i="1"/>
  <c r="B139" i="1"/>
  <c r="A139" i="1"/>
  <c r="L138" i="1"/>
  <c r="K138" i="1"/>
  <c r="I138" i="1"/>
  <c r="H138" i="1"/>
  <c r="G138" i="1"/>
  <c r="F138" i="1"/>
  <c r="E138" i="1"/>
  <c r="D138" i="1"/>
  <c r="C138" i="1"/>
  <c r="B138" i="1"/>
  <c r="A138" i="1"/>
  <c r="L137" i="1"/>
  <c r="K137" i="1"/>
  <c r="I137" i="1"/>
  <c r="H137" i="1"/>
  <c r="G137" i="1"/>
  <c r="J137" i="1" s="1"/>
  <c r="F137" i="1"/>
  <c r="E137" i="1"/>
  <c r="D137" i="1"/>
  <c r="C137" i="1"/>
  <c r="B137" i="1"/>
  <c r="A137" i="1"/>
  <c r="L136" i="1"/>
  <c r="K136" i="1"/>
  <c r="I136" i="1"/>
  <c r="H136" i="1"/>
  <c r="G136" i="1"/>
  <c r="J136" i="1" s="1"/>
  <c r="F136" i="1"/>
  <c r="E136" i="1"/>
  <c r="D136" i="1"/>
  <c r="C136" i="1"/>
  <c r="B136" i="1"/>
  <c r="A136" i="1"/>
  <c r="L135" i="1"/>
  <c r="K135" i="1"/>
  <c r="I135" i="1"/>
  <c r="H135" i="1"/>
  <c r="G135" i="1"/>
  <c r="J135" i="1" s="1"/>
  <c r="F135" i="1"/>
  <c r="E135" i="1"/>
  <c r="D135" i="1"/>
  <c r="C135" i="1"/>
  <c r="B135" i="1"/>
  <c r="A135" i="1"/>
  <c r="L134" i="1"/>
  <c r="K134" i="1"/>
  <c r="I134" i="1"/>
  <c r="H134" i="1"/>
  <c r="G134" i="1"/>
  <c r="J134" i="1" s="1"/>
  <c r="F134" i="1"/>
  <c r="E134" i="1"/>
  <c r="D134" i="1"/>
  <c r="C134" i="1"/>
  <c r="B134" i="1"/>
  <c r="A134" i="1"/>
  <c r="L133" i="1"/>
  <c r="K133" i="1"/>
  <c r="I133" i="1"/>
  <c r="H133" i="1"/>
  <c r="G133" i="1"/>
  <c r="F133" i="1"/>
  <c r="E133" i="1"/>
  <c r="D133" i="1"/>
  <c r="C133" i="1"/>
  <c r="B133" i="1"/>
  <c r="A133" i="1"/>
  <c r="L132" i="1"/>
  <c r="K132" i="1"/>
  <c r="I132" i="1"/>
  <c r="H132" i="1"/>
  <c r="G132" i="1"/>
  <c r="J132" i="1" s="1"/>
  <c r="F132" i="1"/>
  <c r="E132" i="1"/>
  <c r="D132" i="1"/>
  <c r="C132" i="1"/>
  <c r="B132" i="1"/>
  <c r="A132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L130" i="1"/>
  <c r="K130" i="1"/>
  <c r="I130" i="1"/>
  <c r="H130" i="1"/>
  <c r="G130" i="1"/>
  <c r="F130" i="1"/>
  <c r="E130" i="1"/>
  <c r="D130" i="1"/>
  <c r="C130" i="1"/>
  <c r="B130" i="1"/>
  <c r="A130" i="1"/>
  <c r="L129" i="1"/>
  <c r="K129" i="1"/>
  <c r="I129" i="1"/>
  <c r="H129" i="1"/>
  <c r="G129" i="1"/>
  <c r="J129" i="1" s="1"/>
  <c r="F129" i="1"/>
  <c r="E129" i="1"/>
  <c r="D129" i="1"/>
  <c r="C129" i="1"/>
  <c r="B129" i="1"/>
  <c r="A129" i="1"/>
  <c r="L128" i="1"/>
  <c r="K128" i="1"/>
  <c r="I128" i="1"/>
  <c r="H128" i="1"/>
  <c r="G128" i="1"/>
  <c r="J128" i="1" s="1"/>
  <c r="F128" i="1"/>
  <c r="E128" i="1"/>
  <c r="D128" i="1"/>
  <c r="C128" i="1"/>
  <c r="B128" i="1"/>
  <c r="A128" i="1"/>
  <c r="L127" i="1"/>
  <c r="K127" i="1"/>
  <c r="I127" i="1"/>
  <c r="H127" i="1"/>
  <c r="G127" i="1"/>
  <c r="J127" i="1" s="1"/>
  <c r="F127" i="1"/>
  <c r="E127" i="1"/>
  <c r="D127" i="1"/>
  <c r="C127" i="1"/>
  <c r="B127" i="1"/>
  <c r="A127" i="1"/>
  <c r="L126" i="1"/>
  <c r="K126" i="1"/>
  <c r="I126" i="1"/>
  <c r="H126" i="1"/>
  <c r="G126" i="1"/>
  <c r="J126" i="1" s="1"/>
  <c r="F126" i="1"/>
  <c r="E126" i="1"/>
  <c r="D126" i="1"/>
  <c r="C126" i="1"/>
  <c r="B126" i="1"/>
  <c r="A126" i="1"/>
  <c r="L125" i="1"/>
  <c r="K125" i="1"/>
  <c r="I125" i="1"/>
  <c r="H125" i="1"/>
  <c r="G125" i="1"/>
  <c r="F125" i="1"/>
  <c r="E125" i="1"/>
  <c r="D125" i="1"/>
  <c r="C125" i="1"/>
  <c r="B125" i="1"/>
  <c r="A125" i="1"/>
  <c r="L124" i="1"/>
  <c r="K124" i="1"/>
  <c r="I124" i="1"/>
  <c r="H124" i="1"/>
  <c r="G124" i="1"/>
  <c r="J124" i="1" s="1"/>
  <c r="F124" i="1"/>
  <c r="E124" i="1"/>
  <c r="D124" i="1"/>
  <c r="C124" i="1"/>
  <c r="B124" i="1"/>
  <c r="A124" i="1"/>
  <c r="L123" i="1"/>
  <c r="K123" i="1"/>
  <c r="I123" i="1"/>
  <c r="H123" i="1"/>
  <c r="G123" i="1"/>
  <c r="F123" i="1"/>
  <c r="E123" i="1"/>
  <c r="D123" i="1"/>
  <c r="C123" i="1"/>
  <c r="B123" i="1"/>
  <c r="A123" i="1"/>
  <c r="L122" i="1"/>
  <c r="K122" i="1"/>
  <c r="I122" i="1"/>
  <c r="H122" i="1"/>
  <c r="G122" i="1"/>
  <c r="F122" i="1"/>
  <c r="E122" i="1"/>
  <c r="D122" i="1"/>
  <c r="C122" i="1"/>
  <c r="B122" i="1"/>
  <c r="A122" i="1"/>
  <c r="L121" i="1"/>
  <c r="K121" i="1"/>
  <c r="I121" i="1"/>
  <c r="H121" i="1"/>
  <c r="G121" i="1"/>
  <c r="J121" i="1" s="1"/>
  <c r="F121" i="1"/>
  <c r="E121" i="1"/>
  <c r="D121" i="1"/>
  <c r="C121" i="1"/>
  <c r="B121" i="1"/>
  <c r="A121" i="1"/>
  <c r="L120" i="1"/>
  <c r="K120" i="1"/>
  <c r="I120" i="1"/>
  <c r="H120" i="1"/>
  <c r="G120" i="1"/>
  <c r="J120" i="1" s="1"/>
  <c r="F120" i="1"/>
  <c r="E120" i="1"/>
  <c r="D120" i="1"/>
  <c r="C120" i="1"/>
  <c r="B120" i="1"/>
  <c r="A120" i="1"/>
  <c r="L119" i="1"/>
  <c r="K119" i="1"/>
  <c r="I119" i="1"/>
  <c r="H119" i="1"/>
  <c r="G119" i="1"/>
  <c r="J119" i="1" s="1"/>
  <c r="F119" i="1"/>
  <c r="E119" i="1"/>
  <c r="D119" i="1"/>
  <c r="C119" i="1"/>
  <c r="B119" i="1"/>
  <c r="A119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L117" i="1"/>
  <c r="K117" i="1"/>
  <c r="I117" i="1"/>
  <c r="H117" i="1"/>
  <c r="G117" i="1"/>
  <c r="F117" i="1"/>
  <c r="E117" i="1"/>
  <c r="D117" i="1"/>
  <c r="C117" i="1"/>
  <c r="B117" i="1"/>
  <c r="A117" i="1"/>
  <c r="L116" i="1"/>
  <c r="K116" i="1"/>
  <c r="I116" i="1"/>
  <c r="H116" i="1"/>
  <c r="G116" i="1"/>
  <c r="J116" i="1" s="1"/>
  <c r="F116" i="1"/>
  <c r="E116" i="1"/>
  <c r="D116" i="1"/>
  <c r="C116" i="1"/>
  <c r="B116" i="1"/>
  <c r="A116" i="1"/>
  <c r="L115" i="1"/>
  <c r="K115" i="1"/>
  <c r="I115" i="1"/>
  <c r="H115" i="1"/>
  <c r="G115" i="1"/>
  <c r="F115" i="1"/>
  <c r="E115" i="1"/>
  <c r="D115" i="1"/>
  <c r="C115" i="1"/>
  <c r="B115" i="1"/>
  <c r="A115" i="1"/>
  <c r="L114" i="1"/>
  <c r="K114" i="1"/>
  <c r="I114" i="1"/>
  <c r="H114" i="1"/>
  <c r="G114" i="1"/>
  <c r="F114" i="1"/>
  <c r="E114" i="1"/>
  <c r="D114" i="1"/>
  <c r="C114" i="1"/>
  <c r="B114" i="1"/>
  <c r="A114" i="1"/>
  <c r="L113" i="1"/>
  <c r="K113" i="1"/>
  <c r="I113" i="1"/>
  <c r="H113" i="1"/>
  <c r="G113" i="1"/>
  <c r="J113" i="1" s="1"/>
  <c r="F113" i="1"/>
  <c r="E113" i="1"/>
  <c r="D113" i="1"/>
  <c r="C113" i="1"/>
  <c r="B113" i="1"/>
  <c r="A113" i="1"/>
  <c r="L112" i="1"/>
  <c r="K112" i="1"/>
  <c r="I112" i="1"/>
  <c r="H112" i="1"/>
  <c r="G112" i="1"/>
  <c r="J112" i="1" s="1"/>
  <c r="F112" i="1"/>
  <c r="E112" i="1"/>
  <c r="D112" i="1"/>
  <c r="C112" i="1"/>
  <c r="B112" i="1"/>
  <c r="A112" i="1"/>
  <c r="L111" i="1"/>
  <c r="K111" i="1"/>
  <c r="I111" i="1"/>
  <c r="H111" i="1"/>
  <c r="G111" i="1"/>
  <c r="J111" i="1" s="1"/>
  <c r="F111" i="1"/>
  <c r="E111" i="1"/>
  <c r="D111" i="1"/>
  <c r="C111" i="1"/>
  <c r="B111" i="1"/>
  <c r="A111" i="1"/>
  <c r="L110" i="1"/>
  <c r="K110" i="1"/>
  <c r="I110" i="1"/>
  <c r="H110" i="1"/>
  <c r="G110" i="1"/>
  <c r="J110" i="1" s="1"/>
  <c r="F110" i="1"/>
  <c r="E110" i="1"/>
  <c r="D110" i="1"/>
  <c r="C110" i="1"/>
  <c r="B110" i="1"/>
  <c r="A110" i="1"/>
  <c r="L109" i="1"/>
  <c r="K109" i="1"/>
  <c r="I109" i="1"/>
  <c r="H109" i="1"/>
  <c r="G109" i="1"/>
  <c r="F109" i="1"/>
  <c r="E109" i="1"/>
  <c r="D109" i="1"/>
  <c r="C109" i="1"/>
  <c r="B109" i="1"/>
  <c r="A109" i="1"/>
  <c r="L108" i="1"/>
  <c r="K108" i="1"/>
  <c r="I108" i="1"/>
  <c r="H108" i="1"/>
  <c r="G108" i="1"/>
  <c r="J108" i="1" s="1"/>
  <c r="F108" i="1"/>
  <c r="E108" i="1"/>
  <c r="D108" i="1"/>
  <c r="C108" i="1"/>
  <c r="B108" i="1"/>
  <c r="A108" i="1"/>
  <c r="L107" i="1"/>
  <c r="K107" i="1"/>
  <c r="I107" i="1"/>
  <c r="H107" i="1"/>
  <c r="G107" i="1"/>
  <c r="F107" i="1"/>
  <c r="E107" i="1"/>
  <c r="D107" i="1"/>
  <c r="C107" i="1"/>
  <c r="B107" i="1"/>
  <c r="A107" i="1"/>
  <c r="L106" i="1"/>
  <c r="K106" i="1"/>
  <c r="I106" i="1"/>
  <c r="H106" i="1"/>
  <c r="G106" i="1"/>
  <c r="F106" i="1"/>
  <c r="E106" i="1"/>
  <c r="D106" i="1"/>
  <c r="C106" i="1"/>
  <c r="B106" i="1"/>
  <c r="A106" i="1"/>
  <c r="L105" i="1"/>
  <c r="K105" i="1"/>
  <c r="I105" i="1"/>
  <c r="H105" i="1"/>
  <c r="G105" i="1"/>
  <c r="J105" i="1" s="1"/>
  <c r="F105" i="1"/>
  <c r="E105" i="1"/>
  <c r="D105" i="1"/>
  <c r="C105" i="1"/>
  <c r="B105" i="1"/>
  <c r="A105" i="1"/>
  <c r="L104" i="1"/>
  <c r="K104" i="1"/>
  <c r="I104" i="1"/>
  <c r="H104" i="1"/>
  <c r="G104" i="1"/>
  <c r="J104" i="1" s="1"/>
  <c r="F104" i="1"/>
  <c r="E104" i="1"/>
  <c r="D104" i="1"/>
  <c r="C104" i="1"/>
  <c r="B104" i="1"/>
  <c r="A104" i="1"/>
  <c r="L103" i="1"/>
  <c r="K103" i="1"/>
  <c r="I103" i="1"/>
  <c r="H103" i="1"/>
  <c r="G103" i="1"/>
  <c r="J103" i="1" s="1"/>
  <c r="F103" i="1"/>
  <c r="E103" i="1"/>
  <c r="D103" i="1"/>
  <c r="C103" i="1"/>
  <c r="B103" i="1"/>
  <c r="A103" i="1"/>
  <c r="L102" i="1"/>
  <c r="K102" i="1"/>
  <c r="I102" i="1"/>
  <c r="H102" i="1"/>
  <c r="G102" i="1"/>
  <c r="J102" i="1" s="1"/>
  <c r="F102" i="1"/>
  <c r="E102" i="1"/>
  <c r="D102" i="1"/>
  <c r="C102" i="1"/>
  <c r="B102" i="1"/>
  <c r="A102" i="1"/>
  <c r="L101" i="1"/>
  <c r="K101" i="1"/>
  <c r="I101" i="1"/>
  <c r="H101" i="1"/>
  <c r="G101" i="1"/>
  <c r="F101" i="1"/>
  <c r="E101" i="1"/>
  <c r="D101" i="1"/>
  <c r="C101" i="1"/>
  <c r="B101" i="1"/>
  <c r="A101" i="1"/>
  <c r="L100" i="1"/>
  <c r="K100" i="1"/>
  <c r="I100" i="1"/>
  <c r="H100" i="1"/>
  <c r="G100" i="1"/>
  <c r="J100" i="1" s="1"/>
  <c r="F100" i="1"/>
  <c r="E100" i="1"/>
  <c r="D100" i="1"/>
  <c r="C100" i="1"/>
  <c r="B100" i="1"/>
  <c r="A100" i="1"/>
  <c r="L99" i="1"/>
  <c r="K99" i="1"/>
  <c r="I99" i="1"/>
  <c r="H99" i="1"/>
  <c r="G99" i="1"/>
  <c r="J99" i="1" s="1"/>
  <c r="F99" i="1"/>
  <c r="E99" i="1"/>
  <c r="D99" i="1"/>
  <c r="C99" i="1"/>
  <c r="B99" i="1"/>
  <c r="A99" i="1"/>
  <c r="L98" i="1"/>
  <c r="K98" i="1"/>
  <c r="I98" i="1"/>
  <c r="H98" i="1"/>
  <c r="G98" i="1"/>
  <c r="F98" i="1"/>
  <c r="E98" i="1"/>
  <c r="D98" i="1"/>
  <c r="C98" i="1"/>
  <c r="B98" i="1"/>
  <c r="A98" i="1"/>
  <c r="L97" i="1"/>
  <c r="K97" i="1"/>
  <c r="I97" i="1"/>
  <c r="H97" i="1"/>
  <c r="G97" i="1"/>
  <c r="J97" i="1" s="1"/>
  <c r="F97" i="1"/>
  <c r="E97" i="1"/>
  <c r="D97" i="1"/>
  <c r="C97" i="1"/>
  <c r="B97" i="1"/>
  <c r="A97" i="1"/>
  <c r="L96" i="1"/>
  <c r="K96" i="1"/>
  <c r="I96" i="1"/>
  <c r="H96" i="1"/>
  <c r="G96" i="1"/>
  <c r="J96" i="1" s="1"/>
  <c r="F96" i="1"/>
  <c r="E96" i="1"/>
  <c r="D96" i="1"/>
  <c r="C96" i="1"/>
  <c r="B96" i="1"/>
  <c r="A96" i="1"/>
  <c r="L95" i="1"/>
  <c r="K95" i="1"/>
  <c r="I95" i="1"/>
  <c r="H95" i="1"/>
  <c r="G95" i="1"/>
  <c r="J95" i="1" s="1"/>
  <c r="F95" i="1"/>
  <c r="E95" i="1"/>
  <c r="D95" i="1"/>
  <c r="C95" i="1"/>
  <c r="B95" i="1"/>
  <c r="A95" i="1"/>
  <c r="L94" i="1"/>
  <c r="K94" i="1"/>
  <c r="I94" i="1"/>
  <c r="H94" i="1"/>
  <c r="G94" i="1"/>
  <c r="J94" i="1" s="1"/>
  <c r="F94" i="1"/>
  <c r="E94" i="1"/>
  <c r="D94" i="1"/>
  <c r="C94" i="1"/>
  <c r="B94" i="1"/>
  <c r="A94" i="1"/>
  <c r="L93" i="1"/>
  <c r="K93" i="1"/>
  <c r="I93" i="1"/>
  <c r="H93" i="1"/>
  <c r="G93" i="1"/>
  <c r="F93" i="1"/>
  <c r="E93" i="1"/>
  <c r="D93" i="1"/>
  <c r="C93" i="1"/>
  <c r="B93" i="1"/>
  <c r="A93" i="1"/>
  <c r="L92" i="1"/>
  <c r="K92" i="1"/>
  <c r="I92" i="1"/>
  <c r="H92" i="1"/>
  <c r="G92" i="1"/>
  <c r="J92" i="1" s="1"/>
  <c r="F92" i="1"/>
  <c r="E92" i="1"/>
  <c r="D92" i="1"/>
  <c r="C92" i="1"/>
  <c r="B92" i="1"/>
  <c r="A92" i="1"/>
  <c r="L91" i="1"/>
  <c r="K91" i="1"/>
  <c r="I91" i="1"/>
  <c r="H91" i="1"/>
  <c r="G91" i="1"/>
  <c r="J91" i="1" s="1"/>
  <c r="F91" i="1"/>
  <c r="E91" i="1"/>
  <c r="D91" i="1"/>
  <c r="C91" i="1"/>
  <c r="B91" i="1"/>
  <c r="A91" i="1"/>
  <c r="L90" i="1"/>
  <c r="K90" i="1"/>
  <c r="I90" i="1"/>
  <c r="H90" i="1"/>
  <c r="G90" i="1"/>
  <c r="F90" i="1"/>
  <c r="E90" i="1"/>
  <c r="D90" i="1"/>
  <c r="C90" i="1"/>
  <c r="B90" i="1"/>
  <c r="A90" i="1"/>
  <c r="L89" i="1"/>
  <c r="K89" i="1"/>
  <c r="I89" i="1"/>
  <c r="H89" i="1"/>
  <c r="G89" i="1"/>
  <c r="J89" i="1" s="1"/>
  <c r="F89" i="1"/>
  <c r="E89" i="1"/>
  <c r="D89" i="1"/>
  <c r="C89" i="1"/>
  <c r="B89" i="1"/>
  <c r="A89" i="1"/>
  <c r="L88" i="1"/>
  <c r="K88" i="1"/>
  <c r="J88" i="1"/>
  <c r="I88" i="1"/>
  <c r="H88" i="1"/>
  <c r="G88" i="1"/>
  <c r="F88" i="1"/>
  <c r="E88" i="1"/>
  <c r="D88" i="1"/>
  <c r="C88" i="1"/>
  <c r="B88" i="1"/>
  <c r="A88" i="1"/>
  <c r="L87" i="1"/>
  <c r="K87" i="1"/>
  <c r="I87" i="1"/>
  <c r="H87" i="1"/>
  <c r="G87" i="1"/>
  <c r="J87" i="1" s="1"/>
  <c r="F87" i="1"/>
  <c r="E87" i="1"/>
  <c r="D87" i="1"/>
  <c r="C87" i="1"/>
  <c r="B87" i="1"/>
  <c r="A87" i="1"/>
  <c r="L86" i="1"/>
  <c r="K86" i="1"/>
  <c r="I86" i="1"/>
  <c r="H86" i="1"/>
  <c r="G86" i="1"/>
  <c r="J86" i="1" s="1"/>
  <c r="F86" i="1"/>
  <c r="E86" i="1"/>
  <c r="D86" i="1"/>
  <c r="C86" i="1"/>
  <c r="B86" i="1"/>
  <c r="A86" i="1"/>
  <c r="L85" i="1"/>
  <c r="K85" i="1"/>
  <c r="I85" i="1"/>
  <c r="H85" i="1"/>
  <c r="G85" i="1"/>
  <c r="F85" i="1"/>
  <c r="E85" i="1"/>
  <c r="D85" i="1"/>
  <c r="C85" i="1"/>
  <c r="B85" i="1"/>
  <c r="A85" i="1"/>
  <c r="L84" i="1"/>
  <c r="K84" i="1"/>
  <c r="I84" i="1"/>
  <c r="H84" i="1"/>
  <c r="G84" i="1"/>
  <c r="J84" i="1" s="1"/>
  <c r="F84" i="1"/>
  <c r="E84" i="1"/>
  <c r="D84" i="1"/>
  <c r="C84" i="1"/>
  <c r="B84" i="1"/>
  <c r="A84" i="1"/>
  <c r="L83" i="1"/>
  <c r="K83" i="1"/>
  <c r="I83" i="1"/>
  <c r="H83" i="1"/>
  <c r="G83" i="1"/>
  <c r="F83" i="1"/>
  <c r="E83" i="1"/>
  <c r="D83" i="1"/>
  <c r="C83" i="1"/>
  <c r="B83" i="1"/>
  <c r="A83" i="1"/>
  <c r="L82" i="1"/>
  <c r="K82" i="1"/>
  <c r="I82" i="1"/>
  <c r="H82" i="1"/>
  <c r="G82" i="1"/>
  <c r="F82" i="1"/>
  <c r="E82" i="1"/>
  <c r="D82" i="1"/>
  <c r="C82" i="1"/>
  <c r="B82" i="1"/>
  <c r="A82" i="1"/>
  <c r="L81" i="1"/>
  <c r="K81" i="1"/>
  <c r="I81" i="1"/>
  <c r="H81" i="1"/>
  <c r="G81" i="1"/>
  <c r="J81" i="1" s="1"/>
  <c r="F81" i="1"/>
  <c r="E81" i="1"/>
  <c r="D81" i="1"/>
  <c r="C81" i="1"/>
  <c r="B81" i="1"/>
  <c r="A81" i="1"/>
  <c r="L80" i="1"/>
  <c r="K80" i="1"/>
  <c r="I80" i="1"/>
  <c r="H80" i="1"/>
  <c r="G80" i="1"/>
  <c r="J80" i="1" s="1"/>
  <c r="F80" i="1"/>
  <c r="E80" i="1"/>
  <c r="D80" i="1"/>
  <c r="C80" i="1"/>
  <c r="B80" i="1"/>
  <c r="A80" i="1"/>
  <c r="L79" i="1"/>
  <c r="K79" i="1"/>
  <c r="I79" i="1"/>
  <c r="H79" i="1"/>
  <c r="G79" i="1"/>
  <c r="J79" i="1" s="1"/>
  <c r="F79" i="1"/>
  <c r="E79" i="1"/>
  <c r="D79" i="1"/>
  <c r="C79" i="1"/>
  <c r="B79" i="1"/>
  <c r="A79" i="1"/>
  <c r="L78" i="1"/>
  <c r="K78" i="1"/>
  <c r="I78" i="1"/>
  <c r="H78" i="1"/>
  <c r="G78" i="1"/>
  <c r="J78" i="1" s="1"/>
  <c r="F78" i="1"/>
  <c r="E78" i="1"/>
  <c r="D78" i="1"/>
  <c r="C78" i="1"/>
  <c r="B78" i="1"/>
  <c r="A78" i="1"/>
  <c r="L77" i="1"/>
  <c r="K77" i="1"/>
  <c r="I77" i="1"/>
  <c r="H77" i="1"/>
  <c r="G77" i="1"/>
  <c r="F77" i="1"/>
  <c r="E77" i="1"/>
  <c r="D77" i="1"/>
  <c r="C77" i="1"/>
  <c r="B77" i="1"/>
  <c r="A77" i="1"/>
  <c r="L76" i="1"/>
  <c r="K76" i="1"/>
  <c r="I76" i="1"/>
  <c r="H76" i="1"/>
  <c r="G76" i="1"/>
  <c r="J76" i="1" s="1"/>
  <c r="F76" i="1"/>
  <c r="E76" i="1"/>
  <c r="D76" i="1"/>
  <c r="C76" i="1"/>
  <c r="B76" i="1"/>
  <c r="A76" i="1"/>
  <c r="L75" i="1"/>
  <c r="K75" i="1"/>
  <c r="I75" i="1"/>
  <c r="H75" i="1"/>
  <c r="G75" i="1"/>
  <c r="F75" i="1"/>
  <c r="E75" i="1"/>
  <c r="D75" i="1"/>
  <c r="C75" i="1"/>
  <c r="B75" i="1"/>
  <c r="A75" i="1"/>
  <c r="L74" i="1"/>
  <c r="K74" i="1"/>
  <c r="I74" i="1"/>
  <c r="H74" i="1"/>
  <c r="G74" i="1"/>
  <c r="J74" i="1" s="1"/>
  <c r="F74" i="1"/>
  <c r="E74" i="1"/>
  <c r="D74" i="1"/>
  <c r="C74" i="1"/>
  <c r="B74" i="1"/>
  <c r="A74" i="1"/>
  <c r="L73" i="1"/>
  <c r="K73" i="1"/>
  <c r="I73" i="1"/>
  <c r="H73" i="1"/>
  <c r="G73" i="1"/>
  <c r="J73" i="1" s="1"/>
  <c r="F73" i="1"/>
  <c r="E73" i="1"/>
  <c r="D73" i="1"/>
  <c r="C73" i="1"/>
  <c r="B73" i="1"/>
  <c r="A73" i="1"/>
  <c r="L72" i="1"/>
  <c r="K72" i="1"/>
  <c r="I72" i="1"/>
  <c r="H72" i="1"/>
  <c r="G72" i="1"/>
  <c r="J72" i="1" s="1"/>
  <c r="F72" i="1"/>
  <c r="E72" i="1"/>
  <c r="D72" i="1"/>
  <c r="C72" i="1"/>
  <c r="B72" i="1"/>
  <c r="A72" i="1"/>
  <c r="L71" i="1"/>
  <c r="K71" i="1"/>
  <c r="I71" i="1"/>
  <c r="H71" i="1"/>
  <c r="G71" i="1"/>
  <c r="J71" i="1" s="1"/>
  <c r="F71" i="1"/>
  <c r="E71" i="1"/>
  <c r="D71" i="1"/>
  <c r="C71" i="1"/>
  <c r="B71" i="1"/>
  <c r="A71" i="1"/>
  <c r="L70" i="1"/>
  <c r="K70" i="1"/>
  <c r="I70" i="1"/>
  <c r="H70" i="1"/>
  <c r="G70" i="1"/>
  <c r="J70" i="1" s="1"/>
  <c r="F70" i="1"/>
  <c r="E70" i="1"/>
  <c r="D70" i="1"/>
  <c r="C70" i="1"/>
  <c r="B70" i="1"/>
  <c r="A70" i="1"/>
  <c r="L69" i="1"/>
  <c r="K69" i="1"/>
  <c r="I69" i="1"/>
  <c r="H69" i="1"/>
  <c r="G69" i="1"/>
  <c r="F69" i="1"/>
  <c r="E69" i="1"/>
  <c r="D69" i="1"/>
  <c r="C69" i="1"/>
  <c r="B69" i="1"/>
  <c r="A69" i="1"/>
  <c r="L68" i="1"/>
  <c r="K68" i="1"/>
  <c r="I68" i="1"/>
  <c r="H68" i="1"/>
  <c r="G68" i="1"/>
  <c r="J68" i="1" s="1"/>
  <c r="F68" i="1"/>
  <c r="E68" i="1"/>
  <c r="D68" i="1"/>
  <c r="C68" i="1"/>
  <c r="B68" i="1"/>
  <c r="A68" i="1"/>
  <c r="L67" i="1"/>
  <c r="K67" i="1"/>
  <c r="I67" i="1"/>
  <c r="H67" i="1"/>
  <c r="G67" i="1"/>
  <c r="J67" i="1" s="1"/>
  <c r="F67" i="1"/>
  <c r="E67" i="1"/>
  <c r="D67" i="1"/>
  <c r="C67" i="1"/>
  <c r="B67" i="1"/>
  <c r="A67" i="1"/>
  <c r="L66" i="1"/>
  <c r="K66" i="1"/>
  <c r="I66" i="1"/>
  <c r="H66" i="1"/>
  <c r="G66" i="1"/>
  <c r="J66" i="1" s="1"/>
  <c r="F66" i="1"/>
  <c r="E66" i="1"/>
  <c r="D66" i="1"/>
  <c r="C66" i="1"/>
  <c r="B66" i="1"/>
  <c r="A66" i="1"/>
  <c r="L65" i="1"/>
  <c r="K65" i="1"/>
  <c r="I65" i="1"/>
  <c r="H65" i="1"/>
  <c r="G65" i="1"/>
  <c r="J65" i="1" s="1"/>
  <c r="F65" i="1"/>
  <c r="E65" i="1"/>
  <c r="D65" i="1"/>
  <c r="C65" i="1"/>
  <c r="B65" i="1"/>
  <c r="A65" i="1"/>
  <c r="L64" i="1"/>
  <c r="K64" i="1"/>
  <c r="I64" i="1"/>
  <c r="H64" i="1"/>
  <c r="G64" i="1"/>
  <c r="J64" i="1" s="1"/>
  <c r="F64" i="1"/>
  <c r="E64" i="1"/>
  <c r="D64" i="1"/>
  <c r="C64" i="1"/>
  <c r="B64" i="1"/>
  <c r="A64" i="1"/>
  <c r="L63" i="1"/>
  <c r="K63" i="1"/>
  <c r="I63" i="1"/>
  <c r="H63" i="1"/>
  <c r="G63" i="1"/>
  <c r="J63" i="1" s="1"/>
  <c r="F63" i="1"/>
  <c r="E63" i="1"/>
  <c r="D63" i="1"/>
  <c r="C63" i="1"/>
  <c r="B63" i="1"/>
  <c r="A63" i="1"/>
  <c r="L62" i="1"/>
  <c r="K62" i="1"/>
  <c r="I62" i="1"/>
  <c r="H62" i="1"/>
  <c r="G62" i="1"/>
  <c r="J62" i="1" s="1"/>
  <c r="F62" i="1"/>
  <c r="E62" i="1"/>
  <c r="D62" i="1"/>
  <c r="C62" i="1"/>
  <c r="B62" i="1"/>
  <c r="A62" i="1"/>
  <c r="L61" i="1"/>
  <c r="K61" i="1"/>
  <c r="I61" i="1"/>
  <c r="H61" i="1"/>
  <c r="G61" i="1"/>
  <c r="F61" i="1"/>
  <c r="E61" i="1"/>
  <c r="D61" i="1"/>
  <c r="C61" i="1"/>
  <c r="B61" i="1"/>
  <c r="A61" i="1"/>
  <c r="L60" i="1"/>
  <c r="K60" i="1"/>
  <c r="I60" i="1"/>
  <c r="H60" i="1"/>
  <c r="G60" i="1"/>
  <c r="J60" i="1" s="1"/>
  <c r="F60" i="1"/>
  <c r="E60" i="1"/>
  <c r="D60" i="1"/>
  <c r="C60" i="1"/>
  <c r="B60" i="1"/>
  <c r="A60" i="1"/>
  <c r="L59" i="1"/>
  <c r="K59" i="1"/>
  <c r="I59" i="1"/>
  <c r="H59" i="1"/>
  <c r="G59" i="1"/>
  <c r="J59" i="1" s="1"/>
  <c r="F59" i="1"/>
  <c r="E59" i="1"/>
  <c r="D59" i="1"/>
  <c r="C59" i="1"/>
  <c r="B59" i="1"/>
  <c r="A59" i="1"/>
  <c r="L58" i="1"/>
  <c r="K58" i="1"/>
  <c r="I58" i="1"/>
  <c r="H58" i="1"/>
  <c r="G58" i="1"/>
  <c r="F58" i="1"/>
  <c r="E58" i="1"/>
  <c r="D58" i="1"/>
  <c r="C58" i="1"/>
  <c r="B58" i="1"/>
  <c r="A58" i="1"/>
  <c r="L57" i="1"/>
  <c r="K57" i="1"/>
  <c r="I57" i="1"/>
  <c r="H57" i="1"/>
  <c r="G57" i="1"/>
  <c r="J57" i="1" s="1"/>
  <c r="F57" i="1"/>
  <c r="E57" i="1"/>
  <c r="D57" i="1"/>
  <c r="C57" i="1"/>
  <c r="B57" i="1"/>
  <c r="A57" i="1"/>
  <c r="L56" i="1"/>
  <c r="K56" i="1"/>
  <c r="I56" i="1"/>
  <c r="H56" i="1"/>
  <c r="G56" i="1"/>
  <c r="J56" i="1" s="1"/>
  <c r="F56" i="1"/>
  <c r="E56" i="1"/>
  <c r="D56" i="1"/>
  <c r="C56" i="1"/>
  <c r="B56" i="1"/>
  <c r="A56" i="1"/>
  <c r="L55" i="1"/>
  <c r="K55" i="1"/>
  <c r="I55" i="1"/>
  <c r="H55" i="1"/>
  <c r="G55" i="1"/>
  <c r="J55" i="1" s="1"/>
  <c r="F55" i="1"/>
  <c r="E55" i="1"/>
  <c r="D55" i="1"/>
  <c r="C55" i="1"/>
  <c r="B55" i="1"/>
  <c r="A55" i="1"/>
  <c r="L54" i="1"/>
  <c r="K54" i="1"/>
  <c r="I54" i="1"/>
  <c r="H54" i="1"/>
  <c r="G54" i="1"/>
  <c r="J54" i="1" s="1"/>
  <c r="F54" i="1"/>
  <c r="E54" i="1"/>
  <c r="D54" i="1"/>
  <c r="C54" i="1"/>
  <c r="B54" i="1"/>
  <c r="A54" i="1"/>
  <c r="L53" i="1"/>
  <c r="K53" i="1"/>
  <c r="I53" i="1"/>
  <c r="H53" i="1"/>
  <c r="G53" i="1"/>
  <c r="F53" i="1"/>
  <c r="E53" i="1"/>
  <c r="D53" i="1"/>
  <c r="C53" i="1"/>
  <c r="B53" i="1"/>
  <c r="A53" i="1"/>
  <c r="L52" i="1"/>
  <c r="K52" i="1"/>
  <c r="I52" i="1"/>
  <c r="H52" i="1"/>
  <c r="G52" i="1"/>
  <c r="J52" i="1" s="1"/>
  <c r="F52" i="1"/>
  <c r="E52" i="1"/>
  <c r="D52" i="1"/>
  <c r="C52" i="1"/>
  <c r="B52" i="1"/>
  <c r="A52" i="1"/>
  <c r="L51" i="1"/>
  <c r="K51" i="1"/>
  <c r="I51" i="1"/>
  <c r="H51" i="1"/>
  <c r="G51" i="1"/>
  <c r="J51" i="1" s="1"/>
  <c r="F51" i="1"/>
  <c r="E51" i="1"/>
  <c r="D51" i="1"/>
  <c r="C51" i="1"/>
  <c r="B51" i="1"/>
  <c r="A51" i="1"/>
  <c r="L50" i="1"/>
  <c r="K50" i="1"/>
  <c r="I50" i="1"/>
  <c r="H50" i="1"/>
  <c r="G50" i="1"/>
  <c r="F50" i="1"/>
  <c r="E50" i="1"/>
  <c r="D50" i="1"/>
  <c r="C50" i="1"/>
  <c r="B50" i="1"/>
  <c r="A50" i="1"/>
  <c r="L49" i="1"/>
  <c r="K49" i="1"/>
  <c r="I49" i="1"/>
  <c r="H49" i="1"/>
  <c r="G49" i="1"/>
  <c r="J49" i="1" s="1"/>
  <c r="F49" i="1"/>
  <c r="E49" i="1"/>
  <c r="D49" i="1"/>
  <c r="C49" i="1"/>
  <c r="B49" i="1"/>
  <c r="A49" i="1"/>
  <c r="L48" i="1"/>
  <c r="K48" i="1"/>
  <c r="I48" i="1"/>
  <c r="H48" i="1"/>
  <c r="G48" i="1"/>
  <c r="J48" i="1" s="1"/>
  <c r="F48" i="1"/>
  <c r="E48" i="1"/>
  <c r="D48" i="1"/>
  <c r="C48" i="1"/>
  <c r="B48" i="1"/>
  <c r="A48" i="1"/>
  <c r="L47" i="1"/>
  <c r="K47" i="1"/>
  <c r="I47" i="1"/>
  <c r="H47" i="1"/>
  <c r="G47" i="1"/>
  <c r="J47" i="1" s="1"/>
  <c r="F47" i="1"/>
  <c r="E47" i="1"/>
  <c r="D47" i="1"/>
  <c r="C47" i="1"/>
  <c r="B47" i="1"/>
  <c r="A47" i="1"/>
  <c r="L46" i="1"/>
  <c r="K46" i="1"/>
  <c r="I46" i="1"/>
  <c r="H46" i="1"/>
  <c r="G46" i="1"/>
  <c r="J46" i="1" s="1"/>
  <c r="F46" i="1"/>
  <c r="E46" i="1"/>
  <c r="D46" i="1"/>
  <c r="C46" i="1"/>
  <c r="B46" i="1"/>
  <c r="A46" i="1"/>
  <c r="L45" i="1"/>
  <c r="K45" i="1"/>
  <c r="I45" i="1"/>
  <c r="H45" i="1"/>
  <c r="G45" i="1"/>
  <c r="F45" i="1"/>
  <c r="E45" i="1"/>
  <c r="D45" i="1"/>
  <c r="C45" i="1"/>
  <c r="B45" i="1"/>
  <c r="A45" i="1"/>
  <c r="L44" i="1"/>
  <c r="K44" i="1"/>
  <c r="I44" i="1"/>
  <c r="H44" i="1"/>
  <c r="G44" i="1"/>
  <c r="J44" i="1" s="1"/>
  <c r="F44" i="1"/>
  <c r="E44" i="1"/>
  <c r="D44" i="1"/>
  <c r="C44" i="1"/>
  <c r="B44" i="1"/>
  <c r="A44" i="1"/>
  <c r="L43" i="1"/>
  <c r="K43" i="1"/>
  <c r="I43" i="1"/>
  <c r="H43" i="1"/>
  <c r="G43" i="1"/>
  <c r="J43" i="1" s="1"/>
  <c r="F43" i="1"/>
  <c r="E43" i="1"/>
  <c r="D43" i="1"/>
  <c r="C43" i="1"/>
  <c r="B43" i="1"/>
  <c r="A43" i="1"/>
  <c r="L42" i="1"/>
  <c r="K42" i="1"/>
  <c r="I42" i="1"/>
  <c r="H42" i="1"/>
  <c r="G42" i="1"/>
  <c r="F42" i="1"/>
  <c r="E42" i="1"/>
  <c r="D42" i="1"/>
  <c r="C42" i="1"/>
  <c r="B42" i="1"/>
  <c r="A42" i="1"/>
  <c r="L41" i="1"/>
  <c r="K41" i="1"/>
  <c r="I41" i="1"/>
  <c r="H41" i="1"/>
  <c r="G41" i="1"/>
  <c r="J41" i="1" s="1"/>
  <c r="F41" i="1"/>
  <c r="E41" i="1"/>
  <c r="D41" i="1"/>
  <c r="C41" i="1"/>
  <c r="B41" i="1"/>
  <c r="A41" i="1"/>
  <c r="L40" i="1"/>
  <c r="K40" i="1"/>
  <c r="I40" i="1"/>
  <c r="H40" i="1"/>
  <c r="G40" i="1"/>
  <c r="J40" i="1" s="1"/>
  <c r="F40" i="1"/>
  <c r="E40" i="1"/>
  <c r="D40" i="1"/>
  <c r="C40" i="1"/>
  <c r="B40" i="1"/>
  <c r="A40" i="1"/>
  <c r="L39" i="1"/>
  <c r="K39" i="1"/>
  <c r="I39" i="1"/>
  <c r="H39" i="1"/>
  <c r="G39" i="1"/>
  <c r="J39" i="1" s="1"/>
  <c r="F39" i="1"/>
  <c r="E39" i="1"/>
  <c r="D39" i="1"/>
  <c r="C39" i="1"/>
  <c r="B39" i="1"/>
  <c r="A39" i="1"/>
  <c r="L38" i="1"/>
  <c r="K38" i="1"/>
  <c r="I38" i="1"/>
  <c r="H38" i="1"/>
  <c r="G38" i="1"/>
  <c r="J38" i="1" s="1"/>
  <c r="F38" i="1"/>
  <c r="E38" i="1"/>
  <c r="D38" i="1"/>
  <c r="C38" i="1"/>
  <c r="B38" i="1"/>
  <c r="A38" i="1"/>
  <c r="L37" i="1"/>
  <c r="K37" i="1"/>
  <c r="I37" i="1"/>
  <c r="H37" i="1"/>
  <c r="G37" i="1"/>
  <c r="F37" i="1"/>
  <c r="E37" i="1"/>
  <c r="D37" i="1"/>
  <c r="C37" i="1"/>
  <c r="B37" i="1"/>
  <c r="A37" i="1"/>
  <c r="L36" i="1"/>
  <c r="K36" i="1"/>
  <c r="I36" i="1"/>
  <c r="H36" i="1"/>
  <c r="G36" i="1"/>
  <c r="J36" i="1" s="1"/>
  <c r="F36" i="1"/>
  <c r="E36" i="1"/>
  <c r="D36" i="1"/>
  <c r="C36" i="1"/>
  <c r="B36" i="1"/>
  <c r="A36" i="1"/>
  <c r="L35" i="1"/>
  <c r="K35" i="1"/>
  <c r="I35" i="1"/>
  <c r="H35" i="1"/>
  <c r="G35" i="1"/>
  <c r="J35" i="1" s="1"/>
  <c r="F35" i="1"/>
  <c r="E35" i="1"/>
  <c r="D35" i="1"/>
  <c r="C35" i="1"/>
  <c r="B35" i="1"/>
  <c r="A35" i="1"/>
  <c r="L34" i="1"/>
  <c r="K34" i="1"/>
  <c r="I34" i="1"/>
  <c r="H34" i="1"/>
  <c r="G34" i="1"/>
  <c r="F34" i="1"/>
  <c r="E34" i="1"/>
  <c r="D34" i="1"/>
  <c r="C34" i="1"/>
  <c r="B34" i="1"/>
  <c r="A34" i="1"/>
  <c r="L33" i="1"/>
  <c r="K33" i="1"/>
  <c r="I33" i="1"/>
  <c r="H33" i="1"/>
  <c r="G33" i="1"/>
  <c r="J33" i="1" s="1"/>
  <c r="F33" i="1"/>
  <c r="E33" i="1"/>
  <c r="D33" i="1"/>
  <c r="C33" i="1"/>
  <c r="B33" i="1"/>
  <c r="A33" i="1"/>
  <c r="L32" i="1"/>
  <c r="K32" i="1"/>
  <c r="I32" i="1"/>
  <c r="H32" i="1"/>
  <c r="G32" i="1"/>
  <c r="J32" i="1" s="1"/>
  <c r="F32" i="1"/>
  <c r="E32" i="1"/>
  <c r="D32" i="1"/>
  <c r="C32" i="1"/>
  <c r="B32" i="1"/>
  <c r="A32" i="1"/>
  <c r="L31" i="1"/>
  <c r="K31" i="1"/>
  <c r="I31" i="1"/>
  <c r="H31" i="1"/>
  <c r="G31" i="1"/>
  <c r="J31" i="1" s="1"/>
  <c r="F31" i="1"/>
  <c r="E31" i="1"/>
  <c r="D31" i="1"/>
  <c r="C31" i="1"/>
  <c r="B31" i="1"/>
  <c r="A31" i="1"/>
  <c r="L30" i="1"/>
  <c r="K30" i="1"/>
  <c r="I30" i="1"/>
  <c r="H30" i="1"/>
  <c r="G30" i="1"/>
  <c r="J30" i="1" s="1"/>
  <c r="F30" i="1"/>
  <c r="E30" i="1"/>
  <c r="D30" i="1"/>
  <c r="C30" i="1"/>
  <c r="B30" i="1"/>
  <c r="A30" i="1"/>
  <c r="L29" i="1"/>
  <c r="K29" i="1"/>
  <c r="I29" i="1"/>
  <c r="H29" i="1"/>
  <c r="G29" i="1"/>
  <c r="F29" i="1"/>
  <c r="E29" i="1"/>
  <c r="D29" i="1"/>
  <c r="C29" i="1"/>
  <c r="B29" i="1"/>
  <c r="A29" i="1"/>
  <c r="L28" i="1"/>
  <c r="K28" i="1"/>
  <c r="I28" i="1"/>
  <c r="H28" i="1"/>
  <c r="G28" i="1"/>
  <c r="J28" i="1" s="1"/>
  <c r="F28" i="1"/>
  <c r="E28" i="1"/>
  <c r="D28" i="1"/>
  <c r="C28" i="1"/>
  <c r="B28" i="1"/>
  <c r="A28" i="1"/>
  <c r="L27" i="1"/>
  <c r="K27" i="1"/>
  <c r="I27" i="1"/>
  <c r="H27" i="1"/>
  <c r="G27" i="1"/>
  <c r="F27" i="1"/>
  <c r="E27" i="1"/>
  <c r="D27" i="1"/>
  <c r="C27" i="1"/>
  <c r="B27" i="1"/>
  <c r="A27" i="1"/>
  <c r="L26" i="1"/>
  <c r="K26" i="1"/>
  <c r="I26" i="1"/>
  <c r="H26" i="1"/>
  <c r="G26" i="1"/>
  <c r="F26" i="1"/>
  <c r="E26" i="1"/>
  <c r="D26" i="1"/>
  <c r="C26" i="1"/>
  <c r="B26" i="1"/>
  <c r="A26" i="1"/>
  <c r="L25" i="1"/>
  <c r="K25" i="1"/>
  <c r="I25" i="1"/>
  <c r="H25" i="1"/>
  <c r="G25" i="1"/>
  <c r="J25" i="1" s="1"/>
  <c r="F25" i="1"/>
  <c r="E25" i="1"/>
  <c r="D25" i="1"/>
  <c r="C25" i="1"/>
  <c r="B25" i="1"/>
  <c r="A25" i="1"/>
  <c r="L24" i="1"/>
  <c r="K24" i="1"/>
  <c r="I24" i="1"/>
  <c r="H24" i="1"/>
  <c r="G24" i="1"/>
  <c r="J24" i="1" s="1"/>
  <c r="F24" i="1"/>
  <c r="E24" i="1"/>
  <c r="D24" i="1"/>
  <c r="C24" i="1"/>
  <c r="B24" i="1"/>
  <c r="A24" i="1"/>
  <c r="L23" i="1"/>
  <c r="K23" i="1"/>
  <c r="I23" i="1"/>
  <c r="H23" i="1"/>
  <c r="G23" i="1"/>
  <c r="J23" i="1" s="1"/>
  <c r="F23" i="1"/>
  <c r="E23" i="1"/>
  <c r="D23" i="1"/>
  <c r="C23" i="1"/>
  <c r="B23" i="1"/>
  <c r="A23" i="1"/>
  <c r="L22" i="1"/>
  <c r="K22" i="1"/>
  <c r="I22" i="1"/>
  <c r="H22" i="1"/>
  <c r="G22" i="1"/>
  <c r="J22" i="1" s="1"/>
  <c r="F22" i="1"/>
  <c r="E22" i="1"/>
  <c r="D22" i="1"/>
  <c r="C22" i="1"/>
  <c r="B22" i="1"/>
  <c r="A22" i="1"/>
  <c r="L21" i="1"/>
  <c r="K21" i="1"/>
  <c r="I21" i="1"/>
  <c r="H21" i="1"/>
  <c r="G21" i="1"/>
  <c r="F21" i="1"/>
  <c r="E21" i="1"/>
  <c r="D21" i="1"/>
  <c r="C21" i="1"/>
  <c r="B21" i="1"/>
  <c r="A21" i="1"/>
  <c r="L20" i="1"/>
  <c r="K20" i="1"/>
  <c r="I20" i="1"/>
  <c r="H20" i="1"/>
  <c r="G20" i="1"/>
  <c r="J20" i="1" s="1"/>
  <c r="F20" i="1"/>
  <c r="E20" i="1"/>
  <c r="D20" i="1"/>
  <c r="C20" i="1"/>
  <c r="B20" i="1"/>
  <c r="A20" i="1"/>
  <c r="L19" i="1"/>
  <c r="K19" i="1"/>
  <c r="I19" i="1"/>
  <c r="H19" i="1"/>
  <c r="G19" i="1"/>
  <c r="J19" i="1" s="1"/>
  <c r="F19" i="1"/>
  <c r="E19" i="1"/>
  <c r="D19" i="1"/>
  <c r="C19" i="1"/>
  <c r="B19" i="1"/>
  <c r="A19" i="1"/>
  <c r="L18" i="1"/>
  <c r="K18" i="1"/>
  <c r="I18" i="1"/>
  <c r="H18" i="1"/>
  <c r="G18" i="1"/>
  <c r="F18" i="1"/>
  <c r="E18" i="1"/>
  <c r="D18" i="1"/>
  <c r="C18" i="1"/>
  <c r="B18" i="1"/>
  <c r="A18" i="1"/>
  <c r="L17" i="1"/>
  <c r="K17" i="1"/>
  <c r="I17" i="1"/>
  <c r="H17" i="1"/>
  <c r="G17" i="1"/>
  <c r="J17" i="1" s="1"/>
  <c r="F17" i="1"/>
  <c r="E17" i="1"/>
  <c r="D17" i="1"/>
  <c r="C17" i="1"/>
  <c r="B17" i="1"/>
  <c r="A17" i="1"/>
  <c r="L16" i="1"/>
  <c r="K16" i="1"/>
  <c r="I16" i="1"/>
  <c r="H16" i="1"/>
  <c r="G16" i="1"/>
  <c r="J16" i="1" s="1"/>
  <c r="F16" i="1"/>
  <c r="E16" i="1"/>
  <c r="D16" i="1"/>
  <c r="C16" i="1"/>
  <c r="B16" i="1"/>
  <c r="A16" i="1"/>
  <c r="L15" i="1"/>
  <c r="K15" i="1"/>
  <c r="I15" i="1"/>
  <c r="H15" i="1"/>
  <c r="G15" i="1"/>
  <c r="J15" i="1" s="1"/>
  <c r="F15" i="1"/>
  <c r="E15" i="1"/>
  <c r="D15" i="1"/>
  <c r="C15" i="1"/>
  <c r="B15" i="1"/>
  <c r="A15" i="1"/>
  <c r="L14" i="1"/>
  <c r="K14" i="1"/>
  <c r="I14" i="1"/>
  <c r="H14" i="1"/>
  <c r="G14" i="1"/>
  <c r="J14" i="1" s="1"/>
  <c r="F14" i="1"/>
  <c r="E14" i="1"/>
  <c r="D14" i="1"/>
  <c r="C14" i="1"/>
  <c r="B14" i="1"/>
  <c r="A14" i="1"/>
  <c r="L13" i="1"/>
  <c r="K13" i="1"/>
  <c r="I13" i="1"/>
  <c r="H13" i="1"/>
  <c r="G13" i="1"/>
  <c r="F13" i="1"/>
  <c r="E13" i="1"/>
  <c r="D13" i="1"/>
  <c r="C13" i="1"/>
  <c r="B13" i="1"/>
  <c r="A13" i="1"/>
  <c r="L12" i="1"/>
  <c r="K12" i="1"/>
  <c r="I12" i="1"/>
  <c r="H12" i="1"/>
  <c r="G12" i="1"/>
  <c r="J12" i="1" s="1"/>
  <c r="F12" i="1"/>
  <c r="E12" i="1"/>
  <c r="D12" i="1"/>
  <c r="C12" i="1"/>
  <c r="B12" i="1"/>
  <c r="A12" i="1"/>
  <c r="L11" i="1"/>
  <c r="K11" i="1"/>
  <c r="I11" i="1"/>
  <c r="H11" i="1"/>
  <c r="G11" i="1"/>
  <c r="F11" i="1"/>
  <c r="E11" i="1"/>
  <c r="D11" i="1"/>
  <c r="C11" i="1"/>
  <c r="B11" i="1"/>
  <c r="A11" i="1"/>
  <c r="L10" i="1"/>
  <c r="K10" i="1"/>
  <c r="I10" i="1"/>
  <c r="H10" i="1"/>
  <c r="G10" i="1"/>
  <c r="J10" i="1" s="1"/>
  <c r="F10" i="1"/>
  <c r="E10" i="1"/>
  <c r="D10" i="1"/>
  <c r="C10" i="1"/>
  <c r="B10" i="1"/>
  <c r="A10" i="1"/>
  <c r="L9" i="1"/>
  <c r="K9" i="1"/>
  <c r="I9" i="1"/>
  <c r="H9" i="1"/>
  <c r="G9" i="1"/>
  <c r="J9" i="1" s="1"/>
  <c r="F9" i="1"/>
  <c r="E9" i="1"/>
  <c r="D9" i="1"/>
  <c r="C9" i="1"/>
  <c r="B9" i="1"/>
  <c r="A9" i="1"/>
  <c r="L8" i="1"/>
  <c r="K8" i="1"/>
  <c r="J8" i="1"/>
  <c r="I8" i="1"/>
  <c r="H8" i="1"/>
  <c r="G8" i="1"/>
  <c r="F8" i="1"/>
  <c r="E8" i="1"/>
  <c r="D8" i="1"/>
  <c r="C8" i="1"/>
  <c r="B8" i="1"/>
  <c r="A8" i="1"/>
  <c r="L7" i="1"/>
  <c r="K7" i="1"/>
  <c r="I7" i="1"/>
  <c r="H7" i="1"/>
  <c r="G7" i="1"/>
  <c r="J7" i="1" s="1"/>
  <c r="F7" i="1"/>
  <c r="E7" i="1"/>
  <c r="D7" i="1"/>
  <c r="C7" i="1"/>
  <c r="B7" i="1"/>
  <c r="A7" i="1"/>
  <c r="L6" i="1"/>
  <c r="K6" i="1"/>
  <c r="I6" i="1"/>
  <c r="H6" i="1"/>
  <c r="G6" i="1"/>
  <c r="J6" i="1" s="1"/>
  <c r="F6" i="1"/>
  <c r="E6" i="1"/>
  <c r="D6" i="1"/>
  <c r="C6" i="1"/>
  <c r="B6" i="1"/>
  <c r="A6" i="1"/>
  <c r="L5" i="1"/>
  <c r="K5" i="1"/>
  <c r="I5" i="1"/>
  <c r="H5" i="1"/>
  <c r="G5" i="1"/>
  <c r="F5" i="1"/>
  <c r="E5" i="1"/>
  <c r="D5" i="1"/>
  <c r="C5" i="1"/>
  <c r="B5" i="1"/>
  <c r="A5" i="1"/>
  <c r="L4" i="1"/>
  <c r="K4" i="1"/>
  <c r="I4" i="1"/>
  <c r="H4" i="1"/>
  <c r="G4" i="1"/>
  <c r="J4" i="1" s="1"/>
  <c r="F4" i="1"/>
  <c r="E4" i="1"/>
  <c r="D4" i="1"/>
  <c r="C4" i="1"/>
  <c r="B4" i="1"/>
  <c r="A4" i="1"/>
  <c r="L3" i="1"/>
  <c r="K3" i="1"/>
  <c r="I3" i="1"/>
  <c r="H3" i="1"/>
  <c r="G3" i="1"/>
  <c r="F3" i="1"/>
  <c r="E3" i="1"/>
  <c r="D3" i="1"/>
  <c r="C3" i="1"/>
  <c r="B3" i="1"/>
  <c r="A3" i="1"/>
  <c r="L2" i="1"/>
  <c r="K2" i="1"/>
  <c r="I2" i="1"/>
  <c r="H2" i="1"/>
  <c r="G2" i="1"/>
  <c r="F2" i="1"/>
  <c r="E2" i="1"/>
  <c r="D2" i="1"/>
  <c r="B2" i="1"/>
  <c r="A2" i="1"/>
  <c r="J3" i="1" l="1"/>
  <c r="J11" i="1"/>
  <c r="J27" i="1"/>
  <c r="J75" i="1"/>
  <c r="J83" i="1"/>
  <c r="J107" i="1"/>
  <c r="J115" i="1"/>
  <c r="J123" i="1"/>
  <c r="J139" i="1"/>
  <c r="J346" i="1"/>
  <c r="J442" i="1"/>
  <c r="J554" i="1"/>
  <c r="J402" i="1"/>
  <c r="J972" i="1"/>
  <c r="J996" i="1"/>
  <c r="J1036" i="1"/>
  <c r="J306" i="1"/>
  <c r="J514" i="1"/>
  <c r="J530" i="1"/>
  <c r="J578" i="1"/>
  <c r="J290" i="1"/>
  <c r="J1060" i="1"/>
  <c r="J1105" i="1"/>
  <c r="J5" i="1"/>
  <c r="J13" i="1"/>
  <c r="J21" i="1"/>
  <c r="J29" i="1"/>
  <c r="J37" i="1"/>
  <c r="J45" i="1"/>
  <c r="J53" i="1"/>
  <c r="J61" i="1"/>
  <c r="J69" i="1"/>
  <c r="J77" i="1"/>
  <c r="J85" i="1"/>
  <c r="J93" i="1"/>
  <c r="J101" i="1"/>
  <c r="J109" i="1"/>
  <c r="J117" i="1"/>
  <c r="J125" i="1"/>
  <c r="J133" i="1"/>
  <c r="J141" i="1"/>
  <c r="J149" i="1"/>
  <c r="J157" i="1"/>
  <c r="J165" i="1"/>
  <c r="J173" i="1"/>
  <c r="J181" i="1"/>
  <c r="J189" i="1"/>
  <c r="J197" i="1"/>
  <c r="J205" i="1"/>
  <c r="J213" i="1"/>
  <c r="J221" i="1"/>
  <c r="J229" i="1"/>
  <c r="J237" i="1"/>
  <c r="J245" i="1"/>
  <c r="J253" i="1"/>
  <c r="J261" i="1"/>
  <c r="J269" i="1"/>
  <c r="J277" i="1"/>
  <c r="J322" i="1"/>
  <c r="J362" i="1"/>
  <c r="J378" i="1"/>
  <c r="J394" i="1"/>
  <c r="J434" i="1"/>
  <c r="J474" i="1"/>
  <c r="J466" i="1"/>
  <c r="J498" i="1"/>
  <c r="J2" i="1"/>
  <c r="J18" i="1"/>
  <c r="J26" i="1"/>
  <c r="J34" i="1"/>
  <c r="J42" i="1"/>
  <c r="J50" i="1"/>
  <c r="J58" i="1"/>
  <c r="J82" i="1"/>
  <c r="J90" i="1"/>
  <c r="J98" i="1"/>
  <c r="J106" i="1"/>
  <c r="J114" i="1"/>
  <c r="J122" i="1"/>
  <c r="J130" i="1"/>
  <c r="J138" i="1"/>
  <c r="J154" i="1"/>
  <c r="J162" i="1"/>
  <c r="J170" i="1"/>
  <c r="J178" i="1"/>
  <c r="J186" i="1"/>
  <c r="J194" i="1"/>
  <c r="J202" i="1"/>
  <c r="J210" i="1"/>
  <c r="J218" i="1"/>
  <c r="J226" i="1"/>
  <c r="J234" i="1"/>
  <c r="J242" i="1"/>
  <c r="J250" i="1"/>
  <c r="J258" i="1"/>
  <c r="J266" i="1"/>
  <c r="J274" i="1"/>
  <c r="J282" i="1"/>
  <c r="J338" i="1"/>
  <c r="J410" i="1"/>
  <c r="J490" i="1"/>
  <c r="J506" i="1"/>
  <c r="J546" i="1"/>
  <c r="J562" i="1"/>
  <c r="J786" i="1"/>
  <c r="J1084" i="1"/>
  <c r="J298" i="1"/>
  <c r="J426" i="1"/>
  <c r="J458" i="1"/>
  <c r="J674" i="1"/>
  <c r="J418" i="1"/>
  <c r="J314" i="1"/>
  <c r="J354" i="1"/>
  <c r="J658" i="1"/>
  <c r="J330" i="1"/>
  <c r="J370" i="1"/>
  <c r="J386" i="1"/>
  <c r="J450" i="1"/>
  <c r="J482" i="1"/>
  <c r="J522" i="1"/>
  <c r="J538" i="1"/>
  <c r="J570" i="1"/>
  <c r="J586" i="1"/>
  <c r="J312" i="1"/>
  <c r="J320" i="1"/>
  <c r="J328" i="1"/>
  <c r="J336" i="1"/>
  <c r="J344" i="1"/>
  <c r="J352" i="1"/>
  <c r="J360" i="1"/>
  <c r="J368" i="1"/>
  <c r="J376" i="1"/>
  <c r="J384" i="1"/>
  <c r="J408" i="1"/>
  <c r="J416" i="1"/>
  <c r="J432" i="1"/>
  <c r="J440" i="1"/>
  <c r="J448" i="1"/>
  <c r="J456" i="1"/>
  <c r="J464" i="1"/>
  <c r="J472" i="1"/>
  <c r="J488" i="1"/>
  <c r="J496" i="1"/>
  <c r="J504" i="1"/>
  <c r="J520" i="1"/>
  <c r="J528" i="1"/>
  <c r="J536" i="1"/>
  <c r="J544" i="1"/>
  <c r="J552" i="1"/>
  <c r="J560" i="1"/>
  <c r="J568" i="1"/>
  <c r="J576" i="1"/>
  <c r="J642" i="1"/>
  <c r="J706" i="1"/>
  <c r="J722" i="1"/>
  <c r="J762" i="1"/>
  <c r="J826" i="1"/>
  <c r="J285" i="1"/>
  <c r="J293" i="1"/>
  <c r="J301" i="1"/>
  <c r="J309" i="1"/>
  <c r="J317" i="1"/>
  <c r="J325" i="1"/>
  <c r="J333" i="1"/>
  <c r="J341" i="1"/>
  <c r="J349" i="1"/>
  <c r="J357" i="1"/>
  <c r="J365" i="1"/>
  <c r="J373" i="1"/>
  <c r="J381" i="1"/>
  <c r="J389" i="1"/>
  <c r="J397" i="1"/>
  <c r="J405" i="1"/>
  <c r="J413" i="1"/>
  <c r="J421" i="1"/>
  <c r="J429" i="1"/>
  <c r="J437" i="1"/>
  <c r="J445" i="1"/>
  <c r="J453" i="1"/>
  <c r="J461" i="1"/>
  <c r="J469" i="1"/>
  <c r="J477" i="1"/>
  <c r="J485" i="1"/>
  <c r="J493" i="1"/>
  <c r="J501" i="1"/>
  <c r="J509" i="1"/>
  <c r="J517" i="1"/>
  <c r="J525" i="1"/>
  <c r="J533" i="1"/>
  <c r="J541" i="1"/>
  <c r="J549" i="1"/>
  <c r="J557" i="1"/>
  <c r="J565" i="1"/>
  <c r="J573" i="1"/>
  <c r="J610" i="1"/>
  <c r="J690" i="1"/>
  <c r="J738" i="1"/>
  <c r="J802" i="1"/>
  <c r="J874" i="1"/>
  <c r="J626" i="1"/>
  <c r="J778" i="1"/>
  <c r="J842" i="1"/>
  <c r="J367" i="1"/>
  <c r="J375" i="1"/>
  <c r="J391" i="1"/>
  <c r="J399" i="1"/>
  <c r="J602" i="1"/>
  <c r="J650" i="1"/>
  <c r="J666" i="1"/>
  <c r="J754" i="1"/>
  <c r="J818" i="1"/>
  <c r="J866" i="1"/>
  <c r="J585" i="1"/>
  <c r="J682" i="1"/>
  <c r="J698" i="1"/>
  <c r="J714" i="1"/>
  <c r="J730" i="1"/>
  <c r="J794" i="1"/>
  <c r="J581" i="1"/>
  <c r="J594" i="1"/>
  <c r="J634" i="1"/>
  <c r="J770" i="1"/>
  <c r="J834" i="1"/>
  <c r="J858" i="1"/>
  <c r="J618" i="1"/>
  <c r="J746" i="1"/>
  <c r="J810" i="1"/>
  <c r="J584" i="1"/>
  <c r="J592" i="1"/>
  <c r="J600" i="1"/>
  <c r="J608" i="1"/>
  <c r="J632" i="1"/>
  <c r="J640" i="1"/>
  <c r="J648" i="1"/>
  <c r="J680" i="1"/>
  <c r="J688" i="1"/>
  <c r="J696" i="1"/>
  <c r="J932" i="1"/>
  <c r="J589" i="1"/>
  <c r="J597" i="1"/>
  <c r="J605" i="1"/>
  <c r="J613" i="1"/>
  <c r="J621" i="1"/>
  <c r="J629" i="1"/>
  <c r="J637" i="1"/>
  <c r="J645" i="1"/>
  <c r="J653" i="1"/>
  <c r="J661" i="1"/>
  <c r="J669" i="1"/>
  <c r="J677" i="1"/>
  <c r="J685" i="1"/>
  <c r="J693" i="1"/>
  <c r="J701" i="1"/>
  <c r="J709" i="1"/>
  <c r="J717" i="1"/>
  <c r="J725" i="1"/>
  <c r="J924" i="1"/>
  <c r="J1012" i="1"/>
  <c r="J1028" i="1"/>
  <c r="J1076" i="1"/>
  <c r="J1212" i="1"/>
  <c r="J1324" i="1"/>
  <c r="J1348" i="1"/>
  <c r="J1372" i="1"/>
  <c r="J1396" i="1"/>
  <c r="J916" i="1"/>
  <c r="J964" i="1"/>
  <c r="J908" i="1"/>
  <c r="J956" i="1"/>
  <c r="J988" i="1"/>
  <c r="J1004" i="1"/>
  <c r="J1052" i="1"/>
  <c r="J1068" i="1"/>
  <c r="J1100" i="1"/>
  <c r="J900" i="1"/>
  <c r="J948" i="1"/>
  <c r="J980" i="1"/>
  <c r="J851" i="1"/>
  <c r="J853" i="1"/>
  <c r="J892" i="1"/>
  <c r="J940" i="1"/>
  <c r="J1020" i="1"/>
  <c r="J1044" i="1"/>
  <c r="J1092" i="1"/>
  <c r="J884" i="1"/>
  <c r="J1164" i="1"/>
  <c r="J1220" i="1"/>
  <c r="J1380" i="1"/>
  <c r="J992" i="1"/>
  <c r="J1000" i="1"/>
  <c r="J1008" i="1"/>
  <c r="J1016" i="1"/>
  <c r="J1024" i="1"/>
  <c r="J1032" i="1"/>
  <c r="J1040" i="1"/>
  <c r="J1048" i="1"/>
  <c r="J1056" i="1"/>
  <c r="J1064" i="1"/>
  <c r="J1072" i="1"/>
  <c r="J1080" i="1"/>
  <c r="J1088" i="1"/>
  <c r="J1096" i="1"/>
  <c r="J1109" i="1"/>
  <c r="J1188" i="1"/>
  <c r="J1268" i="1"/>
  <c r="J1428" i="1"/>
  <c r="J882" i="1"/>
  <c r="J890" i="1"/>
  <c r="J898" i="1"/>
  <c r="J906" i="1"/>
  <c r="J914" i="1"/>
  <c r="J922" i="1"/>
  <c r="J930" i="1"/>
  <c r="J938" i="1"/>
  <c r="J946" i="1"/>
  <c r="J954" i="1"/>
  <c r="J962" i="1"/>
  <c r="J970" i="1"/>
  <c r="J978" i="1"/>
  <c r="J986" i="1"/>
  <c r="J994" i="1"/>
  <c r="J1002" i="1"/>
  <c r="J1010" i="1"/>
  <c r="J1018" i="1"/>
  <c r="J1026" i="1"/>
  <c r="J1034" i="1"/>
  <c r="J1042" i="1"/>
  <c r="J1050" i="1"/>
  <c r="J1058" i="1"/>
  <c r="J1066" i="1"/>
  <c r="J1074" i="1"/>
  <c r="J1082" i="1"/>
  <c r="J1090" i="1"/>
  <c r="J1098" i="1"/>
  <c r="J1116" i="1"/>
  <c r="J1133" i="1"/>
  <c r="J1156" i="1"/>
  <c r="J1244" i="1"/>
  <c r="J1300" i="1"/>
  <c r="J1420" i="1"/>
  <c r="J1124" i="1"/>
  <c r="J1148" i="1"/>
  <c r="J1180" i="1"/>
  <c r="J1204" i="1"/>
  <c r="J1236" i="1"/>
  <c r="J1252" i="1"/>
  <c r="J1260" i="1"/>
  <c r="J1292" i="1"/>
  <c r="J1340" i="1"/>
  <c r="J1364" i="1"/>
  <c r="J1132" i="1"/>
  <c r="J1316" i="1"/>
  <c r="J1388" i="1"/>
  <c r="J1412" i="1"/>
  <c r="J1140" i="1"/>
  <c r="J1196" i="1"/>
  <c r="J1228" i="1"/>
  <c r="J1284" i="1"/>
  <c r="J1172" i="1"/>
  <c r="J1276" i="1"/>
  <c r="J1308" i="1"/>
  <c r="J1332" i="1"/>
  <c r="J1356" i="1"/>
  <c r="J1404" i="1"/>
  <c r="J1436" i="1"/>
  <c r="J1242" i="1"/>
  <c r="J1266" i="1"/>
  <c r="J1274" i="1"/>
  <c r="J1282" i="1"/>
  <c r="J1290" i="1"/>
  <c r="J1298" i="1"/>
  <c r="J1306" i="1"/>
  <c r="J1346" i="1"/>
  <c r="J1354" i="1"/>
  <c r="J1362" i="1"/>
  <c r="J1370" i="1"/>
  <c r="J1378" i="1"/>
  <c r="J1386" i="1"/>
  <c r="J1143" i="1"/>
  <c r="J1151" i="1"/>
  <c r="J1159" i="1"/>
  <c r="J1167" i="1"/>
  <c r="J1175" i="1"/>
  <c r="J1183" i="1"/>
  <c r="J1191" i="1"/>
  <c r="J1199" i="1"/>
  <c r="J1207" i="1"/>
  <c r="J1215" i="1"/>
  <c r="J1223" i="1"/>
  <c r="J1231" i="1"/>
  <c r="J1239" i="1"/>
  <c r="J1247" i="1"/>
  <c r="J1255" i="1"/>
  <c r="J1263" i="1"/>
  <c r="J1271" i="1"/>
  <c r="J1279" i="1"/>
  <c r="J1287" i="1"/>
  <c r="J1295" i="1"/>
  <c r="J1303" i="1"/>
  <c r="J1311" i="1"/>
  <c r="J1319" i="1"/>
  <c r="J1327" i="1"/>
  <c r="J1335" i="1"/>
  <c r="J1343" i="1"/>
  <c r="J1351" i="1"/>
  <c r="J1359" i="1"/>
  <c r="J1367" i="1"/>
  <c r="J1375" i="1"/>
  <c r="J1383" i="1"/>
  <c r="J1391" i="1"/>
  <c r="J1399" i="1"/>
  <c r="J1415" i="1"/>
  <c r="J1423" i="1"/>
  <c r="J1439" i="1"/>
</calcChain>
</file>

<file path=xl/sharedStrings.xml><?xml version="1.0" encoding="utf-8"?>
<sst xmlns="http://schemas.openxmlformats.org/spreadsheetml/2006/main" count="3791" uniqueCount="113">
  <si>
    <t>Year</t>
  </si>
  <si>
    <t>Metal</t>
  </si>
  <si>
    <t>Demand scenario CER</t>
  </si>
  <si>
    <t>Production scenario CCI</t>
  </si>
  <si>
    <t>Production scenario CCI|Refining CAN share</t>
  </si>
  <si>
    <t>Supply scenario</t>
  </si>
  <si>
    <t>Demand_value_t</t>
  </si>
  <si>
    <t>Mining CAN</t>
  </si>
  <si>
    <t>Mining RoW</t>
  </si>
  <si>
    <t>Refining CAN (mining CAN)</t>
  </si>
  <si>
    <t>Refining RoW (mining CAN)</t>
  </si>
  <si>
    <t>Refining RoW (mining RoW)</t>
  </si>
  <si>
    <t>Commodity name</t>
  </si>
  <si>
    <t>Commodity</t>
  </si>
  <si>
    <t>Price (USD/kg)</t>
  </si>
  <si>
    <t>Source</t>
  </si>
  <si>
    <t>(CoSO4) Cobalt; mattes and other intermediate products of cobalt metallurgy, unwrought cobalt, powders</t>
  </si>
  <si>
    <t>Co</t>
  </si>
  <si>
    <t>Lai et al. 2025</t>
  </si>
  <si>
    <t>Copper; refined, unwrought</t>
  </si>
  <si>
    <t>Cu</t>
  </si>
  <si>
    <t>Nickel; unwrought, not alloyed</t>
  </si>
  <si>
    <t>Ni</t>
  </si>
  <si>
    <t>Price (€/kg)</t>
  </si>
  <si>
    <t>Total EQ (PDF.m2.yr)</t>
  </si>
  <si>
    <t>Total HH (DALY)</t>
  </si>
  <si>
    <t>Cu mining CA</t>
  </si>
  <si>
    <t>Ni mining CA</t>
  </si>
  <si>
    <t>Co mining CA</t>
  </si>
  <si>
    <t>Cu mining World</t>
  </si>
  <si>
    <t>Ni mining World</t>
  </si>
  <si>
    <t>Co mining World</t>
  </si>
  <si>
    <t>Cu mining+refining CA</t>
  </si>
  <si>
    <t>Ni refining CA</t>
  </si>
  <si>
    <t>Co refining CA</t>
  </si>
  <si>
    <t>Cu mining+refining World</t>
  </si>
  <si>
    <t>Ni refining World</t>
  </si>
  <si>
    <t>Co refining World</t>
  </si>
  <si>
    <t>Geography</t>
  </si>
  <si>
    <t>CAN</t>
  </si>
  <si>
    <t>World</t>
  </si>
  <si>
    <t>Reference point</t>
  </si>
  <si>
    <t>Mining</t>
  </si>
  <si>
    <t>Refining</t>
  </si>
  <si>
    <t>Mining+refining</t>
  </si>
  <si>
    <t>Cu refining CA</t>
  </si>
  <si>
    <t>Cu refining World</t>
  </si>
  <si>
    <t>1 Labor rights &amp; decent work</t>
  </si>
  <si>
    <t>2 Health &amp; safety</t>
  </si>
  <si>
    <t>3 Society</t>
  </si>
  <si>
    <t>Employment (Global) (full time job equivalent/CAD)</t>
  </si>
  <si>
    <t>IO multiplier (Global economy)</t>
  </si>
  <si>
    <t>Details</t>
  </si>
  <si>
    <t>Price (CAD/kg)</t>
  </si>
  <si>
    <t>INVENTORIES = {</t>
  </si>
  <si>
    <r>
      <t xml:space="preserve">    </t>
    </r>
    <r>
      <rPr>
        <sz val="10"/>
        <color rgb="FF7A7E85"/>
        <rFont val="JetBrains Mono"/>
        <family val="3"/>
      </rPr>
      <t># Mining</t>
    </r>
  </si>
  <si>
    <t xml:space="preserve">    ## CA</t>
  </si>
  <si>
    <r>
      <t xml:space="preserve">    </t>
    </r>
    <r>
      <rPr>
        <sz val="10"/>
        <color rgb="FF6AAB73"/>
        <rFont val="JetBrains Mono"/>
        <family val="3"/>
      </rPr>
      <t>"Cu mining CA"</t>
    </r>
    <r>
      <rPr>
        <sz val="10"/>
        <color rgb="FFBCBEC4"/>
        <rFont val="JetBrains Mono"/>
        <family val="3"/>
      </rPr>
      <t>: (</t>
    </r>
    <r>
      <rPr>
        <sz val="10"/>
        <color rgb="FF6AAB73"/>
        <rFont val="JetBrains Mono"/>
        <family val="3"/>
      </rPr>
      <t>"copper mine operation and beneficiation, sulfide ore"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"copper concentrate, sulfide ore"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'CA'</t>
    </r>
    <r>
      <rPr>
        <sz val="10"/>
        <color rgb="FFBCBEC4"/>
        <rFont val="JetBrains Mono"/>
        <family val="3"/>
      </rPr>
      <t>),</t>
    </r>
  </si>
  <si>
    <r>
      <t xml:space="preserve">    </t>
    </r>
    <r>
      <rPr>
        <sz val="10"/>
        <color rgb="FF6AAB73"/>
        <rFont val="JetBrains Mono"/>
        <family val="3"/>
      </rPr>
      <t>"Ni mining CA"</t>
    </r>
    <r>
      <rPr>
        <sz val="10"/>
        <color rgb="FFBCBEC4"/>
        <rFont val="JetBrains Mono"/>
        <family val="3"/>
      </rPr>
      <t>: (</t>
    </r>
    <r>
      <rPr>
        <sz val="10"/>
        <color rgb="FF6AAB73"/>
        <rFont val="JetBrains Mono"/>
        <family val="3"/>
      </rPr>
      <t>"nickel mine operation and benefication to nickel concentrate, 16% Ni"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"nickel concentrate, 16% Ni"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"CA-QC"</t>
    </r>
    <r>
      <rPr>
        <sz val="10"/>
        <color rgb="FFBCBEC4"/>
        <rFont val="JetBrains Mono"/>
        <family val="3"/>
      </rPr>
      <t>),</t>
    </r>
  </si>
  <si>
    <r>
      <t xml:space="preserve">    </t>
    </r>
    <r>
      <rPr>
        <sz val="10"/>
        <color rgb="FF6AAB73"/>
        <rFont val="JetBrains Mono"/>
        <family val="3"/>
      </rPr>
      <t>"Co mining CA"</t>
    </r>
    <r>
      <rPr>
        <sz val="10"/>
        <color rgb="FFBCBEC4"/>
        <rFont val="JetBrains Mono"/>
        <family val="3"/>
      </rPr>
      <t>: (</t>
    </r>
    <r>
      <rPr>
        <sz val="10"/>
        <color rgb="FF6AAB73"/>
        <rFont val="JetBrains Mono"/>
        <family val="3"/>
      </rPr>
      <t>"copper-cobalt mining, industrial, economic allocation"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"copper-cobalt ore"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'CA'</t>
    </r>
    <r>
      <rPr>
        <sz val="10"/>
        <color rgb="FFBCBEC4"/>
        <rFont val="JetBrains Mono"/>
        <family val="3"/>
      </rPr>
      <t>),</t>
    </r>
  </si>
  <si>
    <r>
      <t xml:space="preserve">    </t>
    </r>
    <r>
      <rPr>
        <sz val="10"/>
        <color rgb="FF7A7E85"/>
        <rFont val="JetBrains Mono"/>
        <family val="3"/>
      </rPr>
      <t>## World</t>
    </r>
  </si>
  <si>
    <r>
      <t xml:space="preserve">    </t>
    </r>
    <r>
      <rPr>
        <sz val="10"/>
        <color rgb="FF6AAB73"/>
        <rFont val="JetBrains Mono"/>
        <family val="3"/>
      </rPr>
      <t>"Cu mining World"</t>
    </r>
    <r>
      <rPr>
        <sz val="10"/>
        <color rgb="FFBCBEC4"/>
        <rFont val="JetBrains Mono"/>
        <family val="3"/>
      </rPr>
      <t>: (</t>
    </r>
    <r>
      <rPr>
        <sz val="10"/>
        <color rgb="FF6AAB73"/>
        <rFont val="JetBrains Mono"/>
        <family val="3"/>
      </rPr>
      <t>"market for copper concentrate, sulfide ore"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"copper concentrate, sulfide ore"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'World'</t>
    </r>
    <r>
      <rPr>
        <sz val="10"/>
        <color rgb="FFBCBEC4"/>
        <rFont val="JetBrains Mono"/>
        <family val="3"/>
      </rPr>
      <t>),</t>
    </r>
  </si>
  <si>
    <r>
      <t xml:space="preserve">    </t>
    </r>
    <r>
      <rPr>
        <sz val="10"/>
        <color rgb="FF6AAB73"/>
        <rFont val="JetBrains Mono"/>
        <family val="3"/>
      </rPr>
      <t>"Ni mining World"</t>
    </r>
    <r>
      <rPr>
        <sz val="10"/>
        <color rgb="FFBCBEC4"/>
        <rFont val="JetBrains Mono"/>
        <family val="3"/>
      </rPr>
      <t>: (</t>
    </r>
    <r>
      <rPr>
        <sz val="10"/>
        <color rgb="FF6AAB73"/>
        <rFont val="JetBrains Mono"/>
        <family val="3"/>
      </rPr>
      <t>"market for nickel concentrate, 16% Ni"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"nickel concentrate, 16% Ni"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'World'</t>
    </r>
    <r>
      <rPr>
        <sz val="10"/>
        <color rgb="FFBCBEC4"/>
        <rFont val="JetBrains Mono"/>
        <family val="3"/>
      </rPr>
      <t>),</t>
    </r>
  </si>
  <si>
    <r>
      <t xml:space="preserve">    </t>
    </r>
    <r>
      <rPr>
        <sz val="10"/>
        <color rgb="FF6AAB73"/>
        <rFont val="JetBrains Mono"/>
        <family val="3"/>
      </rPr>
      <t>"Co mining World"</t>
    </r>
    <r>
      <rPr>
        <sz val="10"/>
        <color rgb="FFBCBEC4"/>
        <rFont val="JetBrains Mono"/>
        <family val="3"/>
      </rPr>
      <t>: (</t>
    </r>
    <r>
      <rPr>
        <sz val="10"/>
        <color rgb="FF6AAB73"/>
        <rFont val="JetBrains Mono"/>
        <family val="3"/>
      </rPr>
      <t>"market for copper-cobalt ore"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"copper-cobalt ore"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'World'</t>
    </r>
    <r>
      <rPr>
        <sz val="10"/>
        <color rgb="FFBCBEC4"/>
        <rFont val="JetBrains Mono"/>
        <family val="3"/>
      </rPr>
      <t>),</t>
    </r>
  </si>
  <si>
    <r>
      <t xml:space="preserve">    </t>
    </r>
    <r>
      <rPr>
        <sz val="10"/>
        <color rgb="FF7A7E85"/>
        <rFont val="JetBrains Mono"/>
        <family val="3"/>
      </rPr>
      <t># Refining or Mining+refining</t>
    </r>
  </si>
  <si>
    <r>
      <t xml:space="preserve">    </t>
    </r>
    <r>
      <rPr>
        <sz val="10"/>
        <color rgb="FF6AAB73"/>
        <rFont val="JetBrains Mono"/>
        <family val="3"/>
      </rPr>
      <t>"Cu mining+refining CA"</t>
    </r>
    <r>
      <rPr>
        <sz val="10"/>
        <color rgb="FFBCBEC4"/>
        <rFont val="JetBrains Mono"/>
        <family val="3"/>
      </rPr>
      <t>: (</t>
    </r>
    <r>
      <rPr>
        <sz val="10"/>
        <color rgb="FF6AAB73"/>
        <rFont val="JetBrains Mono"/>
        <family val="3"/>
      </rPr>
      <t>"copper production, cathode, solvent extraction and electrowinning process"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"copper, cathode"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'CA'</t>
    </r>
    <r>
      <rPr>
        <sz val="10"/>
        <color rgb="FFBCBEC4"/>
        <rFont val="JetBrains Mono"/>
        <family val="3"/>
      </rPr>
      <t>),</t>
    </r>
  </si>
  <si>
    <r>
      <t xml:space="preserve">    </t>
    </r>
    <r>
      <rPr>
        <sz val="10"/>
        <color rgb="FF6AAB73"/>
        <rFont val="JetBrains Mono"/>
        <family val="3"/>
      </rPr>
      <t>"Ni refining CA"</t>
    </r>
    <r>
      <rPr>
        <sz val="10"/>
        <color rgb="FFBCBEC4"/>
        <rFont val="JetBrains Mono"/>
        <family val="3"/>
      </rPr>
      <t>: (</t>
    </r>
    <r>
      <rPr>
        <sz val="10"/>
        <color rgb="FF6AAB73"/>
        <rFont val="JetBrains Mono"/>
        <family val="3"/>
      </rPr>
      <t>"processing of nickel-rich materials"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"nickel, class 1"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'CA'</t>
    </r>
    <r>
      <rPr>
        <sz val="10"/>
        <color rgb="FFBCBEC4"/>
        <rFont val="JetBrains Mono"/>
        <family val="3"/>
      </rPr>
      <t>),</t>
    </r>
  </si>
  <si>
    <r>
      <t xml:space="preserve">    </t>
    </r>
    <r>
      <rPr>
        <sz val="10"/>
        <color rgb="FF6AAB73"/>
        <rFont val="JetBrains Mono"/>
        <family val="3"/>
      </rPr>
      <t>"Co refining CA"</t>
    </r>
    <r>
      <rPr>
        <sz val="10"/>
        <color rgb="FFBCBEC4"/>
        <rFont val="JetBrains Mono"/>
        <family val="3"/>
      </rPr>
      <t>: (</t>
    </r>
    <r>
      <rPr>
        <sz val="10"/>
        <color rgb="FF6AAB73"/>
        <rFont val="JetBrains Mono"/>
        <family val="3"/>
      </rPr>
      <t>"cobalt sulfate production, from copper mining, economic allocation"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"cobalt sulfate"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'CA'</t>
    </r>
    <r>
      <rPr>
        <sz val="10"/>
        <color rgb="FFBCBEC4"/>
        <rFont val="JetBrains Mono"/>
        <family val="3"/>
      </rPr>
      <t>),</t>
    </r>
  </si>
  <si>
    <r>
      <t xml:space="preserve">    </t>
    </r>
    <r>
      <rPr>
        <sz val="10"/>
        <color rgb="FF6AAB73"/>
        <rFont val="JetBrains Mono"/>
        <family val="3"/>
      </rPr>
      <t>"Cu mining+refining World"</t>
    </r>
    <r>
      <rPr>
        <sz val="10"/>
        <color rgb="FFBCBEC4"/>
        <rFont val="JetBrains Mono"/>
        <family val="3"/>
      </rPr>
      <t>: (</t>
    </r>
    <r>
      <rPr>
        <sz val="10"/>
        <color rgb="FF6AAB73"/>
        <rFont val="JetBrains Mono"/>
        <family val="3"/>
      </rPr>
      <t>"copper production, cathode, solvent extraction and electrowinning process"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"copper, cathode"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'GLO'</t>
    </r>
    <r>
      <rPr>
        <sz val="10"/>
        <color rgb="FFBCBEC4"/>
        <rFont val="JetBrains Mono"/>
        <family val="3"/>
      </rPr>
      <t>),</t>
    </r>
  </si>
  <si>
    <r>
      <t xml:space="preserve">    </t>
    </r>
    <r>
      <rPr>
        <sz val="10"/>
        <color rgb="FF6AAB73"/>
        <rFont val="JetBrains Mono"/>
        <family val="3"/>
      </rPr>
      <t>"Ni refining World"</t>
    </r>
    <r>
      <rPr>
        <sz val="10"/>
        <color rgb="FFBCBEC4"/>
        <rFont val="JetBrains Mono"/>
        <family val="3"/>
      </rPr>
      <t>: (</t>
    </r>
    <r>
      <rPr>
        <sz val="10"/>
        <color rgb="FF6AAB73"/>
        <rFont val="JetBrains Mono"/>
        <family val="3"/>
      </rPr>
      <t>"processing of nickel-rich materials"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"nickel, class 1"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'GLO'</t>
    </r>
    <r>
      <rPr>
        <sz val="10"/>
        <color rgb="FFBCBEC4"/>
        <rFont val="JetBrains Mono"/>
        <family val="3"/>
      </rPr>
      <t>),</t>
    </r>
  </si>
  <si>
    <r>
      <t xml:space="preserve">    </t>
    </r>
    <r>
      <rPr>
        <sz val="10"/>
        <color rgb="FF6AAB73"/>
        <rFont val="JetBrains Mono"/>
        <family val="3"/>
      </rPr>
      <t>"Co refining World"</t>
    </r>
    <r>
      <rPr>
        <sz val="10"/>
        <color rgb="FFBCBEC4"/>
        <rFont val="JetBrains Mono"/>
        <family val="3"/>
      </rPr>
      <t>: (</t>
    </r>
    <r>
      <rPr>
        <sz val="10"/>
        <color rgb="FF6AAB73"/>
        <rFont val="JetBrains Mono"/>
        <family val="3"/>
      </rPr>
      <t>"market for cobalt sulfate"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"cobalt sulfate"</t>
    </r>
    <r>
      <rPr>
        <sz val="10"/>
        <color rgb="FFBCBEC4"/>
        <rFont val="JetBrains Mono"/>
        <family val="3"/>
      </rPr>
      <t xml:space="preserve">, </t>
    </r>
    <r>
      <rPr>
        <sz val="10"/>
        <color rgb="FF6AAB73"/>
        <rFont val="JetBrains Mono"/>
        <family val="3"/>
      </rPr>
      <t>'World'</t>
    </r>
    <r>
      <rPr>
        <sz val="10"/>
        <color rgb="FFBCBEC4"/>
        <rFont val="JetBrains Mono"/>
        <family val="3"/>
      </rPr>
      <t>),</t>
    </r>
  </si>
  <si>
    <t>}</t>
  </si>
  <si>
    <t>Cobalt</t>
  </si>
  <si>
    <t>Copper</t>
  </si>
  <si>
    <t>Nickel</t>
  </si>
  <si>
    <t>Labor rights &amp; decent work (physique)</t>
  </si>
  <si>
    <t>Health &amp; safety (physique)</t>
  </si>
  <si>
    <t>Society (physique)</t>
  </si>
  <si>
    <t>Employment (physique)</t>
  </si>
  <si>
    <t>IO multiplier (physique)</t>
  </si>
  <si>
    <t>Canada Net-zero</t>
  </si>
  <si>
    <t>Existing production</t>
  </si>
  <si>
    <t>Current shares</t>
  </si>
  <si>
    <t>NIMBY</t>
  </si>
  <si>
    <t>Status Quo</t>
  </si>
  <si>
    <t>Production potential</t>
  </si>
  <si>
    <t>Expansion Extractive</t>
  </si>
  <si>
    <t>Expansion Extractive+Circularity</t>
  </si>
  <si>
    <t>100% CAN</t>
  </si>
  <si>
    <t>Integrated</t>
  </si>
  <si>
    <t>Current Measures</t>
  </si>
  <si>
    <t>Global Net-zero</t>
  </si>
  <si>
    <t>Title of the article</t>
  </si>
  <si>
    <r>
      <t>Supplementary Information for ''</t>
    </r>
    <r>
      <rPr>
        <i/>
        <sz val="11"/>
        <color theme="1"/>
        <rFont val="Calibri"/>
        <family val="2"/>
        <scheme val="minor"/>
      </rPr>
      <t>A Macro-LCSA framework for sectoral sustainability assessment: application to metal supply chains in Canada</t>
    </r>
    <r>
      <rPr>
        <sz val="11"/>
        <color theme="1"/>
        <rFont val="Calibri"/>
        <family val="2"/>
        <scheme val="minor"/>
      </rPr>
      <t>"</t>
    </r>
  </si>
  <si>
    <t>Authors</t>
  </si>
  <si>
    <r>
      <t>Marin Pellan¹, Maxime Agez1, Sara Russo-Garrido¹, Anne de Bortoli</t>
    </r>
    <r>
      <rPr>
        <vertAlign val="superscript"/>
        <sz val="11"/>
        <color theme="1"/>
        <rFont val="Calibri"/>
        <family val="2"/>
        <scheme val="minor"/>
      </rPr>
      <t>1,2,3</t>
    </r>
  </si>
  <si>
    <t>Affiliations</t>
  </si>
  <si>
    <r>
      <t xml:space="preserve">¹CIRAIG, Ecole Polytechnique de Montréal, P.O. Box 6079, Montréal, H3C 3A7, Québec, Canada
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CIRAIG, Université du Québec à Montréal, C.P. 8888, succ. Centre-ville. Montréal (Québec) H3C 3P8, Québec, Canada
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LVMT, Ecole des Ponts ParisTech, Cité Descartes, 6-8 Avenue Blaise Pascal, Champs-sur-Marne, 77420, France</t>
    </r>
  </si>
  <si>
    <t>Corresponding author</t>
  </si>
  <si>
    <t>pellan.marin@gmail.com</t>
  </si>
  <si>
    <t>Journal</t>
  </si>
  <si>
    <t>Date</t>
  </si>
  <si>
    <t>Purpose and scope</t>
  </si>
  <si>
    <t>TAB</t>
  </si>
  <si>
    <t>DESCRIPTION</t>
  </si>
  <si>
    <t>COMMENT</t>
  </si>
  <si>
    <t>Env_LCA</t>
  </si>
  <si>
    <t>Social_eco_LCA</t>
  </si>
  <si>
    <t>Prices</t>
  </si>
  <si>
    <t>Demand</t>
  </si>
  <si>
    <t>Results</t>
  </si>
  <si>
    <t>Niveau de demande par scénario d'approvisionnement, année, scénario de demande, métal</t>
  </si>
  <si>
    <t>Multiplication des scénarios d'appro par les indicateurs env+social+eco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</si>
</sst>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BCBEC4"/>
      <name val="JetBrains Mono"/>
      <family val="3"/>
    </font>
    <font>
      <sz val="10"/>
      <color rgb="FF7A7E85"/>
      <name val="JetBrains Mono"/>
      <family val="3"/>
    </font>
    <font>
      <sz val="10"/>
      <color rgb="FF6AAB73"/>
      <name val="JetBrains Mono"/>
      <family val="3"/>
    </font>
    <font>
      <u/>
      <sz val="11"/>
      <color theme="10"/>
      <name val="Calibri"/>
      <family val="2"/>
      <scheme val="minor"/>
    </font>
    <font>
      <b/>
      <sz val="11"/>
      <color theme="1"/>
      <name val="Aptos Narrow"/>
      <family val="2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3" fontId="0" fillId="2" borderId="0" xfId="0" applyNumberFormat="1" applyFill="1"/>
    <xf numFmtId="0" fontId="0" fillId="2" borderId="0" xfId="0" applyFill="1"/>
    <xf numFmtId="0" fontId="1" fillId="0" borderId="0" xfId="0" applyFont="1"/>
    <xf numFmtId="0" fontId="0" fillId="3" borderId="0" xfId="0" applyFill="1"/>
    <xf numFmtId="11" fontId="0" fillId="0" borderId="0" xfId="0" applyNumberFormat="1"/>
    <xf numFmtId="0" fontId="1" fillId="3" borderId="0" xfId="0" applyFont="1" applyFill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Alignment="1">
      <alignment horizontal="center" vertical="top"/>
    </xf>
    <xf numFmtId="11" fontId="0" fillId="3" borderId="0" xfId="0" applyNumberFormat="1" applyFill="1"/>
    <xf numFmtId="0" fontId="6" fillId="0" borderId="0" xfId="0" applyFont="1"/>
    <xf numFmtId="0" fontId="0" fillId="0" borderId="0" xfId="0" applyAlignment="1">
      <alignment wrapText="1"/>
    </xf>
    <xf numFmtId="0" fontId="5" fillId="0" borderId="0" xfId="1"/>
    <xf numFmtId="0" fontId="7" fillId="0" borderId="0" xfId="0" applyFont="1"/>
    <xf numFmtId="17" fontId="0" fillId="0" borderId="0" xfId="0" applyNumberFormat="1" applyAlignment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50</xdr:row>
      <xdr:rowOff>82550</xdr:rowOff>
    </xdr:from>
    <xdr:to>
      <xdr:col>14</xdr:col>
      <xdr:colOff>208810</xdr:colOff>
      <xdr:row>74</xdr:row>
      <xdr:rowOff>103895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E20963F-FFE3-0E90-E8F6-BDC6DE9B8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290050"/>
          <a:ext cx="10876810" cy="44409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208810</xdr:colOff>
      <xdr:row>24</xdr:row>
      <xdr:rowOff>21345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E0C03FF9-CF4A-45A0-3119-D6F17D466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6810" cy="44409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7900</xdr:rowOff>
    </xdr:from>
    <xdr:to>
      <xdr:col>14</xdr:col>
      <xdr:colOff>208810</xdr:colOff>
      <xdr:row>49</xdr:row>
      <xdr:rowOff>29245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66DAE4C8-BAA2-BDD7-F92E-F9F8BC144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11650"/>
          <a:ext cx="10876810" cy="44409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/Scenario_calculation_220526.xlsx" TargetMode="External"/><Relationship Id="rId2" Type="http://schemas.openxmlformats.org/officeDocument/2006/relationships/externalLinkPath" Target="https://polymtlca-my.sharepoint.com/personal/marin_pellan_polymtl_ca/Documents/POST_DOC/CODE/fasc_metal_sustainability/data/Scenario_calculation_220526.xlsx" TargetMode="External"/><Relationship Id="rId1" Type="http://schemas.openxmlformats.org/officeDocument/2006/relationships/externalLinkPath" Target="/personal/marin_pellan_polymtl_ca/Documents/POST_DOC/CODE/fasc_metal_sustainability/data/Scenario_calculation_2205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ME"/>
      <sheetName val="Data_to_couple_w_LCI"/>
      <sheetName val="Result_notebook_retravaill"/>
      <sheetName val="Result_notebook"/>
      <sheetName val="SUPPLY"/>
      <sheetName val="DEMAND"/>
      <sheetName val="PRODUCTION"/>
      <sheetName val="Associated_LCIs"/>
      <sheetName val="EQ_LCA_results"/>
      <sheetName val="HH_LCA_results"/>
      <sheetName val="GWP_LCA_results"/>
      <sheetName val="National_production"/>
      <sheetName val="Production_yield"/>
    </sheetNames>
    <sheetDataSet>
      <sheetData sheetId="0"/>
      <sheetData sheetId="1"/>
      <sheetData sheetId="2">
        <row r="2">
          <cell r="A2">
            <v>2025</v>
          </cell>
          <cell r="B2" t="str">
            <v>Cobalt</v>
          </cell>
          <cell r="C2" t="str">
            <v>Canada Net-zero</v>
          </cell>
          <cell r="D2" t="str">
            <v>Existing production</v>
          </cell>
          <cell r="E2" t="str">
            <v>Current shares</v>
          </cell>
          <cell r="F2" t="str">
            <v>NIMBY</v>
          </cell>
          <cell r="G2">
            <v>9556.3203859726327</v>
          </cell>
          <cell r="H2">
            <v>0</v>
          </cell>
          <cell r="I2">
            <v>0</v>
          </cell>
          <cell r="J2">
            <v>0</v>
          </cell>
          <cell r="K2">
            <v>21718.90996811962</v>
          </cell>
          <cell r="M2">
            <v>9556.3203859726327</v>
          </cell>
          <cell r="N2">
            <v>0.439346565686978</v>
          </cell>
        </row>
        <row r="3">
          <cell r="A3">
            <v>2025</v>
          </cell>
          <cell r="B3" t="str">
            <v>Cobalt</v>
          </cell>
          <cell r="C3" t="str">
            <v>Canada Net-zero</v>
          </cell>
          <cell r="D3" t="str">
            <v>Existing production</v>
          </cell>
          <cell r="E3" t="str">
            <v>Current shares</v>
          </cell>
          <cell r="F3" t="str">
            <v>Status Quo</v>
          </cell>
          <cell r="G3">
            <v>9556.3203859726327</v>
          </cell>
          <cell r="H3">
            <v>3494</v>
          </cell>
          <cell r="I3">
            <v>1482.0913083373639</v>
          </cell>
          <cell r="J3">
            <v>52.985592172937231</v>
          </cell>
          <cell r="K3">
            <v>18224.90996811962</v>
          </cell>
          <cell r="M3">
            <v>8021.2434854623316</v>
          </cell>
          <cell r="N3">
            <v>0.439346565686978</v>
          </cell>
        </row>
        <row r="4">
          <cell r="A4">
            <v>2025</v>
          </cell>
          <cell r="B4" t="str">
            <v>Cobalt</v>
          </cell>
          <cell r="C4" t="str">
            <v>Canada Net-zero</v>
          </cell>
          <cell r="D4" t="str">
            <v>Production potential</v>
          </cell>
          <cell r="E4" t="str">
            <v>Current shares</v>
          </cell>
          <cell r="F4" t="str">
            <v>Expansion Extractive</v>
          </cell>
          <cell r="G4">
            <v>9556.3203859726327</v>
          </cell>
          <cell r="H4">
            <v>3850.4060559825398</v>
          </cell>
          <cell r="I4">
            <v>1633.272280807462</v>
          </cell>
          <cell r="J4">
            <v>58.390396388808767</v>
          </cell>
          <cell r="K4">
            <v>17868.503912137079</v>
          </cell>
          <cell r="M4">
            <v>7864.6577087763617</v>
          </cell>
          <cell r="N4">
            <v>0.439346565686978</v>
          </cell>
        </row>
        <row r="5">
          <cell r="A5">
            <v>2025</v>
          </cell>
          <cell r="B5" t="str">
            <v>Cobalt</v>
          </cell>
          <cell r="C5" t="str">
            <v>Canada Net-zero</v>
          </cell>
          <cell r="D5" t="str">
            <v>Production potential</v>
          </cell>
          <cell r="E5" t="str">
            <v>Current shares</v>
          </cell>
          <cell r="F5" t="str">
            <v>Expansion Extractive+Circularity</v>
          </cell>
          <cell r="G5">
            <v>9556.3203859726327</v>
          </cell>
          <cell r="H5">
            <v>3850.4060559825398</v>
          </cell>
          <cell r="I5">
            <v>1633.272280807462</v>
          </cell>
          <cell r="J5">
            <v>58.390396388808767</v>
          </cell>
          <cell r="K5">
            <v>17868.503912137079</v>
          </cell>
          <cell r="M5">
            <v>7864.6577087763617</v>
          </cell>
          <cell r="N5">
            <v>0.439346565686978</v>
          </cell>
        </row>
        <row r="6">
          <cell r="A6">
            <v>2025</v>
          </cell>
          <cell r="B6" t="str">
            <v>Cobalt</v>
          </cell>
          <cell r="C6" t="str">
            <v>Canada Net-zero</v>
          </cell>
          <cell r="D6" t="str">
            <v>Production potential</v>
          </cell>
          <cell r="E6" t="str">
            <v>100% CAN</v>
          </cell>
          <cell r="F6" t="str">
            <v>Integrated</v>
          </cell>
          <cell r="G6">
            <v>9556.3203859726327</v>
          </cell>
          <cell r="H6">
            <v>3850.4060559825398</v>
          </cell>
          <cell r="I6">
            <v>1691.6626771962719</v>
          </cell>
          <cell r="J6">
            <v>0</v>
          </cell>
          <cell r="K6">
            <v>17868.503912137079</v>
          </cell>
          <cell r="M6">
            <v>7864.6577087763599</v>
          </cell>
          <cell r="N6">
            <v>0.439346565686978</v>
          </cell>
        </row>
        <row r="7">
          <cell r="A7">
            <v>2025</v>
          </cell>
          <cell r="B7" t="str">
            <v>Cobalt</v>
          </cell>
          <cell r="C7" t="str">
            <v>Current Measures</v>
          </cell>
          <cell r="D7" t="str">
            <v>Existing production</v>
          </cell>
          <cell r="E7" t="str">
            <v>Current shares</v>
          </cell>
          <cell r="F7" t="str">
            <v>NIMBY</v>
          </cell>
          <cell r="G7">
            <v>8776.8728698047889</v>
          </cell>
          <cell r="H7">
            <v>0</v>
          </cell>
          <cell r="I7">
            <v>0</v>
          </cell>
          <cell r="J7">
            <v>0</v>
          </cell>
          <cell r="K7">
            <v>19947.438340465429</v>
          </cell>
          <cell r="M7">
            <v>8776.8728698047889</v>
          </cell>
          <cell r="N7">
            <v>0.439346565686978</v>
          </cell>
        </row>
        <row r="8">
          <cell r="A8">
            <v>2025</v>
          </cell>
          <cell r="B8" t="str">
            <v>Cobalt</v>
          </cell>
          <cell r="C8" t="str">
            <v>Current Measures</v>
          </cell>
          <cell r="D8" t="str">
            <v>Existing production</v>
          </cell>
          <cell r="E8" t="str">
            <v>Current shares</v>
          </cell>
          <cell r="F8" t="str">
            <v>Status Quo</v>
          </cell>
          <cell r="G8">
            <v>8776.8728698047889</v>
          </cell>
          <cell r="H8">
            <v>3494</v>
          </cell>
          <cell r="I8">
            <v>1482.0913083373639</v>
          </cell>
          <cell r="J8">
            <v>52.985592172937231</v>
          </cell>
          <cell r="K8">
            <v>16453.438340465429</v>
          </cell>
          <cell r="M8">
            <v>7241.7959692944878</v>
          </cell>
          <cell r="N8">
            <v>0.439346565686978</v>
          </cell>
        </row>
        <row r="9">
          <cell r="A9">
            <v>2025</v>
          </cell>
          <cell r="B9" t="str">
            <v>Cobalt</v>
          </cell>
          <cell r="C9" t="str">
            <v>Current Measures</v>
          </cell>
          <cell r="D9" t="str">
            <v>Production potential</v>
          </cell>
          <cell r="E9" t="str">
            <v>Current shares</v>
          </cell>
          <cell r="F9" t="str">
            <v>Expansion Extractive</v>
          </cell>
          <cell r="G9">
            <v>8776.8728698047889</v>
          </cell>
          <cell r="H9">
            <v>3850.4060559825398</v>
          </cell>
          <cell r="I9">
            <v>1633.272280807462</v>
          </cell>
          <cell r="J9">
            <v>58.390396388808767</v>
          </cell>
          <cell r="K9">
            <v>16097.03228448289</v>
          </cell>
          <cell r="M9">
            <v>7085.2101926085179</v>
          </cell>
          <cell r="N9">
            <v>0.439346565686978</v>
          </cell>
        </row>
        <row r="10">
          <cell r="A10">
            <v>2025</v>
          </cell>
          <cell r="B10" t="str">
            <v>Cobalt</v>
          </cell>
          <cell r="C10" t="str">
            <v>Current Measures</v>
          </cell>
          <cell r="D10" t="str">
            <v>Production potential</v>
          </cell>
          <cell r="E10" t="str">
            <v>Current shares</v>
          </cell>
          <cell r="F10" t="str">
            <v>Expansion Extractive+Circularity</v>
          </cell>
          <cell r="G10">
            <v>8776.8728698047889</v>
          </cell>
          <cell r="H10">
            <v>3850.4060559825398</v>
          </cell>
          <cell r="I10">
            <v>1633.272280807462</v>
          </cell>
          <cell r="J10">
            <v>58.390396388808767</v>
          </cell>
          <cell r="K10">
            <v>16097.03228448289</v>
          </cell>
          <cell r="M10">
            <v>7085.2101926085179</v>
          </cell>
          <cell r="N10">
            <v>0.439346565686978</v>
          </cell>
        </row>
        <row r="11">
          <cell r="A11">
            <v>2025</v>
          </cell>
          <cell r="B11" t="str">
            <v>Cobalt</v>
          </cell>
          <cell r="C11" t="str">
            <v>Current Measures</v>
          </cell>
          <cell r="D11" t="str">
            <v>Production potential</v>
          </cell>
          <cell r="E11" t="str">
            <v>100% CAN</v>
          </cell>
          <cell r="F11" t="str">
            <v>Integrated</v>
          </cell>
          <cell r="G11">
            <v>8776.8728698047889</v>
          </cell>
          <cell r="H11">
            <v>3850.4060559825398</v>
          </cell>
          <cell r="I11">
            <v>1691.6626771962719</v>
          </cell>
          <cell r="J11">
            <v>0</v>
          </cell>
          <cell r="K11">
            <v>16097.03228448289</v>
          </cell>
          <cell r="M11">
            <v>7085.2101926085161</v>
          </cell>
          <cell r="N11">
            <v>0.439346565686978</v>
          </cell>
        </row>
        <row r="12">
          <cell r="A12">
            <v>2025</v>
          </cell>
          <cell r="B12" t="str">
            <v>Cobalt</v>
          </cell>
          <cell r="C12" t="str">
            <v>Global Net-zero</v>
          </cell>
          <cell r="D12" t="str">
            <v>Existing production</v>
          </cell>
          <cell r="E12" t="str">
            <v>Current shares</v>
          </cell>
          <cell r="F12" t="str">
            <v>NIMBY</v>
          </cell>
          <cell r="G12">
            <v>9422.7255621447621</v>
          </cell>
          <cell r="H12">
            <v>0</v>
          </cell>
          <cell r="I12">
            <v>0</v>
          </cell>
          <cell r="J12">
            <v>0</v>
          </cell>
          <cell r="K12">
            <v>21415.28536851082</v>
          </cell>
          <cell r="M12">
            <v>9422.7255621447621</v>
          </cell>
          <cell r="N12">
            <v>0.439346565686978</v>
          </cell>
        </row>
        <row r="13">
          <cell r="A13">
            <v>2025</v>
          </cell>
          <cell r="B13" t="str">
            <v>Cobalt</v>
          </cell>
          <cell r="C13" t="str">
            <v>Global Net-zero</v>
          </cell>
          <cell r="D13" t="str">
            <v>Existing production</v>
          </cell>
          <cell r="E13" t="str">
            <v>Current shares</v>
          </cell>
          <cell r="F13" t="str">
            <v>Status Quo</v>
          </cell>
          <cell r="G13">
            <v>9422.7255621447621</v>
          </cell>
          <cell r="H13">
            <v>3494</v>
          </cell>
          <cell r="I13">
            <v>1482.0913083373639</v>
          </cell>
          <cell r="J13">
            <v>52.985592172937231</v>
          </cell>
          <cell r="K13">
            <v>17921.28536851082</v>
          </cell>
          <cell r="M13">
            <v>7887.648661634461</v>
          </cell>
          <cell r="N13">
            <v>0.439346565686978</v>
          </cell>
        </row>
        <row r="14">
          <cell r="A14">
            <v>2025</v>
          </cell>
          <cell r="B14" t="str">
            <v>Cobalt</v>
          </cell>
          <cell r="C14" t="str">
            <v>Global Net-zero</v>
          </cell>
          <cell r="D14" t="str">
            <v>Production potential</v>
          </cell>
          <cell r="E14" t="str">
            <v>Current shares</v>
          </cell>
          <cell r="F14" t="str">
            <v>Expansion Extractive</v>
          </cell>
          <cell r="G14">
            <v>9422.7255621447621</v>
          </cell>
          <cell r="H14">
            <v>3850.4060559825398</v>
          </cell>
          <cell r="I14">
            <v>1633.272280807462</v>
          </cell>
          <cell r="J14">
            <v>58.390396388808767</v>
          </cell>
          <cell r="K14">
            <v>17564.879312528279</v>
          </cell>
          <cell r="M14">
            <v>7731.062884948491</v>
          </cell>
          <cell r="N14">
            <v>0.439346565686978</v>
          </cell>
        </row>
        <row r="15">
          <cell r="A15">
            <v>2025</v>
          </cell>
          <cell r="B15" t="str">
            <v>Cobalt</v>
          </cell>
          <cell r="C15" t="str">
            <v>Global Net-zero</v>
          </cell>
          <cell r="D15" t="str">
            <v>Production potential</v>
          </cell>
          <cell r="E15" t="str">
            <v>Current shares</v>
          </cell>
          <cell r="F15" t="str">
            <v>Expansion Extractive+Circularity</v>
          </cell>
          <cell r="G15">
            <v>9422.7255621447621</v>
          </cell>
          <cell r="H15">
            <v>3850.4060559825398</v>
          </cell>
          <cell r="I15">
            <v>1633.272280807462</v>
          </cell>
          <cell r="J15">
            <v>58.390396388808767</v>
          </cell>
          <cell r="K15">
            <v>17564.879312528279</v>
          </cell>
          <cell r="M15">
            <v>7731.062884948491</v>
          </cell>
          <cell r="N15">
            <v>0.439346565686978</v>
          </cell>
        </row>
        <row r="16">
          <cell r="A16">
            <v>2025</v>
          </cell>
          <cell r="B16" t="str">
            <v>Cobalt</v>
          </cell>
          <cell r="C16" t="str">
            <v>Global Net-zero</v>
          </cell>
          <cell r="D16" t="str">
            <v>Production potential</v>
          </cell>
          <cell r="E16" t="str">
            <v>100% CAN</v>
          </cell>
          <cell r="F16" t="str">
            <v>Integrated</v>
          </cell>
          <cell r="G16">
            <v>9422.7255621447621</v>
          </cell>
          <cell r="H16">
            <v>3850.4060559825398</v>
          </cell>
          <cell r="I16">
            <v>1691.6626771962719</v>
          </cell>
          <cell r="J16">
            <v>0</v>
          </cell>
          <cell r="K16">
            <v>17564.879312528279</v>
          </cell>
          <cell r="M16">
            <v>7731.0628849484892</v>
          </cell>
          <cell r="N16">
            <v>0.439346565686978</v>
          </cell>
        </row>
        <row r="17">
          <cell r="A17">
            <v>2025</v>
          </cell>
          <cell r="B17" t="str">
            <v>Copper</v>
          </cell>
          <cell r="C17" t="str">
            <v>Canada Net-zero</v>
          </cell>
          <cell r="D17" t="str">
            <v>Existing production</v>
          </cell>
          <cell r="E17" t="str">
            <v>Current shares</v>
          </cell>
          <cell r="F17" t="str">
            <v>NIMBY</v>
          </cell>
          <cell r="G17">
            <v>816152.33242339652</v>
          </cell>
          <cell r="H17">
            <v>0</v>
          </cell>
          <cell r="I17">
            <v>0</v>
          </cell>
          <cell r="J17">
            <v>0</v>
          </cell>
          <cell r="K17">
            <v>983316.06316071877</v>
          </cell>
          <cell r="M17">
            <v>816152.33242339652</v>
          </cell>
          <cell r="N17">
            <v>0.83474576271186396</v>
          </cell>
        </row>
        <row r="18">
          <cell r="A18">
            <v>2025</v>
          </cell>
          <cell r="B18" t="str">
            <v>Copper</v>
          </cell>
          <cell r="C18" t="str">
            <v>Canada Net-zero</v>
          </cell>
          <cell r="D18" t="str">
            <v>Existing production</v>
          </cell>
          <cell r="E18" t="str">
            <v>Current shares</v>
          </cell>
          <cell r="F18" t="str">
            <v>Status Quo</v>
          </cell>
          <cell r="G18">
            <v>816152.33242339652</v>
          </cell>
          <cell r="H18">
            <v>483888</v>
          </cell>
          <cell r="I18">
            <v>254335.73656839409</v>
          </cell>
          <cell r="J18">
            <v>149587.72105872436</v>
          </cell>
          <cell r="K18">
            <v>499428.06316071883</v>
          </cell>
          <cell r="M18">
            <v>412228.87479627819</v>
          </cell>
          <cell r="N18">
            <v>0.83474576271186396</v>
          </cell>
        </row>
        <row r="19">
          <cell r="A19">
            <v>2025</v>
          </cell>
          <cell r="B19" t="str">
            <v>Copper</v>
          </cell>
          <cell r="C19" t="str">
            <v>Canada Net-zero</v>
          </cell>
          <cell r="D19" t="str">
            <v>Production potential</v>
          </cell>
          <cell r="E19" t="str">
            <v>Current shares</v>
          </cell>
          <cell r="F19" t="str">
            <v>Expansion Extractive</v>
          </cell>
          <cell r="G19">
            <v>816152.33242339652</v>
          </cell>
          <cell r="H19">
            <v>534750.25845525716</v>
          </cell>
          <cell r="I19">
            <v>281069.38147744298</v>
          </cell>
          <cell r="J19">
            <v>165311.13087715703</v>
          </cell>
          <cell r="K19">
            <v>448565.8047054616</v>
          </cell>
          <cell r="M19">
            <v>369771.82006879657</v>
          </cell>
          <cell r="N19">
            <v>0.83474576271186396</v>
          </cell>
        </row>
        <row r="20">
          <cell r="A20">
            <v>2025</v>
          </cell>
          <cell r="B20" t="str">
            <v>Copper</v>
          </cell>
          <cell r="C20" t="str">
            <v>Canada Net-zero</v>
          </cell>
          <cell r="D20" t="str">
            <v>Production potential</v>
          </cell>
          <cell r="E20" t="str">
            <v>Current shares</v>
          </cell>
          <cell r="F20" t="str">
            <v>Expansion Extractive+Circularity</v>
          </cell>
          <cell r="G20">
            <v>816152.33242339652</v>
          </cell>
          <cell r="H20">
            <v>534750.25845525716</v>
          </cell>
          <cell r="I20">
            <v>281069.38147744298</v>
          </cell>
          <cell r="J20">
            <v>165311.13087715703</v>
          </cell>
          <cell r="K20">
            <v>448565.8047054616</v>
          </cell>
          <cell r="M20">
            <v>369771.82006879657</v>
          </cell>
          <cell r="N20">
            <v>0.83474576271186396</v>
          </cell>
        </row>
        <row r="21">
          <cell r="A21">
            <v>2025</v>
          </cell>
          <cell r="B21" t="str">
            <v>Copper</v>
          </cell>
          <cell r="C21" t="str">
            <v>Canada Net-zero</v>
          </cell>
          <cell r="D21" t="str">
            <v>Production potential</v>
          </cell>
          <cell r="E21" t="str">
            <v>100% CAN</v>
          </cell>
          <cell r="F21" t="str">
            <v>Integrated</v>
          </cell>
          <cell r="G21">
            <v>816152.33242339652</v>
          </cell>
          <cell r="H21">
            <v>534750.25845525716</v>
          </cell>
          <cell r="I21">
            <v>446380.51235460019</v>
          </cell>
          <cell r="J21">
            <v>0</v>
          </cell>
          <cell r="K21">
            <v>448565.8047054616</v>
          </cell>
          <cell r="M21">
            <v>369771.82006879628</v>
          </cell>
          <cell r="N21">
            <v>0.83474576271186396</v>
          </cell>
        </row>
        <row r="22">
          <cell r="A22">
            <v>2025</v>
          </cell>
          <cell r="B22" t="str">
            <v>Copper</v>
          </cell>
          <cell r="C22" t="str">
            <v>Current Measures</v>
          </cell>
          <cell r="D22" t="str">
            <v>Existing production</v>
          </cell>
          <cell r="E22" t="str">
            <v>Current shares</v>
          </cell>
          <cell r="F22" t="str">
            <v>NIMBY</v>
          </cell>
          <cell r="G22">
            <v>825658.90499835368</v>
          </cell>
          <cell r="H22">
            <v>0</v>
          </cell>
          <cell r="I22">
            <v>0</v>
          </cell>
          <cell r="J22">
            <v>0</v>
          </cell>
          <cell r="K22">
            <v>994769.7650582575</v>
          </cell>
          <cell r="M22">
            <v>825658.90499835368</v>
          </cell>
          <cell r="N22">
            <v>0.83474576271186396</v>
          </cell>
        </row>
        <row r="23">
          <cell r="A23">
            <v>2025</v>
          </cell>
          <cell r="B23" t="str">
            <v>Copper</v>
          </cell>
          <cell r="C23" t="str">
            <v>Current Measures</v>
          </cell>
          <cell r="D23" t="str">
            <v>Existing production</v>
          </cell>
          <cell r="E23" t="str">
            <v>Current shares</v>
          </cell>
          <cell r="F23" t="str">
            <v>Status Quo</v>
          </cell>
          <cell r="G23">
            <v>825658.90499835368</v>
          </cell>
          <cell r="H23">
            <v>483888</v>
          </cell>
          <cell r="I23">
            <v>254335.73656839409</v>
          </cell>
          <cell r="J23">
            <v>149587.72105872436</v>
          </cell>
          <cell r="K23">
            <v>510881.7650582575</v>
          </cell>
          <cell r="M23">
            <v>421735.44737123523</v>
          </cell>
          <cell r="N23">
            <v>0.83474576271186396</v>
          </cell>
        </row>
        <row r="24">
          <cell r="A24">
            <v>2025</v>
          </cell>
          <cell r="B24" t="str">
            <v>Copper</v>
          </cell>
          <cell r="C24" t="str">
            <v>Current Measures</v>
          </cell>
          <cell r="D24" t="str">
            <v>Production potential</v>
          </cell>
          <cell r="E24" t="str">
            <v>Current shares</v>
          </cell>
          <cell r="F24" t="str">
            <v>Expansion Extractive</v>
          </cell>
          <cell r="G24">
            <v>825658.90499835368</v>
          </cell>
          <cell r="H24">
            <v>534750.25845525716</v>
          </cell>
          <cell r="I24">
            <v>281069.38147744298</v>
          </cell>
          <cell r="J24">
            <v>165311.13087715703</v>
          </cell>
          <cell r="K24">
            <v>460019.50660300028</v>
          </cell>
          <cell r="M24">
            <v>379278.39264375361</v>
          </cell>
          <cell r="N24">
            <v>0.83474576271186396</v>
          </cell>
        </row>
        <row r="25">
          <cell r="A25">
            <v>2025</v>
          </cell>
          <cell r="B25" t="str">
            <v>Copper</v>
          </cell>
          <cell r="C25" t="str">
            <v>Current Measures</v>
          </cell>
          <cell r="D25" t="str">
            <v>Production potential</v>
          </cell>
          <cell r="E25" t="str">
            <v>Current shares</v>
          </cell>
          <cell r="F25" t="str">
            <v>Expansion Extractive+Circularity</v>
          </cell>
          <cell r="G25">
            <v>825658.90499835368</v>
          </cell>
          <cell r="H25">
            <v>534750.25845525716</v>
          </cell>
          <cell r="I25">
            <v>281069.38147744298</v>
          </cell>
          <cell r="J25">
            <v>165311.13087715703</v>
          </cell>
          <cell r="K25">
            <v>460019.50660300028</v>
          </cell>
          <cell r="M25">
            <v>379278.39264375361</v>
          </cell>
          <cell r="N25">
            <v>0.83474576271186396</v>
          </cell>
        </row>
        <row r="26">
          <cell r="A26">
            <v>2025</v>
          </cell>
          <cell r="B26" t="str">
            <v>Copper</v>
          </cell>
          <cell r="C26" t="str">
            <v>Current Measures</v>
          </cell>
          <cell r="D26" t="str">
            <v>Production potential</v>
          </cell>
          <cell r="E26" t="str">
            <v>100% CAN</v>
          </cell>
          <cell r="F26" t="str">
            <v>Integrated</v>
          </cell>
          <cell r="G26">
            <v>825658.90499835368</v>
          </cell>
          <cell r="H26">
            <v>534750.25845525716</v>
          </cell>
          <cell r="I26">
            <v>446380.51235460019</v>
          </cell>
          <cell r="J26">
            <v>0</v>
          </cell>
          <cell r="K26">
            <v>460019.50660300028</v>
          </cell>
          <cell r="M26">
            <v>379278.39264375338</v>
          </cell>
          <cell r="N26">
            <v>0.83474576271186396</v>
          </cell>
        </row>
        <row r="27">
          <cell r="A27">
            <v>2025</v>
          </cell>
          <cell r="B27" t="str">
            <v>Copper</v>
          </cell>
          <cell r="C27" t="str">
            <v>Global Net-zero</v>
          </cell>
          <cell r="D27" t="str">
            <v>Existing production</v>
          </cell>
          <cell r="E27" t="str">
            <v>Current shares</v>
          </cell>
          <cell r="F27" t="str">
            <v>NIMBY</v>
          </cell>
          <cell r="G27">
            <v>813205.98217637825</v>
          </cell>
          <cell r="H27">
            <v>0</v>
          </cell>
          <cell r="I27">
            <v>0</v>
          </cell>
          <cell r="J27">
            <v>0</v>
          </cell>
          <cell r="K27">
            <v>979766.24358599796</v>
          </cell>
          <cell r="M27">
            <v>813205.98217637825</v>
          </cell>
          <cell r="N27">
            <v>0.83474576271186396</v>
          </cell>
        </row>
        <row r="28">
          <cell r="A28">
            <v>2025</v>
          </cell>
          <cell r="B28" t="str">
            <v>Copper</v>
          </cell>
          <cell r="C28" t="str">
            <v>Global Net-zero</v>
          </cell>
          <cell r="D28" t="str">
            <v>Existing production</v>
          </cell>
          <cell r="E28" t="str">
            <v>Current shares</v>
          </cell>
          <cell r="F28" t="str">
            <v>Status Quo</v>
          </cell>
          <cell r="G28">
            <v>813205.98217637825</v>
          </cell>
          <cell r="H28">
            <v>483888</v>
          </cell>
          <cell r="I28">
            <v>254335.73656839409</v>
          </cell>
          <cell r="J28">
            <v>149587.72105872436</v>
          </cell>
          <cell r="K28">
            <v>495878.24358599802</v>
          </cell>
          <cell r="M28">
            <v>409282.52454925992</v>
          </cell>
          <cell r="N28">
            <v>0.83474576271186396</v>
          </cell>
        </row>
        <row r="29">
          <cell r="A29">
            <v>2025</v>
          </cell>
          <cell r="B29" t="str">
            <v>Copper</v>
          </cell>
          <cell r="C29" t="str">
            <v>Global Net-zero</v>
          </cell>
          <cell r="D29" t="str">
            <v>Production potential</v>
          </cell>
          <cell r="E29" t="str">
            <v>Current shares</v>
          </cell>
          <cell r="F29" t="str">
            <v>Expansion Extractive</v>
          </cell>
          <cell r="G29">
            <v>813205.98217637825</v>
          </cell>
          <cell r="H29">
            <v>534750.25845525716</v>
          </cell>
          <cell r="I29">
            <v>281069.38147744298</v>
          </cell>
          <cell r="J29">
            <v>165311.13087715703</v>
          </cell>
          <cell r="K29">
            <v>445015.9851307408</v>
          </cell>
          <cell r="M29">
            <v>366825.4698217783</v>
          </cell>
          <cell r="N29">
            <v>0.83474576271186396</v>
          </cell>
        </row>
        <row r="30">
          <cell r="A30">
            <v>2025</v>
          </cell>
          <cell r="B30" t="str">
            <v>Copper</v>
          </cell>
          <cell r="C30" t="str">
            <v>Global Net-zero</v>
          </cell>
          <cell r="D30" t="str">
            <v>Production potential</v>
          </cell>
          <cell r="E30" t="str">
            <v>Current shares</v>
          </cell>
          <cell r="F30" t="str">
            <v>Expansion Extractive+Circularity</v>
          </cell>
          <cell r="G30">
            <v>813205.98217637825</v>
          </cell>
          <cell r="H30">
            <v>534750.25845525716</v>
          </cell>
          <cell r="I30">
            <v>281069.38147744298</v>
          </cell>
          <cell r="J30">
            <v>165311.13087715703</v>
          </cell>
          <cell r="K30">
            <v>445015.9851307408</v>
          </cell>
          <cell r="M30">
            <v>366825.4698217783</v>
          </cell>
          <cell r="N30">
            <v>0.83474576271186396</v>
          </cell>
        </row>
        <row r="31">
          <cell r="A31">
            <v>2025</v>
          </cell>
          <cell r="B31" t="str">
            <v>Copper</v>
          </cell>
          <cell r="C31" t="str">
            <v>Global Net-zero</v>
          </cell>
          <cell r="D31" t="str">
            <v>Production potential</v>
          </cell>
          <cell r="E31" t="str">
            <v>100% CAN</v>
          </cell>
          <cell r="F31" t="str">
            <v>Integrated</v>
          </cell>
          <cell r="G31">
            <v>813205.98217637825</v>
          </cell>
          <cell r="H31">
            <v>534750.25845525716</v>
          </cell>
          <cell r="I31">
            <v>446380.51235460019</v>
          </cell>
          <cell r="J31">
            <v>0</v>
          </cell>
          <cell r="K31">
            <v>445015.9851307408</v>
          </cell>
          <cell r="M31">
            <v>366825.46982177801</v>
          </cell>
          <cell r="N31">
            <v>0.83474576271186396</v>
          </cell>
        </row>
        <row r="32">
          <cell r="A32">
            <v>2025</v>
          </cell>
          <cell r="B32" t="str">
            <v>Neodymium</v>
          </cell>
          <cell r="C32" t="str">
            <v>Canada Net-zero</v>
          </cell>
          <cell r="D32" t="str">
            <v>Existing production</v>
          </cell>
          <cell r="E32" t="str">
            <v>Current shares</v>
          </cell>
          <cell r="F32" t="str">
            <v>NIMBY</v>
          </cell>
          <cell r="G32">
            <v>325.38476223044881</v>
          </cell>
          <cell r="H32">
            <v>0</v>
          </cell>
          <cell r="I32">
            <v>0</v>
          </cell>
          <cell r="J32">
            <v>0</v>
          </cell>
          <cell r="K32">
            <v>542.30793705074802</v>
          </cell>
          <cell r="M32">
            <v>325.38476223044881</v>
          </cell>
          <cell r="N32">
            <v>1</v>
          </cell>
        </row>
        <row r="33">
          <cell r="A33">
            <v>2025</v>
          </cell>
          <cell r="B33" t="str">
            <v>Neodymium</v>
          </cell>
          <cell r="C33" t="str">
            <v>Canada Net-zero</v>
          </cell>
          <cell r="D33" t="str">
            <v>Existing production</v>
          </cell>
          <cell r="E33" t="str">
            <v>Current shares</v>
          </cell>
          <cell r="F33" t="str">
            <v>Status Quo</v>
          </cell>
          <cell r="G33">
            <v>325.38476223044881</v>
          </cell>
          <cell r="H33">
            <v>0</v>
          </cell>
          <cell r="I33">
            <v>0</v>
          </cell>
          <cell r="J33">
            <v>0</v>
          </cell>
          <cell r="K33">
            <v>542.30793705074802</v>
          </cell>
          <cell r="M33">
            <v>325.38476223044881</v>
          </cell>
          <cell r="N33">
            <v>1</v>
          </cell>
        </row>
        <row r="34">
          <cell r="A34">
            <v>2025</v>
          </cell>
          <cell r="B34" t="str">
            <v>Neodymium</v>
          </cell>
          <cell r="C34" t="str">
            <v>Canada Net-zero</v>
          </cell>
          <cell r="D34" t="str">
            <v>Production potential</v>
          </cell>
          <cell r="E34" t="str">
            <v>Current shares</v>
          </cell>
          <cell r="F34" t="str">
            <v>Expansion Extractive</v>
          </cell>
          <cell r="G34">
            <v>325.38476223044881</v>
          </cell>
          <cell r="H34">
            <v>2.7492305175562488</v>
          </cell>
          <cell r="I34">
            <v>1.6455351944387819</v>
          </cell>
          <cell r="J34">
            <v>1.1036953231174669</v>
          </cell>
          <cell r="K34">
            <v>539.55870653319175</v>
          </cell>
          <cell r="M34">
            <v>322.63553171289254</v>
          </cell>
          <cell r="N34">
            <v>1</v>
          </cell>
        </row>
        <row r="35">
          <cell r="A35">
            <v>2025</v>
          </cell>
          <cell r="B35" t="str">
            <v>Neodymium</v>
          </cell>
          <cell r="C35" t="str">
            <v>Canada Net-zero</v>
          </cell>
          <cell r="D35" t="str">
            <v>Production potential</v>
          </cell>
          <cell r="E35" t="str">
            <v>Current shares</v>
          </cell>
          <cell r="F35" t="str">
            <v>Expansion Extractive+Circularity</v>
          </cell>
          <cell r="G35">
            <v>325.38476223044881</v>
          </cell>
          <cell r="H35">
            <v>2.7492305175562488</v>
          </cell>
          <cell r="I35">
            <v>1.6455351944387819</v>
          </cell>
          <cell r="J35">
            <v>1.1036953231174669</v>
          </cell>
          <cell r="K35">
            <v>539.55870653319175</v>
          </cell>
          <cell r="M35">
            <v>322.63553171289254</v>
          </cell>
          <cell r="N35">
            <v>1</v>
          </cell>
        </row>
        <row r="36">
          <cell r="A36">
            <v>2025</v>
          </cell>
          <cell r="B36" t="str">
            <v>Neodymium</v>
          </cell>
          <cell r="C36" t="str">
            <v>Canada Net-zero</v>
          </cell>
          <cell r="D36" t="str">
            <v>Production potential</v>
          </cell>
          <cell r="E36" t="str">
            <v>100% CAN</v>
          </cell>
          <cell r="F36" t="str">
            <v>Integrated</v>
          </cell>
          <cell r="G36">
            <v>325.38476223044881</v>
          </cell>
          <cell r="H36">
            <v>2.7492305175562488</v>
          </cell>
          <cell r="I36">
            <v>1.6455351944387819</v>
          </cell>
          <cell r="J36">
            <v>1.1036953231174669</v>
          </cell>
          <cell r="K36">
            <v>539.55870653319175</v>
          </cell>
          <cell r="M36">
            <v>322.63553171289254</v>
          </cell>
          <cell r="N36">
            <v>1</v>
          </cell>
        </row>
        <row r="37">
          <cell r="A37">
            <v>2025</v>
          </cell>
          <cell r="B37" t="str">
            <v>Neodymium</v>
          </cell>
          <cell r="C37" t="str">
            <v>Current Measures</v>
          </cell>
          <cell r="D37" t="str">
            <v>Existing production</v>
          </cell>
          <cell r="E37" t="str">
            <v>Current shares</v>
          </cell>
          <cell r="F37" t="str">
            <v>NIMBY</v>
          </cell>
          <cell r="G37">
            <v>293.15719353433781</v>
          </cell>
          <cell r="H37">
            <v>0</v>
          </cell>
          <cell r="I37">
            <v>0</v>
          </cell>
          <cell r="J37">
            <v>0</v>
          </cell>
          <cell r="K37">
            <v>488.59532255722968</v>
          </cell>
          <cell r="M37">
            <v>293.15719353433781</v>
          </cell>
          <cell r="N37">
            <v>1</v>
          </cell>
        </row>
        <row r="38">
          <cell r="A38">
            <v>2025</v>
          </cell>
          <cell r="B38" t="str">
            <v>Neodymium</v>
          </cell>
          <cell r="C38" t="str">
            <v>Current Measures</v>
          </cell>
          <cell r="D38" t="str">
            <v>Existing production</v>
          </cell>
          <cell r="E38" t="str">
            <v>Current shares</v>
          </cell>
          <cell r="F38" t="str">
            <v>Status Quo</v>
          </cell>
          <cell r="G38">
            <v>293.15719353433781</v>
          </cell>
          <cell r="H38">
            <v>0</v>
          </cell>
          <cell r="I38">
            <v>0</v>
          </cell>
          <cell r="J38">
            <v>0</v>
          </cell>
          <cell r="K38">
            <v>488.59532255722968</v>
          </cell>
          <cell r="M38">
            <v>293.15719353433781</v>
          </cell>
          <cell r="N38">
            <v>1</v>
          </cell>
        </row>
        <row r="39">
          <cell r="A39">
            <v>2025</v>
          </cell>
          <cell r="B39" t="str">
            <v>Neodymium</v>
          </cell>
          <cell r="C39" t="str">
            <v>Current Measures</v>
          </cell>
          <cell r="D39" t="str">
            <v>Production potential</v>
          </cell>
          <cell r="E39" t="str">
            <v>Current shares</v>
          </cell>
          <cell r="F39" t="str">
            <v>Expansion Extractive</v>
          </cell>
          <cell r="G39">
            <v>293.15719353433781</v>
          </cell>
          <cell r="H39">
            <v>2.7492305175562488</v>
          </cell>
          <cell r="I39">
            <v>1.6455351944387819</v>
          </cell>
          <cell r="J39">
            <v>1.1036953231174669</v>
          </cell>
          <cell r="K39">
            <v>485.84609203967341</v>
          </cell>
          <cell r="M39">
            <v>290.40796301678154</v>
          </cell>
          <cell r="N39">
            <v>1</v>
          </cell>
        </row>
        <row r="40">
          <cell r="A40">
            <v>2025</v>
          </cell>
          <cell r="B40" t="str">
            <v>Neodymium</v>
          </cell>
          <cell r="C40" t="str">
            <v>Current Measures</v>
          </cell>
          <cell r="D40" t="str">
            <v>Production potential</v>
          </cell>
          <cell r="E40" t="str">
            <v>Current shares</v>
          </cell>
          <cell r="F40" t="str">
            <v>Expansion Extractive+Circularity</v>
          </cell>
          <cell r="G40">
            <v>293.15719353433781</v>
          </cell>
          <cell r="H40">
            <v>2.7492305175562488</v>
          </cell>
          <cell r="I40">
            <v>1.6455351944387819</v>
          </cell>
          <cell r="J40">
            <v>1.1036953231174669</v>
          </cell>
          <cell r="K40">
            <v>485.84609203967341</v>
          </cell>
          <cell r="M40">
            <v>290.40796301678154</v>
          </cell>
          <cell r="N40">
            <v>1</v>
          </cell>
        </row>
        <row r="41">
          <cell r="A41">
            <v>2025</v>
          </cell>
          <cell r="B41" t="str">
            <v>Neodymium</v>
          </cell>
          <cell r="C41" t="str">
            <v>Current Measures</v>
          </cell>
          <cell r="D41" t="str">
            <v>Production potential</v>
          </cell>
          <cell r="E41" t="str">
            <v>100% CAN</v>
          </cell>
          <cell r="F41" t="str">
            <v>Integrated</v>
          </cell>
          <cell r="G41">
            <v>293.15719353433781</v>
          </cell>
          <cell r="H41">
            <v>2.7492305175562488</v>
          </cell>
          <cell r="I41">
            <v>1.6455351944387819</v>
          </cell>
          <cell r="J41">
            <v>1.1036953231174669</v>
          </cell>
          <cell r="K41">
            <v>485.84609203967341</v>
          </cell>
          <cell r="M41">
            <v>290.40796301678154</v>
          </cell>
          <cell r="N41">
            <v>1</v>
          </cell>
        </row>
        <row r="42">
          <cell r="A42">
            <v>2025</v>
          </cell>
          <cell r="B42" t="str">
            <v>Neodymium</v>
          </cell>
          <cell r="C42" t="str">
            <v>Global Net-zero</v>
          </cell>
          <cell r="D42" t="str">
            <v>Existing production</v>
          </cell>
          <cell r="E42" t="str">
            <v>Current shares</v>
          </cell>
          <cell r="F42" t="str">
            <v>NIMBY</v>
          </cell>
          <cell r="G42">
            <v>324.20432339207548</v>
          </cell>
          <cell r="H42">
            <v>0</v>
          </cell>
          <cell r="I42">
            <v>0</v>
          </cell>
          <cell r="J42">
            <v>0</v>
          </cell>
          <cell r="K42">
            <v>540.34053898679247</v>
          </cell>
          <cell r="M42">
            <v>324.20432339207548</v>
          </cell>
          <cell r="N42">
            <v>1</v>
          </cell>
        </row>
        <row r="43">
          <cell r="A43">
            <v>2025</v>
          </cell>
          <cell r="B43" t="str">
            <v>Neodymium</v>
          </cell>
          <cell r="C43" t="str">
            <v>Global Net-zero</v>
          </cell>
          <cell r="D43" t="str">
            <v>Existing production</v>
          </cell>
          <cell r="E43" t="str">
            <v>Current shares</v>
          </cell>
          <cell r="F43" t="str">
            <v>Status Quo</v>
          </cell>
          <cell r="G43">
            <v>324.20432339207548</v>
          </cell>
          <cell r="H43">
            <v>0</v>
          </cell>
          <cell r="I43">
            <v>0</v>
          </cell>
          <cell r="J43">
            <v>0</v>
          </cell>
          <cell r="K43">
            <v>540.34053898679247</v>
          </cell>
          <cell r="M43">
            <v>324.20432339207548</v>
          </cell>
          <cell r="N43">
            <v>1</v>
          </cell>
        </row>
        <row r="44">
          <cell r="A44">
            <v>2025</v>
          </cell>
          <cell r="B44" t="str">
            <v>Neodymium</v>
          </cell>
          <cell r="C44" t="str">
            <v>Global Net-zero</v>
          </cell>
          <cell r="D44" t="str">
            <v>Production potential</v>
          </cell>
          <cell r="E44" t="str">
            <v>Current shares</v>
          </cell>
          <cell r="F44" t="str">
            <v>Expansion Extractive</v>
          </cell>
          <cell r="G44">
            <v>324.20432339207548</v>
          </cell>
          <cell r="H44">
            <v>2.7492305175562488</v>
          </cell>
          <cell r="I44">
            <v>1.6455351944387819</v>
          </cell>
          <cell r="J44">
            <v>1.1036953231174669</v>
          </cell>
          <cell r="K44">
            <v>537.5913084692362</v>
          </cell>
          <cell r="M44">
            <v>321.45509287451927</v>
          </cell>
          <cell r="N44">
            <v>1</v>
          </cell>
        </row>
        <row r="45">
          <cell r="A45">
            <v>2025</v>
          </cell>
          <cell r="B45" t="str">
            <v>Neodymium</v>
          </cell>
          <cell r="C45" t="str">
            <v>Global Net-zero</v>
          </cell>
          <cell r="D45" t="str">
            <v>Production potential</v>
          </cell>
          <cell r="E45" t="str">
            <v>Current shares</v>
          </cell>
          <cell r="F45" t="str">
            <v>Expansion Extractive+Circularity</v>
          </cell>
          <cell r="G45">
            <v>324.20432339207548</v>
          </cell>
          <cell r="H45">
            <v>2.7492305175562488</v>
          </cell>
          <cell r="I45">
            <v>1.6455351944387819</v>
          </cell>
          <cell r="J45">
            <v>1.1036953231174669</v>
          </cell>
          <cell r="K45">
            <v>537.5913084692362</v>
          </cell>
          <cell r="M45">
            <v>321.45509287451927</v>
          </cell>
          <cell r="N45">
            <v>1</v>
          </cell>
        </row>
        <row r="46">
          <cell r="A46">
            <v>2025</v>
          </cell>
          <cell r="B46" t="str">
            <v>Neodymium</v>
          </cell>
          <cell r="C46" t="str">
            <v>Global Net-zero</v>
          </cell>
          <cell r="D46" t="str">
            <v>Production potential</v>
          </cell>
          <cell r="E46" t="str">
            <v>100% CAN</v>
          </cell>
          <cell r="F46" t="str">
            <v>Integrated</v>
          </cell>
          <cell r="G46">
            <v>324.20432339207548</v>
          </cell>
          <cell r="H46">
            <v>2.7492305175562488</v>
          </cell>
          <cell r="I46">
            <v>1.6455351944387819</v>
          </cell>
          <cell r="J46">
            <v>1.1036953231174669</v>
          </cell>
          <cell r="K46">
            <v>537.5913084692362</v>
          </cell>
          <cell r="M46">
            <v>321.45509287451927</v>
          </cell>
          <cell r="N46">
            <v>1</v>
          </cell>
        </row>
        <row r="47">
          <cell r="A47">
            <v>2025</v>
          </cell>
          <cell r="B47" t="str">
            <v>Nickel</v>
          </cell>
          <cell r="C47" t="str">
            <v>Canada Net-zero</v>
          </cell>
          <cell r="D47" t="str">
            <v>Existing production</v>
          </cell>
          <cell r="E47" t="str">
            <v>Current shares</v>
          </cell>
          <cell r="F47" t="str">
            <v>NIMBY</v>
          </cell>
          <cell r="G47">
            <v>22394.317081973011</v>
          </cell>
          <cell r="H47">
            <v>0</v>
          </cell>
          <cell r="I47">
            <v>0</v>
          </cell>
          <cell r="J47">
            <v>0</v>
          </cell>
          <cell r="K47">
            <v>28347.236812624069</v>
          </cell>
          <cell r="M47">
            <v>22394.317081973011</v>
          </cell>
          <cell r="N47">
            <v>0.69917047091553897</v>
          </cell>
        </row>
        <row r="48">
          <cell r="A48">
            <v>2025</v>
          </cell>
          <cell r="B48" t="str">
            <v>Nickel</v>
          </cell>
          <cell r="C48" t="str">
            <v>Canada Net-zero</v>
          </cell>
          <cell r="D48" t="str">
            <v>Existing production</v>
          </cell>
          <cell r="E48" t="str">
            <v>Current shares</v>
          </cell>
          <cell r="F48" t="str">
            <v>Status Quo</v>
          </cell>
          <cell r="G48">
            <v>22394.317081973011</v>
          </cell>
          <cell r="H48">
            <v>154586</v>
          </cell>
          <cell r="I48">
            <v>86704.202309810571</v>
          </cell>
          <cell r="J48">
            <v>21377.764107138937</v>
          </cell>
          <cell r="K48">
            <v>0</v>
          </cell>
          <cell r="M48">
            <v>0</v>
          </cell>
          <cell r="N48">
            <v>0.69917047091553897</v>
          </cell>
        </row>
        <row r="49">
          <cell r="A49">
            <v>2025</v>
          </cell>
          <cell r="B49" t="str">
            <v>Nickel</v>
          </cell>
          <cell r="C49" t="str">
            <v>Canada Net-zero</v>
          </cell>
          <cell r="D49" t="str">
            <v>Production potential</v>
          </cell>
          <cell r="E49" t="str">
            <v>Current shares</v>
          </cell>
          <cell r="F49" t="str">
            <v>Expansion Extractive</v>
          </cell>
          <cell r="G49">
            <v>22394.317081973011</v>
          </cell>
          <cell r="H49">
            <v>154586</v>
          </cell>
          <cell r="I49">
            <v>86704.202309810571</v>
          </cell>
          <cell r="J49">
            <v>21377.764107138937</v>
          </cell>
          <cell r="K49">
            <v>0</v>
          </cell>
          <cell r="M49">
            <v>0</v>
          </cell>
          <cell r="N49">
            <v>0.69917047091553897</v>
          </cell>
        </row>
        <row r="50">
          <cell r="A50">
            <v>2025</v>
          </cell>
          <cell r="B50" t="str">
            <v>Nickel</v>
          </cell>
          <cell r="C50" t="str">
            <v>Canada Net-zero</v>
          </cell>
          <cell r="D50" t="str">
            <v>Production potential</v>
          </cell>
          <cell r="E50" t="str">
            <v>Current shares</v>
          </cell>
          <cell r="F50" t="str">
            <v>Expansion Extractive+Circularity</v>
          </cell>
          <cell r="G50">
            <v>22394.317081973011</v>
          </cell>
          <cell r="H50">
            <v>154586</v>
          </cell>
          <cell r="I50">
            <v>86704.202309810571</v>
          </cell>
          <cell r="J50">
            <v>21377.764107138937</v>
          </cell>
          <cell r="K50">
            <v>0</v>
          </cell>
          <cell r="M50">
            <v>0</v>
          </cell>
          <cell r="N50">
            <v>0.69917047091553897</v>
          </cell>
        </row>
        <row r="51">
          <cell r="A51">
            <v>2025</v>
          </cell>
          <cell r="B51" t="str">
            <v>Nickel</v>
          </cell>
          <cell r="C51" t="str">
            <v>Canada Net-zero</v>
          </cell>
          <cell r="D51" t="str">
            <v>Production potential</v>
          </cell>
          <cell r="E51" t="str">
            <v>100% CAN</v>
          </cell>
          <cell r="F51" t="str">
            <v>Integrated</v>
          </cell>
          <cell r="G51">
            <v>22394.317081973011</v>
          </cell>
          <cell r="H51">
            <v>154586</v>
          </cell>
          <cell r="I51">
            <v>121744.976744186</v>
          </cell>
          <cell r="J51">
            <v>-13663.010327236494</v>
          </cell>
          <cell r="K51">
            <v>0</v>
          </cell>
          <cell r="M51">
            <v>13663.010327236494</v>
          </cell>
          <cell r="N51">
            <v>0.69917047091553897</v>
          </cell>
        </row>
        <row r="52">
          <cell r="A52">
            <v>2025</v>
          </cell>
          <cell r="B52" t="str">
            <v>Nickel</v>
          </cell>
          <cell r="C52" t="str">
            <v>Current Measures</v>
          </cell>
          <cell r="D52" t="str">
            <v>Existing production</v>
          </cell>
          <cell r="E52" t="str">
            <v>Current shares</v>
          </cell>
          <cell r="F52" t="str">
            <v>NIMBY</v>
          </cell>
          <cell r="G52">
            <v>20352.370126600821</v>
          </cell>
          <cell r="H52">
            <v>0</v>
          </cell>
          <cell r="I52">
            <v>0</v>
          </cell>
          <cell r="J52">
            <v>0</v>
          </cell>
          <cell r="K52">
            <v>25762.49383114028</v>
          </cell>
          <cell r="M52">
            <v>20352.370126600821</v>
          </cell>
          <cell r="N52">
            <v>0.69917047091553897</v>
          </cell>
        </row>
        <row r="53">
          <cell r="A53">
            <v>2025</v>
          </cell>
          <cell r="B53" t="str">
            <v>Nickel</v>
          </cell>
          <cell r="C53" t="str">
            <v>Current Measures</v>
          </cell>
          <cell r="D53" t="str">
            <v>Existing production</v>
          </cell>
          <cell r="E53" t="str">
            <v>Current shares</v>
          </cell>
          <cell r="F53" t="str">
            <v>Status Quo</v>
          </cell>
          <cell r="G53">
            <v>20352.370126600821</v>
          </cell>
          <cell r="H53">
            <v>154586</v>
          </cell>
          <cell r="I53">
            <v>86704.202309810571</v>
          </cell>
          <cell r="J53">
            <v>21377.764107138937</v>
          </cell>
          <cell r="K53">
            <v>0</v>
          </cell>
          <cell r="M53">
            <v>0</v>
          </cell>
          <cell r="N53">
            <v>0.69917047091553897</v>
          </cell>
        </row>
        <row r="54">
          <cell r="A54">
            <v>2025</v>
          </cell>
          <cell r="B54" t="str">
            <v>Nickel</v>
          </cell>
          <cell r="C54" t="str">
            <v>Current Measures</v>
          </cell>
          <cell r="D54" t="str">
            <v>Production potential</v>
          </cell>
          <cell r="E54" t="str">
            <v>Current shares</v>
          </cell>
          <cell r="F54" t="str">
            <v>Expansion Extractive</v>
          </cell>
          <cell r="G54">
            <v>20352.370126600821</v>
          </cell>
          <cell r="H54">
            <v>154586</v>
          </cell>
          <cell r="I54">
            <v>86704.202309810571</v>
          </cell>
          <cell r="J54">
            <v>21377.764107138937</v>
          </cell>
          <cell r="K54">
            <v>0</v>
          </cell>
          <cell r="M54">
            <v>0</v>
          </cell>
          <cell r="N54">
            <v>0.69917047091553897</v>
          </cell>
        </row>
        <row r="55">
          <cell r="A55">
            <v>2025</v>
          </cell>
          <cell r="B55" t="str">
            <v>Nickel</v>
          </cell>
          <cell r="C55" t="str">
            <v>Current Measures</v>
          </cell>
          <cell r="D55" t="str">
            <v>Production potential</v>
          </cell>
          <cell r="E55" t="str">
            <v>Current shares</v>
          </cell>
          <cell r="F55" t="str">
            <v>Expansion Extractive+Circularity</v>
          </cell>
          <cell r="G55">
            <v>20352.370126600821</v>
          </cell>
          <cell r="H55">
            <v>154586</v>
          </cell>
          <cell r="I55">
            <v>86704.202309810571</v>
          </cell>
          <cell r="J55">
            <v>21377.764107138937</v>
          </cell>
          <cell r="K55">
            <v>0</v>
          </cell>
          <cell r="M55">
            <v>0</v>
          </cell>
          <cell r="N55">
            <v>0.69917047091553897</v>
          </cell>
        </row>
        <row r="56">
          <cell r="A56">
            <v>2025</v>
          </cell>
          <cell r="B56" t="str">
            <v>Nickel</v>
          </cell>
          <cell r="C56" t="str">
            <v>Current Measures</v>
          </cell>
          <cell r="D56" t="str">
            <v>Production potential</v>
          </cell>
          <cell r="E56" t="str">
            <v>100% CAN</v>
          </cell>
          <cell r="F56" t="str">
            <v>Integrated</v>
          </cell>
          <cell r="G56">
            <v>20352.370126600821</v>
          </cell>
          <cell r="H56">
            <v>154586</v>
          </cell>
          <cell r="I56">
            <v>121744.976744186</v>
          </cell>
          <cell r="J56">
            <v>-13663.010327236494</v>
          </cell>
          <cell r="K56">
            <v>0</v>
          </cell>
          <cell r="M56">
            <v>13663.010327236494</v>
          </cell>
          <cell r="N56">
            <v>0.69917047091553897</v>
          </cell>
        </row>
        <row r="57">
          <cell r="A57">
            <v>2025</v>
          </cell>
          <cell r="B57" t="str">
            <v>Nickel</v>
          </cell>
          <cell r="C57" t="str">
            <v>Global Net-zero</v>
          </cell>
          <cell r="D57" t="str">
            <v>Existing production</v>
          </cell>
          <cell r="E57" t="str">
            <v>Current shares</v>
          </cell>
          <cell r="F57" t="str">
            <v>NIMBY</v>
          </cell>
          <cell r="G57">
            <v>21927.171834368899</v>
          </cell>
          <cell r="H57">
            <v>0</v>
          </cell>
          <cell r="I57">
            <v>0</v>
          </cell>
          <cell r="J57">
            <v>0</v>
          </cell>
          <cell r="K57">
            <v>27755.913714391008</v>
          </cell>
          <cell r="M57">
            <v>21927.171834368899</v>
          </cell>
          <cell r="N57">
            <v>0.69917047091553897</v>
          </cell>
        </row>
        <row r="58">
          <cell r="A58">
            <v>2025</v>
          </cell>
          <cell r="B58" t="str">
            <v>Nickel</v>
          </cell>
          <cell r="C58" t="str">
            <v>Global Net-zero</v>
          </cell>
          <cell r="D58" t="str">
            <v>Existing production</v>
          </cell>
          <cell r="E58" t="str">
            <v>Current shares</v>
          </cell>
          <cell r="F58" t="str">
            <v>Status Quo</v>
          </cell>
          <cell r="G58">
            <v>21927.171834368899</v>
          </cell>
          <cell r="H58">
            <v>154586</v>
          </cell>
          <cell r="I58">
            <v>86704.202309810571</v>
          </cell>
          <cell r="J58">
            <v>21377.764107138937</v>
          </cell>
          <cell r="K58">
            <v>0</v>
          </cell>
          <cell r="M58">
            <v>0</v>
          </cell>
          <cell r="N58">
            <v>0.69917047091553897</v>
          </cell>
        </row>
        <row r="59">
          <cell r="A59">
            <v>2025</v>
          </cell>
          <cell r="B59" t="str">
            <v>Nickel</v>
          </cell>
          <cell r="C59" t="str">
            <v>Global Net-zero</v>
          </cell>
          <cell r="D59" t="str">
            <v>Production potential</v>
          </cell>
          <cell r="E59" t="str">
            <v>Current shares</v>
          </cell>
          <cell r="F59" t="str">
            <v>Expansion Extractive</v>
          </cell>
          <cell r="G59">
            <v>21927.171834368899</v>
          </cell>
          <cell r="H59">
            <v>154586</v>
          </cell>
          <cell r="I59">
            <v>86704.202309810571</v>
          </cell>
          <cell r="J59">
            <v>21377.764107138937</v>
          </cell>
          <cell r="K59">
            <v>0</v>
          </cell>
          <cell r="M59">
            <v>0</v>
          </cell>
          <cell r="N59">
            <v>0.69917047091553897</v>
          </cell>
        </row>
        <row r="60">
          <cell r="A60">
            <v>2025</v>
          </cell>
          <cell r="B60" t="str">
            <v>Nickel</v>
          </cell>
          <cell r="C60" t="str">
            <v>Global Net-zero</v>
          </cell>
          <cell r="D60" t="str">
            <v>Production potential</v>
          </cell>
          <cell r="E60" t="str">
            <v>Current shares</v>
          </cell>
          <cell r="F60" t="str">
            <v>Expansion Extractive+Circularity</v>
          </cell>
          <cell r="G60">
            <v>21927.171834368899</v>
          </cell>
          <cell r="H60">
            <v>154586</v>
          </cell>
          <cell r="I60">
            <v>86704.202309810571</v>
          </cell>
          <cell r="J60">
            <v>21377.764107138937</v>
          </cell>
          <cell r="K60">
            <v>0</v>
          </cell>
          <cell r="M60">
            <v>0</v>
          </cell>
          <cell r="N60">
            <v>0.69917047091553897</v>
          </cell>
        </row>
        <row r="61">
          <cell r="A61">
            <v>2025</v>
          </cell>
          <cell r="B61" t="str">
            <v>Nickel</v>
          </cell>
          <cell r="C61" t="str">
            <v>Global Net-zero</v>
          </cell>
          <cell r="D61" t="str">
            <v>Production potential</v>
          </cell>
          <cell r="E61" t="str">
            <v>100% CAN</v>
          </cell>
          <cell r="F61" t="str">
            <v>Integrated</v>
          </cell>
          <cell r="G61">
            <v>21927.171834368899</v>
          </cell>
          <cell r="H61">
            <v>154586</v>
          </cell>
          <cell r="I61">
            <v>121744.976744186</v>
          </cell>
          <cell r="J61">
            <v>-13663.010327236494</v>
          </cell>
          <cell r="K61">
            <v>0</v>
          </cell>
          <cell r="M61">
            <v>13663.010327236494</v>
          </cell>
          <cell r="N61">
            <v>0.69917047091553897</v>
          </cell>
        </row>
        <row r="62">
          <cell r="A62">
            <v>2025</v>
          </cell>
          <cell r="B62" t="str">
            <v>Graphite</v>
          </cell>
          <cell r="C62" t="str">
            <v>Canada Net-zero</v>
          </cell>
          <cell r="D62" t="str">
            <v>Existing production</v>
          </cell>
          <cell r="E62" t="str">
            <v>Current shares</v>
          </cell>
          <cell r="F62" t="str">
            <v>NIMBY</v>
          </cell>
          <cell r="G62">
            <v>413.38674287243032</v>
          </cell>
          <cell r="H62">
            <v>0</v>
          </cell>
          <cell r="I62">
            <v>0</v>
          </cell>
          <cell r="J62">
            <v>0</v>
          </cell>
          <cell r="K62">
            <v>413.38674287243032</v>
          </cell>
          <cell r="M62">
            <v>413.38674287243032</v>
          </cell>
          <cell r="N62">
            <v>0.59854391398996798</v>
          </cell>
        </row>
        <row r="63">
          <cell r="A63">
            <v>2025</v>
          </cell>
          <cell r="B63" t="str">
            <v>Graphite</v>
          </cell>
          <cell r="C63" t="str">
            <v>Canada Net-zero</v>
          </cell>
          <cell r="D63" t="str">
            <v>Existing production</v>
          </cell>
          <cell r="E63" t="str">
            <v>Current shares</v>
          </cell>
          <cell r="F63" t="str">
            <v>Status Quo</v>
          </cell>
          <cell r="G63">
            <v>413.38674287243032</v>
          </cell>
          <cell r="H63">
            <v>0</v>
          </cell>
          <cell r="I63">
            <v>0</v>
          </cell>
          <cell r="J63">
            <v>0</v>
          </cell>
          <cell r="K63">
            <v>413.38674287243032</v>
          </cell>
          <cell r="M63">
            <v>413.38674287243032</v>
          </cell>
          <cell r="N63">
            <v>0.59854391398996798</v>
          </cell>
        </row>
        <row r="64">
          <cell r="A64">
            <v>2025</v>
          </cell>
          <cell r="B64" t="str">
            <v>Graphite</v>
          </cell>
          <cell r="C64" t="str">
            <v>Canada Net-zero</v>
          </cell>
          <cell r="D64" t="str">
            <v>Production potential</v>
          </cell>
          <cell r="E64" t="str">
            <v>Current shares</v>
          </cell>
          <cell r="F64" t="str">
            <v>Expansion Extractive</v>
          </cell>
          <cell r="G64">
            <v>413.38674287243032</v>
          </cell>
          <cell r="H64">
            <v>99547</v>
          </cell>
          <cell r="I64">
            <v>32850.51</v>
          </cell>
          <cell r="J64">
            <v>26732.741005959339</v>
          </cell>
          <cell r="K64">
            <v>0</v>
          </cell>
          <cell r="M64">
            <v>0</v>
          </cell>
          <cell r="N64">
            <v>0.59854391398996798</v>
          </cell>
        </row>
        <row r="65">
          <cell r="A65">
            <v>2025</v>
          </cell>
          <cell r="B65" t="str">
            <v>Graphite</v>
          </cell>
          <cell r="C65" t="str">
            <v>Canada Net-zero</v>
          </cell>
          <cell r="D65" t="str">
            <v>Production potential</v>
          </cell>
          <cell r="E65" t="str">
            <v>Current shares</v>
          </cell>
          <cell r="F65" t="str">
            <v>Expansion Extractive+Circularity</v>
          </cell>
          <cell r="G65">
            <v>413.38674287243032</v>
          </cell>
          <cell r="H65">
            <v>99547</v>
          </cell>
          <cell r="I65">
            <v>32850.51</v>
          </cell>
          <cell r="J65">
            <v>26732.741005959339</v>
          </cell>
          <cell r="K65">
            <v>0</v>
          </cell>
          <cell r="M65">
            <v>0</v>
          </cell>
          <cell r="N65">
            <v>0.59854391398996798</v>
          </cell>
        </row>
        <row r="66">
          <cell r="A66">
            <v>2025</v>
          </cell>
          <cell r="B66" t="str">
            <v>Graphite</v>
          </cell>
          <cell r="C66" t="str">
            <v>Canada Net-zero</v>
          </cell>
          <cell r="D66" t="str">
            <v>Production potential</v>
          </cell>
          <cell r="E66" t="str">
            <v>100% CAN</v>
          </cell>
          <cell r="F66" t="str">
            <v>Integrated</v>
          </cell>
          <cell r="G66">
            <v>413.38674287243032</v>
          </cell>
          <cell r="H66">
            <v>99547</v>
          </cell>
          <cell r="I66">
            <v>32850.51</v>
          </cell>
          <cell r="J66">
            <v>26732.741005959339</v>
          </cell>
          <cell r="K66">
            <v>0</v>
          </cell>
          <cell r="M66">
            <v>0</v>
          </cell>
          <cell r="N66">
            <v>0.59854391398996798</v>
          </cell>
        </row>
        <row r="67">
          <cell r="A67">
            <v>2025</v>
          </cell>
          <cell r="B67" t="str">
            <v>Graphite</v>
          </cell>
          <cell r="C67" t="str">
            <v>Current Measures</v>
          </cell>
          <cell r="D67" t="str">
            <v>Existing production</v>
          </cell>
          <cell r="E67" t="str">
            <v>Current shares</v>
          </cell>
          <cell r="F67" t="str">
            <v>NIMBY</v>
          </cell>
          <cell r="G67">
            <v>372.44306265009908</v>
          </cell>
          <cell r="H67">
            <v>0</v>
          </cell>
          <cell r="I67">
            <v>0</v>
          </cell>
          <cell r="J67">
            <v>0</v>
          </cell>
          <cell r="K67">
            <v>372.44306265009908</v>
          </cell>
          <cell r="M67">
            <v>372.44306265009908</v>
          </cell>
          <cell r="N67">
            <v>0.59854391398996798</v>
          </cell>
        </row>
        <row r="68">
          <cell r="A68">
            <v>2025</v>
          </cell>
          <cell r="B68" t="str">
            <v>Graphite</v>
          </cell>
          <cell r="C68" t="str">
            <v>Current Measures</v>
          </cell>
          <cell r="D68" t="str">
            <v>Existing production</v>
          </cell>
          <cell r="E68" t="str">
            <v>Current shares</v>
          </cell>
          <cell r="F68" t="str">
            <v>Status Quo</v>
          </cell>
          <cell r="G68">
            <v>372.44306265009908</v>
          </cell>
          <cell r="H68">
            <v>0</v>
          </cell>
          <cell r="I68">
            <v>0</v>
          </cell>
          <cell r="J68">
            <v>0</v>
          </cell>
          <cell r="K68">
            <v>372.44306265009908</v>
          </cell>
          <cell r="M68">
            <v>372.44306265009908</v>
          </cell>
          <cell r="N68">
            <v>0.59854391398996798</v>
          </cell>
        </row>
        <row r="69">
          <cell r="A69">
            <v>2025</v>
          </cell>
          <cell r="B69" t="str">
            <v>Graphite</v>
          </cell>
          <cell r="C69" t="str">
            <v>Current Measures</v>
          </cell>
          <cell r="D69" t="str">
            <v>Production potential</v>
          </cell>
          <cell r="E69" t="str">
            <v>Current shares</v>
          </cell>
          <cell r="F69" t="str">
            <v>Expansion Extractive</v>
          </cell>
          <cell r="G69">
            <v>372.44306265009908</v>
          </cell>
          <cell r="H69">
            <v>99547</v>
          </cell>
          <cell r="I69">
            <v>32850.51</v>
          </cell>
          <cell r="J69">
            <v>26732.741005959339</v>
          </cell>
          <cell r="K69">
            <v>0</v>
          </cell>
          <cell r="M69">
            <v>0</v>
          </cell>
          <cell r="N69">
            <v>0.59854391398996798</v>
          </cell>
        </row>
        <row r="70">
          <cell r="A70">
            <v>2025</v>
          </cell>
          <cell r="B70" t="str">
            <v>Graphite</v>
          </cell>
          <cell r="C70" t="str">
            <v>Current Measures</v>
          </cell>
          <cell r="D70" t="str">
            <v>Production potential</v>
          </cell>
          <cell r="E70" t="str">
            <v>Current shares</v>
          </cell>
          <cell r="F70" t="str">
            <v>Expansion Extractive+Circularity</v>
          </cell>
          <cell r="G70">
            <v>372.44306265009908</v>
          </cell>
          <cell r="H70">
            <v>99547</v>
          </cell>
          <cell r="I70">
            <v>32850.51</v>
          </cell>
          <cell r="J70">
            <v>26732.741005959339</v>
          </cell>
          <cell r="K70">
            <v>0</v>
          </cell>
          <cell r="M70">
            <v>0</v>
          </cell>
          <cell r="N70">
            <v>0.59854391398996798</v>
          </cell>
        </row>
        <row r="71">
          <cell r="A71">
            <v>2025</v>
          </cell>
          <cell r="B71" t="str">
            <v>Graphite</v>
          </cell>
          <cell r="C71" t="str">
            <v>Current Measures</v>
          </cell>
          <cell r="D71" t="str">
            <v>Production potential</v>
          </cell>
          <cell r="E71" t="str">
            <v>100% CAN</v>
          </cell>
          <cell r="F71" t="str">
            <v>Integrated</v>
          </cell>
          <cell r="G71">
            <v>372.44306265009908</v>
          </cell>
          <cell r="H71">
            <v>99547</v>
          </cell>
          <cell r="I71">
            <v>32850.51</v>
          </cell>
          <cell r="J71">
            <v>26732.741005959339</v>
          </cell>
          <cell r="K71">
            <v>0</v>
          </cell>
          <cell r="M71">
            <v>0</v>
          </cell>
          <cell r="N71">
            <v>0.59854391398996798</v>
          </cell>
        </row>
        <row r="72">
          <cell r="A72">
            <v>2025</v>
          </cell>
          <cell r="B72" t="str">
            <v>Graphite</v>
          </cell>
          <cell r="C72" t="str">
            <v>Global Net-zero</v>
          </cell>
          <cell r="D72" t="str">
            <v>Existing production</v>
          </cell>
          <cell r="E72" t="str">
            <v>Current shares</v>
          </cell>
          <cell r="F72" t="str">
            <v>NIMBY</v>
          </cell>
          <cell r="G72">
            <v>411.8870482855956</v>
          </cell>
          <cell r="H72">
            <v>0</v>
          </cell>
          <cell r="I72">
            <v>0</v>
          </cell>
          <cell r="J72">
            <v>0</v>
          </cell>
          <cell r="K72">
            <v>411.8870482855956</v>
          </cell>
          <cell r="M72">
            <v>411.8870482855956</v>
          </cell>
          <cell r="N72">
            <v>0.59854391398996798</v>
          </cell>
        </row>
        <row r="73">
          <cell r="A73">
            <v>2025</v>
          </cell>
          <cell r="B73" t="str">
            <v>Graphite</v>
          </cell>
          <cell r="C73" t="str">
            <v>Global Net-zero</v>
          </cell>
          <cell r="D73" t="str">
            <v>Existing production</v>
          </cell>
          <cell r="E73" t="str">
            <v>Current shares</v>
          </cell>
          <cell r="F73" t="str">
            <v>Status Quo</v>
          </cell>
          <cell r="G73">
            <v>411.8870482855956</v>
          </cell>
          <cell r="H73">
            <v>0</v>
          </cell>
          <cell r="I73">
            <v>0</v>
          </cell>
          <cell r="J73">
            <v>0</v>
          </cell>
          <cell r="K73">
            <v>411.8870482855956</v>
          </cell>
          <cell r="M73">
            <v>411.8870482855956</v>
          </cell>
          <cell r="N73">
            <v>0.59854391398996798</v>
          </cell>
        </row>
        <row r="74">
          <cell r="A74">
            <v>2025</v>
          </cell>
          <cell r="B74" t="str">
            <v>Graphite</v>
          </cell>
          <cell r="C74" t="str">
            <v>Global Net-zero</v>
          </cell>
          <cell r="D74" t="str">
            <v>Production potential</v>
          </cell>
          <cell r="E74" t="str">
            <v>Current shares</v>
          </cell>
          <cell r="F74" t="str">
            <v>Expansion Extractive</v>
          </cell>
          <cell r="G74">
            <v>411.8870482855956</v>
          </cell>
          <cell r="H74">
            <v>99547</v>
          </cell>
          <cell r="I74">
            <v>32850.51</v>
          </cell>
          <cell r="J74">
            <v>26732.741005959339</v>
          </cell>
          <cell r="K74">
            <v>0</v>
          </cell>
          <cell r="M74">
            <v>0</v>
          </cell>
          <cell r="N74">
            <v>0.59854391398996798</v>
          </cell>
        </row>
        <row r="75">
          <cell r="A75">
            <v>2025</v>
          </cell>
          <cell r="B75" t="str">
            <v>Graphite</v>
          </cell>
          <cell r="C75" t="str">
            <v>Global Net-zero</v>
          </cell>
          <cell r="D75" t="str">
            <v>Production potential</v>
          </cell>
          <cell r="E75" t="str">
            <v>Current shares</v>
          </cell>
          <cell r="F75" t="str">
            <v>Expansion Extractive+Circularity</v>
          </cell>
          <cell r="G75">
            <v>411.8870482855956</v>
          </cell>
          <cell r="H75">
            <v>99547</v>
          </cell>
          <cell r="I75">
            <v>32850.51</v>
          </cell>
          <cell r="J75">
            <v>26732.741005959339</v>
          </cell>
          <cell r="K75">
            <v>0</v>
          </cell>
          <cell r="M75">
            <v>0</v>
          </cell>
          <cell r="N75">
            <v>0.59854391398996798</v>
          </cell>
        </row>
        <row r="76">
          <cell r="A76">
            <v>2025</v>
          </cell>
          <cell r="B76" t="str">
            <v>Graphite</v>
          </cell>
          <cell r="C76" t="str">
            <v>Global Net-zero</v>
          </cell>
          <cell r="D76" t="str">
            <v>Production potential</v>
          </cell>
          <cell r="E76" t="str">
            <v>100% CAN</v>
          </cell>
          <cell r="F76" t="str">
            <v>Integrated</v>
          </cell>
          <cell r="G76">
            <v>411.8870482855956</v>
          </cell>
          <cell r="H76">
            <v>99547</v>
          </cell>
          <cell r="I76">
            <v>32850.51</v>
          </cell>
          <cell r="J76">
            <v>26732.741005959339</v>
          </cell>
          <cell r="K76">
            <v>0</v>
          </cell>
          <cell r="M76">
            <v>0</v>
          </cell>
          <cell r="N76">
            <v>0.59854391398996798</v>
          </cell>
        </row>
        <row r="77">
          <cell r="A77">
            <v>2025</v>
          </cell>
          <cell r="B77" t="str">
            <v>Lithium</v>
          </cell>
          <cell r="C77" t="str">
            <v>Canada Net-zero</v>
          </cell>
          <cell r="D77" t="str">
            <v>Existing production</v>
          </cell>
          <cell r="E77" t="str">
            <v>Current shares</v>
          </cell>
          <cell r="F77" t="str">
            <v>NIMBY</v>
          </cell>
          <cell r="G77">
            <v>6247.3243664054053</v>
          </cell>
          <cell r="H77">
            <v>0</v>
          </cell>
          <cell r="I77">
            <v>0</v>
          </cell>
          <cell r="J77">
            <v>0</v>
          </cell>
          <cell r="K77">
            <v>8924.7490948648647</v>
          </cell>
          <cell r="M77">
            <v>6247.3243664054053</v>
          </cell>
          <cell r="N77">
            <v>0.787554996857322</v>
          </cell>
        </row>
        <row r="78">
          <cell r="A78">
            <v>2025</v>
          </cell>
          <cell r="B78" t="str">
            <v>Lithium</v>
          </cell>
          <cell r="C78" t="str">
            <v>Canada Net-zero</v>
          </cell>
          <cell r="D78" t="str">
            <v>Existing production</v>
          </cell>
          <cell r="E78" t="str">
            <v>Current shares</v>
          </cell>
          <cell r="F78" t="str">
            <v>Status Quo</v>
          </cell>
          <cell r="G78">
            <v>6247.3243664054053</v>
          </cell>
          <cell r="H78">
            <v>37578</v>
          </cell>
          <cell r="I78">
            <v>26273.427956064119</v>
          </cell>
          <cell r="J78">
            <v>3321.313715840326</v>
          </cell>
          <cell r="K78">
            <v>0</v>
          </cell>
          <cell r="M78">
            <v>0</v>
          </cell>
          <cell r="N78">
            <v>0.787554996857322</v>
          </cell>
        </row>
        <row r="79">
          <cell r="A79">
            <v>2025</v>
          </cell>
          <cell r="B79" t="str">
            <v>Lithium</v>
          </cell>
          <cell r="C79" t="str">
            <v>Canada Net-zero</v>
          </cell>
          <cell r="D79" t="str">
            <v>Production potential</v>
          </cell>
          <cell r="E79" t="str">
            <v>Current shares</v>
          </cell>
          <cell r="F79" t="str">
            <v>Expansion Extractive</v>
          </cell>
          <cell r="G79">
            <v>6247.3243664054053</v>
          </cell>
          <cell r="H79">
            <v>84850</v>
          </cell>
          <cell r="I79">
            <v>59324.614457183481</v>
          </cell>
          <cell r="J79">
            <v>7499.4270261602869</v>
          </cell>
          <cell r="K79">
            <v>0</v>
          </cell>
          <cell r="M79">
            <v>0</v>
          </cell>
          <cell r="N79">
            <v>0.787554996857322</v>
          </cell>
        </row>
        <row r="80">
          <cell r="A80">
            <v>2025</v>
          </cell>
          <cell r="B80" t="str">
            <v>Lithium</v>
          </cell>
          <cell r="C80" t="str">
            <v>Canada Net-zero</v>
          </cell>
          <cell r="D80" t="str">
            <v>Production potential</v>
          </cell>
          <cell r="E80" t="str">
            <v>Current shares</v>
          </cell>
          <cell r="F80" t="str">
            <v>Expansion Extractive+Circularity</v>
          </cell>
          <cell r="G80">
            <v>6247.3243664054053</v>
          </cell>
          <cell r="H80">
            <v>84850</v>
          </cell>
          <cell r="I80">
            <v>59324.614457183481</v>
          </cell>
          <cell r="J80">
            <v>7499.4270261602869</v>
          </cell>
          <cell r="K80">
            <v>0</v>
          </cell>
          <cell r="M80">
            <v>0</v>
          </cell>
          <cell r="N80">
            <v>0.787554996857322</v>
          </cell>
        </row>
        <row r="81">
          <cell r="A81">
            <v>2025</v>
          </cell>
          <cell r="B81" t="str">
            <v>Lithium</v>
          </cell>
          <cell r="C81" t="str">
            <v>Canada Net-zero</v>
          </cell>
          <cell r="D81" t="str">
            <v>Production potential</v>
          </cell>
          <cell r="E81" t="str">
            <v>100% CAN</v>
          </cell>
          <cell r="F81" t="str">
            <v>Integrated</v>
          </cell>
          <cell r="G81">
            <v>6247.3243664054053</v>
          </cell>
          <cell r="H81">
            <v>84850</v>
          </cell>
          <cell r="I81">
            <v>59324.614457183481</v>
          </cell>
          <cell r="J81">
            <v>7499.4270261602869</v>
          </cell>
          <cell r="K81">
            <v>0</v>
          </cell>
          <cell r="M81">
            <v>0</v>
          </cell>
          <cell r="N81">
            <v>0.787554996857322</v>
          </cell>
        </row>
        <row r="82">
          <cell r="A82">
            <v>2025</v>
          </cell>
          <cell r="B82" t="str">
            <v>Lithium</v>
          </cell>
          <cell r="C82" t="str">
            <v>Current Measures</v>
          </cell>
          <cell r="D82" t="str">
            <v>Existing production</v>
          </cell>
          <cell r="E82" t="str">
            <v>Current shares</v>
          </cell>
          <cell r="F82" t="str">
            <v>NIMBY</v>
          </cell>
          <cell r="G82">
            <v>5628.5612940196597</v>
          </cell>
          <cell r="H82">
            <v>0</v>
          </cell>
          <cell r="I82">
            <v>0</v>
          </cell>
          <cell r="J82">
            <v>0</v>
          </cell>
          <cell r="K82">
            <v>8040.8018485995144</v>
          </cell>
          <cell r="M82">
            <v>5628.5612940196597</v>
          </cell>
          <cell r="N82">
            <v>0.787554996857322</v>
          </cell>
        </row>
        <row r="83">
          <cell r="A83">
            <v>2025</v>
          </cell>
          <cell r="B83" t="str">
            <v>Lithium</v>
          </cell>
          <cell r="C83" t="str">
            <v>Current Measures</v>
          </cell>
          <cell r="D83" t="str">
            <v>Existing production</v>
          </cell>
          <cell r="E83" t="str">
            <v>Current shares</v>
          </cell>
          <cell r="F83" t="str">
            <v>Status Quo</v>
          </cell>
          <cell r="G83">
            <v>5628.5612940196597</v>
          </cell>
          <cell r="H83">
            <v>37578</v>
          </cell>
          <cell r="I83">
            <v>26273.427956064119</v>
          </cell>
          <cell r="J83">
            <v>3321.313715840326</v>
          </cell>
          <cell r="K83">
            <v>0</v>
          </cell>
          <cell r="M83">
            <v>0</v>
          </cell>
          <cell r="N83">
            <v>0.787554996857322</v>
          </cell>
        </row>
        <row r="84">
          <cell r="A84">
            <v>2025</v>
          </cell>
          <cell r="B84" t="str">
            <v>Lithium</v>
          </cell>
          <cell r="C84" t="str">
            <v>Current Measures</v>
          </cell>
          <cell r="D84" t="str">
            <v>Production potential</v>
          </cell>
          <cell r="E84" t="str">
            <v>Current shares</v>
          </cell>
          <cell r="F84" t="str">
            <v>Expansion Extractive</v>
          </cell>
          <cell r="G84">
            <v>5628.5612940196597</v>
          </cell>
          <cell r="H84">
            <v>84850</v>
          </cell>
          <cell r="I84">
            <v>59324.614457183481</v>
          </cell>
          <cell r="J84">
            <v>7499.4270261602869</v>
          </cell>
          <cell r="K84">
            <v>0</v>
          </cell>
          <cell r="M84">
            <v>0</v>
          </cell>
          <cell r="N84">
            <v>0.787554996857322</v>
          </cell>
        </row>
        <row r="85">
          <cell r="A85">
            <v>2025</v>
          </cell>
          <cell r="B85" t="str">
            <v>Lithium</v>
          </cell>
          <cell r="C85" t="str">
            <v>Current Measures</v>
          </cell>
          <cell r="D85" t="str">
            <v>Production potential</v>
          </cell>
          <cell r="E85" t="str">
            <v>Current shares</v>
          </cell>
          <cell r="F85" t="str">
            <v>Expansion Extractive+Circularity</v>
          </cell>
          <cell r="G85">
            <v>5628.5612940196597</v>
          </cell>
          <cell r="H85">
            <v>84850</v>
          </cell>
          <cell r="I85">
            <v>59324.614457183481</v>
          </cell>
          <cell r="J85">
            <v>7499.4270261602869</v>
          </cell>
          <cell r="K85">
            <v>0</v>
          </cell>
          <cell r="M85">
            <v>0</v>
          </cell>
          <cell r="N85">
            <v>0.787554996857322</v>
          </cell>
        </row>
        <row r="86">
          <cell r="A86">
            <v>2025</v>
          </cell>
          <cell r="B86" t="str">
            <v>Lithium</v>
          </cell>
          <cell r="C86" t="str">
            <v>Current Measures</v>
          </cell>
          <cell r="D86" t="str">
            <v>Production potential</v>
          </cell>
          <cell r="E86" t="str">
            <v>100% CAN</v>
          </cell>
          <cell r="F86" t="str">
            <v>Integrated</v>
          </cell>
          <cell r="G86">
            <v>5628.5612940196597</v>
          </cell>
          <cell r="H86">
            <v>84850</v>
          </cell>
          <cell r="I86">
            <v>59324.614457183481</v>
          </cell>
          <cell r="J86">
            <v>7499.4270261602869</v>
          </cell>
          <cell r="K86">
            <v>0</v>
          </cell>
          <cell r="M86">
            <v>0</v>
          </cell>
          <cell r="N86">
            <v>0.787554996857322</v>
          </cell>
        </row>
        <row r="87">
          <cell r="A87">
            <v>2025</v>
          </cell>
          <cell r="B87" t="str">
            <v>Lithium</v>
          </cell>
          <cell r="C87" t="str">
            <v>Global Net-zero</v>
          </cell>
          <cell r="D87" t="str">
            <v>Existing production</v>
          </cell>
          <cell r="E87" t="str">
            <v>Current shares</v>
          </cell>
          <cell r="F87" t="str">
            <v>NIMBY</v>
          </cell>
          <cell r="G87">
            <v>6224.6601695098034</v>
          </cell>
          <cell r="H87">
            <v>0</v>
          </cell>
          <cell r="I87">
            <v>0</v>
          </cell>
          <cell r="J87">
            <v>0</v>
          </cell>
          <cell r="K87">
            <v>8892.3716707282911</v>
          </cell>
          <cell r="M87">
            <v>6224.6601695098034</v>
          </cell>
          <cell r="N87">
            <v>0.787554996857322</v>
          </cell>
        </row>
        <row r="88">
          <cell r="A88">
            <v>2025</v>
          </cell>
          <cell r="B88" t="str">
            <v>Lithium</v>
          </cell>
          <cell r="C88" t="str">
            <v>Global Net-zero</v>
          </cell>
          <cell r="D88" t="str">
            <v>Existing production</v>
          </cell>
          <cell r="E88" t="str">
            <v>Current shares</v>
          </cell>
          <cell r="F88" t="str">
            <v>Status Quo</v>
          </cell>
          <cell r="G88">
            <v>6224.6601695098034</v>
          </cell>
          <cell r="H88">
            <v>37578</v>
          </cell>
          <cell r="I88">
            <v>26273.427956064119</v>
          </cell>
          <cell r="J88">
            <v>3321.313715840326</v>
          </cell>
          <cell r="K88">
            <v>0</v>
          </cell>
          <cell r="M88">
            <v>0</v>
          </cell>
          <cell r="N88">
            <v>0.787554996857322</v>
          </cell>
        </row>
        <row r="89">
          <cell r="A89">
            <v>2025</v>
          </cell>
          <cell r="B89" t="str">
            <v>Lithium</v>
          </cell>
          <cell r="C89" t="str">
            <v>Global Net-zero</v>
          </cell>
          <cell r="D89" t="str">
            <v>Production potential</v>
          </cell>
          <cell r="E89" t="str">
            <v>Current shares</v>
          </cell>
          <cell r="F89" t="str">
            <v>Expansion Extractive</v>
          </cell>
          <cell r="G89">
            <v>6224.6601695098034</v>
          </cell>
          <cell r="H89">
            <v>84850</v>
          </cell>
          <cell r="I89">
            <v>59324.614457183481</v>
          </cell>
          <cell r="J89">
            <v>7499.4270261602869</v>
          </cell>
          <cell r="K89">
            <v>0</v>
          </cell>
          <cell r="M89">
            <v>0</v>
          </cell>
          <cell r="N89">
            <v>0.787554996857322</v>
          </cell>
        </row>
        <row r="90">
          <cell r="A90">
            <v>2025</v>
          </cell>
          <cell r="B90" t="str">
            <v>Lithium</v>
          </cell>
          <cell r="C90" t="str">
            <v>Global Net-zero</v>
          </cell>
          <cell r="D90" t="str">
            <v>Production potential</v>
          </cell>
          <cell r="E90" t="str">
            <v>Current shares</v>
          </cell>
          <cell r="F90" t="str">
            <v>Expansion Extractive+Circularity</v>
          </cell>
          <cell r="G90">
            <v>6224.6601695098034</v>
          </cell>
          <cell r="H90">
            <v>84850</v>
          </cell>
          <cell r="I90">
            <v>59324.614457183481</v>
          </cell>
          <cell r="J90">
            <v>7499.4270261602869</v>
          </cell>
          <cell r="K90">
            <v>0</v>
          </cell>
          <cell r="M90">
            <v>0</v>
          </cell>
          <cell r="N90">
            <v>0.787554996857322</v>
          </cell>
        </row>
        <row r="91">
          <cell r="A91">
            <v>2025</v>
          </cell>
          <cell r="B91" t="str">
            <v>Lithium</v>
          </cell>
          <cell r="C91" t="str">
            <v>Global Net-zero</v>
          </cell>
          <cell r="D91" t="str">
            <v>Production potential</v>
          </cell>
          <cell r="E91" t="str">
            <v>100% CAN</v>
          </cell>
          <cell r="F91" t="str">
            <v>Integrated</v>
          </cell>
          <cell r="G91">
            <v>6224.6601695098034</v>
          </cell>
          <cell r="H91">
            <v>84850</v>
          </cell>
          <cell r="I91">
            <v>59324.614457183481</v>
          </cell>
          <cell r="J91">
            <v>7499.4270261602869</v>
          </cell>
          <cell r="K91">
            <v>0</v>
          </cell>
          <cell r="M91">
            <v>0</v>
          </cell>
          <cell r="N91">
            <v>0.787554996857322</v>
          </cell>
        </row>
        <row r="92">
          <cell r="A92">
            <v>2026</v>
          </cell>
          <cell r="B92" t="str">
            <v>Cobalt</v>
          </cell>
          <cell r="C92" t="str">
            <v>Canada Net-zero</v>
          </cell>
          <cell r="D92" t="str">
            <v>Existing production</v>
          </cell>
          <cell r="E92" t="str">
            <v>Current shares</v>
          </cell>
          <cell r="F92" t="str">
            <v>NIMBY</v>
          </cell>
          <cell r="G92">
            <v>14666.70894328302</v>
          </cell>
          <cell r="H92">
            <v>0</v>
          </cell>
          <cell r="I92">
            <v>0</v>
          </cell>
          <cell r="J92">
            <v>0</v>
          </cell>
          <cell r="K92">
            <v>33333.429416552317</v>
          </cell>
          <cell r="M92">
            <v>14666.70894328302</v>
          </cell>
          <cell r="N92">
            <v>0.439346565686978</v>
          </cell>
        </row>
        <row r="93">
          <cell r="A93">
            <v>2026</v>
          </cell>
          <cell r="B93" t="str">
            <v>Cobalt</v>
          </cell>
          <cell r="C93" t="str">
            <v>Canada Net-zero</v>
          </cell>
          <cell r="D93" t="str">
            <v>Existing production</v>
          </cell>
          <cell r="E93" t="str">
            <v>Current shares</v>
          </cell>
          <cell r="F93" t="str">
            <v>Status Quo</v>
          </cell>
          <cell r="G93">
            <v>14666.70894328302</v>
          </cell>
          <cell r="H93">
            <v>3494</v>
          </cell>
          <cell r="I93">
            <v>1482.0913083373639</v>
          </cell>
          <cell r="J93">
            <v>52.985592172937231</v>
          </cell>
          <cell r="K93">
            <v>29839.429416552321</v>
          </cell>
          <cell r="M93">
            <v>13131.632042772722</v>
          </cell>
          <cell r="N93">
            <v>0.439346565686978</v>
          </cell>
        </row>
        <row r="94">
          <cell r="A94">
            <v>2026</v>
          </cell>
          <cell r="B94" t="str">
            <v>Cobalt</v>
          </cell>
          <cell r="C94" t="str">
            <v>Canada Net-zero</v>
          </cell>
          <cell r="D94" t="str">
            <v>Production potential</v>
          </cell>
          <cell r="E94" t="str">
            <v>Current shares</v>
          </cell>
          <cell r="F94" t="str">
            <v>Expansion Extractive</v>
          </cell>
          <cell r="G94">
            <v>14666.70894328302</v>
          </cell>
          <cell r="H94">
            <v>4494</v>
          </cell>
          <cell r="I94">
            <v>1906.2731367109659</v>
          </cell>
          <cell r="J94">
            <v>68.15032948631324</v>
          </cell>
          <cell r="K94">
            <v>28839.429416552321</v>
          </cell>
          <cell r="M94">
            <v>12692.285477085738</v>
          </cell>
          <cell r="N94">
            <v>0.439346565686978</v>
          </cell>
        </row>
        <row r="95">
          <cell r="A95">
            <v>2026</v>
          </cell>
          <cell r="B95" t="str">
            <v>Cobalt</v>
          </cell>
          <cell r="C95" t="str">
            <v>Canada Net-zero</v>
          </cell>
          <cell r="D95" t="str">
            <v>Production potential</v>
          </cell>
          <cell r="E95" t="str">
            <v>Current shares</v>
          </cell>
          <cell r="F95" t="str">
            <v>Expansion Extractive+Circularity</v>
          </cell>
          <cell r="G95">
            <v>14666.70894328302</v>
          </cell>
          <cell r="H95">
            <v>4494</v>
          </cell>
          <cell r="I95">
            <v>1906.2731367109659</v>
          </cell>
          <cell r="J95">
            <v>68.15032948631324</v>
          </cell>
          <cell r="K95">
            <v>28839.429416552321</v>
          </cell>
          <cell r="M95">
            <v>12692.285477085738</v>
          </cell>
          <cell r="N95">
            <v>0.439346565686978</v>
          </cell>
        </row>
        <row r="96">
          <cell r="A96">
            <v>2026</v>
          </cell>
          <cell r="B96" t="str">
            <v>Cobalt</v>
          </cell>
          <cell r="C96" t="str">
            <v>Canada Net-zero</v>
          </cell>
          <cell r="D96" t="str">
            <v>Production potential</v>
          </cell>
          <cell r="E96" t="str">
            <v>100% CAN</v>
          </cell>
          <cell r="F96" t="str">
            <v>Integrated</v>
          </cell>
          <cell r="G96">
            <v>14666.70894328302</v>
          </cell>
          <cell r="H96">
            <v>4494</v>
          </cell>
          <cell r="I96">
            <v>1974.423466197281</v>
          </cell>
          <cell r="J96">
            <v>-1.8189894035458565E-12</v>
          </cell>
          <cell r="K96">
            <v>28839.429416552321</v>
          </cell>
          <cell r="M96">
            <v>12692.285477085741</v>
          </cell>
          <cell r="N96">
            <v>0.439346565686978</v>
          </cell>
        </row>
        <row r="97">
          <cell r="A97">
            <v>2026</v>
          </cell>
          <cell r="B97" t="str">
            <v>Cobalt</v>
          </cell>
          <cell r="C97" t="str">
            <v>Current Measures</v>
          </cell>
          <cell r="D97" t="str">
            <v>Existing production</v>
          </cell>
          <cell r="E97" t="str">
            <v>Current shares</v>
          </cell>
          <cell r="F97" t="str">
            <v>NIMBY</v>
          </cell>
          <cell r="G97">
            <v>11787.03907014753</v>
          </cell>
          <cell r="H97">
            <v>0</v>
          </cell>
          <cell r="I97">
            <v>0</v>
          </cell>
          <cell r="J97">
            <v>0</v>
          </cell>
          <cell r="K97">
            <v>26788.725159426209</v>
          </cell>
          <cell r="M97">
            <v>11787.03907014753</v>
          </cell>
          <cell r="N97">
            <v>0.439346565686978</v>
          </cell>
        </row>
        <row r="98">
          <cell r="A98">
            <v>2026</v>
          </cell>
          <cell r="B98" t="str">
            <v>Cobalt</v>
          </cell>
          <cell r="C98" t="str">
            <v>Current Measures</v>
          </cell>
          <cell r="D98" t="str">
            <v>Existing production</v>
          </cell>
          <cell r="E98" t="str">
            <v>Current shares</v>
          </cell>
          <cell r="F98" t="str">
            <v>Status Quo</v>
          </cell>
          <cell r="G98">
            <v>11787.03907014753</v>
          </cell>
          <cell r="H98">
            <v>3494</v>
          </cell>
          <cell r="I98">
            <v>1482.0913083373639</v>
          </cell>
          <cell r="J98">
            <v>52.985592172937231</v>
          </cell>
          <cell r="K98">
            <v>23294.725159426209</v>
          </cell>
          <cell r="M98">
            <v>10251.962169637232</v>
          </cell>
          <cell r="N98">
            <v>0.439346565686978</v>
          </cell>
        </row>
        <row r="99">
          <cell r="A99">
            <v>2026</v>
          </cell>
          <cell r="B99" t="str">
            <v>Cobalt</v>
          </cell>
          <cell r="C99" t="str">
            <v>Current Measures</v>
          </cell>
          <cell r="D99" t="str">
            <v>Production potential</v>
          </cell>
          <cell r="E99" t="str">
            <v>Current shares</v>
          </cell>
          <cell r="F99" t="str">
            <v>Expansion Extractive</v>
          </cell>
          <cell r="G99">
            <v>11787.03907014753</v>
          </cell>
          <cell r="H99">
            <v>4494</v>
          </cell>
          <cell r="I99">
            <v>1906.2731367109659</v>
          </cell>
          <cell r="J99">
            <v>68.15032948631324</v>
          </cell>
          <cell r="K99">
            <v>22294.725159426209</v>
          </cell>
          <cell r="M99">
            <v>9812.6156039502494</v>
          </cell>
          <cell r="N99">
            <v>0.439346565686978</v>
          </cell>
        </row>
        <row r="100">
          <cell r="A100">
            <v>2026</v>
          </cell>
          <cell r="B100" t="str">
            <v>Cobalt</v>
          </cell>
          <cell r="C100" t="str">
            <v>Current Measures</v>
          </cell>
          <cell r="D100" t="str">
            <v>Production potential</v>
          </cell>
          <cell r="E100" t="str">
            <v>Current shares</v>
          </cell>
          <cell r="F100" t="str">
            <v>Expansion Extractive+Circularity</v>
          </cell>
          <cell r="G100">
            <v>11787.03907014753</v>
          </cell>
          <cell r="H100">
            <v>4494</v>
          </cell>
          <cell r="I100">
            <v>1906.2731367109659</v>
          </cell>
          <cell r="J100">
            <v>68.15032948631324</v>
          </cell>
          <cell r="K100">
            <v>22294.725159426209</v>
          </cell>
          <cell r="M100">
            <v>9812.6156039502494</v>
          </cell>
          <cell r="N100">
            <v>0.439346565686978</v>
          </cell>
        </row>
        <row r="101">
          <cell r="A101">
            <v>2026</v>
          </cell>
          <cell r="B101" t="str">
            <v>Cobalt</v>
          </cell>
          <cell r="C101" t="str">
            <v>Current Measures</v>
          </cell>
          <cell r="D101" t="str">
            <v>Production potential</v>
          </cell>
          <cell r="E101" t="str">
            <v>100% CAN</v>
          </cell>
          <cell r="F101" t="str">
            <v>Integrated</v>
          </cell>
          <cell r="G101">
            <v>11787.03907014753</v>
          </cell>
          <cell r="H101">
            <v>4494</v>
          </cell>
          <cell r="I101">
            <v>1974.423466197281</v>
          </cell>
          <cell r="J101">
            <v>-1.8189894035458565E-12</v>
          </cell>
          <cell r="K101">
            <v>22294.725159426209</v>
          </cell>
          <cell r="M101">
            <v>9812.6156039502512</v>
          </cell>
          <cell r="N101">
            <v>0.439346565686978</v>
          </cell>
        </row>
        <row r="102">
          <cell r="A102">
            <v>2026</v>
          </cell>
          <cell r="B102" t="str">
            <v>Cobalt</v>
          </cell>
          <cell r="C102" t="str">
            <v>Global Net-zero</v>
          </cell>
          <cell r="D102" t="str">
            <v>Existing production</v>
          </cell>
          <cell r="E102" t="str">
            <v>Current shares</v>
          </cell>
          <cell r="F102" t="str">
            <v>NIMBY</v>
          </cell>
          <cell r="G102">
            <v>14369.556871268551</v>
          </cell>
          <cell r="H102">
            <v>0</v>
          </cell>
          <cell r="I102">
            <v>0</v>
          </cell>
          <cell r="J102">
            <v>0</v>
          </cell>
          <cell r="K102">
            <v>32658.083798337619</v>
          </cell>
          <cell r="M102">
            <v>14369.556871268551</v>
          </cell>
          <cell r="N102">
            <v>0.439346565686978</v>
          </cell>
        </row>
        <row r="103">
          <cell r="A103">
            <v>2026</v>
          </cell>
          <cell r="B103" t="str">
            <v>Cobalt</v>
          </cell>
          <cell r="C103" t="str">
            <v>Global Net-zero</v>
          </cell>
          <cell r="D103" t="str">
            <v>Existing production</v>
          </cell>
          <cell r="E103" t="str">
            <v>Current shares</v>
          </cell>
          <cell r="F103" t="str">
            <v>Status Quo</v>
          </cell>
          <cell r="G103">
            <v>14369.556871268551</v>
          </cell>
          <cell r="H103">
            <v>3494</v>
          </cell>
          <cell r="I103">
            <v>1482.0913083373639</v>
          </cell>
          <cell r="J103">
            <v>52.985592172937231</v>
          </cell>
          <cell r="K103">
            <v>29164.083798337619</v>
          </cell>
          <cell r="M103">
            <v>12834.479970758252</v>
          </cell>
          <cell r="N103">
            <v>0.439346565686978</v>
          </cell>
        </row>
        <row r="104">
          <cell r="A104">
            <v>2026</v>
          </cell>
          <cell r="B104" t="str">
            <v>Cobalt</v>
          </cell>
          <cell r="C104" t="str">
            <v>Global Net-zero</v>
          </cell>
          <cell r="D104" t="str">
            <v>Production potential</v>
          </cell>
          <cell r="E104" t="str">
            <v>Current shares</v>
          </cell>
          <cell r="F104" t="str">
            <v>Expansion Extractive</v>
          </cell>
          <cell r="G104">
            <v>14369.556871268551</v>
          </cell>
          <cell r="H104">
            <v>4494</v>
          </cell>
          <cell r="I104">
            <v>1906.2731367109659</v>
          </cell>
          <cell r="J104">
            <v>68.15032948631324</v>
          </cell>
          <cell r="K104">
            <v>28164.083798337619</v>
          </cell>
          <cell r="M104">
            <v>12395.133405071268</v>
          </cell>
          <cell r="N104">
            <v>0.439346565686978</v>
          </cell>
        </row>
        <row r="105">
          <cell r="A105">
            <v>2026</v>
          </cell>
          <cell r="B105" t="str">
            <v>Cobalt</v>
          </cell>
          <cell r="C105" t="str">
            <v>Global Net-zero</v>
          </cell>
          <cell r="D105" t="str">
            <v>Production potential</v>
          </cell>
          <cell r="E105" t="str">
            <v>Current shares</v>
          </cell>
          <cell r="F105" t="str">
            <v>Expansion Extractive+Circularity</v>
          </cell>
          <cell r="G105">
            <v>14369.556871268551</v>
          </cell>
          <cell r="H105">
            <v>4494</v>
          </cell>
          <cell r="I105">
            <v>1906.2731367109659</v>
          </cell>
          <cell r="J105">
            <v>68.15032948631324</v>
          </cell>
          <cell r="K105">
            <v>28164.083798337619</v>
          </cell>
          <cell r="M105">
            <v>12395.133405071268</v>
          </cell>
          <cell r="N105">
            <v>0.439346565686978</v>
          </cell>
        </row>
        <row r="106">
          <cell r="A106">
            <v>2026</v>
          </cell>
          <cell r="B106" t="str">
            <v>Cobalt</v>
          </cell>
          <cell r="C106" t="str">
            <v>Global Net-zero</v>
          </cell>
          <cell r="D106" t="str">
            <v>Production potential</v>
          </cell>
          <cell r="E106" t="str">
            <v>100% CAN</v>
          </cell>
          <cell r="F106" t="str">
            <v>Integrated</v>
          </cell>
          <cell r="G106">
            <v>14369.556871268551</v>
          </cell>
          <cell r="H106">
            <v>4494</v>
          </cell>
          <cell r="I106">
            <v>1974.423466197281</v>
          </cell>
          <cell r="J106">
            <v>-1.8189894035458565E-12</v>
          </cell>
          <cell r="K106">
            <v>28164.083798337619</v>
          </cell>
          <cell r="M106">
            <v>12395.133405071272</v>
          </cell>
          <cell r="N106">
            <v>0.439346565686978</v>
          </cell>
        </row>
        <row r="107">
          <cell r="A107">
            <v>2026</v>
          </cell>
          <cell r="B107" t="str">
            <v>Copper</v>
          </cell>
          <cell r="C107" t="str">
            <v>Canada Net-zero</v>
          </cell>
          <cell r="D107" t="str">
            <v>Existing production</v>
          </cell>
          <cell r="E107" t="str">
            <v>Current shares</v>
          </cell>
          <cell r="F107" t="str">
            <v>NIMBY</v>
          </cell>
          <cell r="G107">
            <v>845634.32805853861</v>
          </cell>
          <cell r="H107">
            <v>0</v>
          </cell>
          <cell r="I107">
            <v>0</v>
          </cell>
          <cell r="J107">
            <v>0</v>
          </cell>
          <cell r="K107">
            <v>1018836.539829565</v>
          </cell>
          <cell r="M107">
            <v>845634.32805853861</v>
          </cell>
          <cell r="N107">
            <v>0.83474576271186396</v>
          </cell>
        </row>
        <row r="108">
          <cell r="A108">
            <v>2026</v>
          </cell>
          <cell r="B108" t="str">
            <v>Copper</v>
          </cell>
          <cell r="C108" t="str">
            <v>Canada Net-zero</v>
          </cell>
          <cell r="D108" t="str">
            <v>Existing production</v>
          </cell>
          <cell r="E108" t="str">
            <v>Current shares</v>
          </cell>
          <cell r="F108" t="str">
            <v>Status Quo</v>
          </cell>
          <cell r="G108">
            <v>845634.32805853861</v>
          </cell>
          <cell r="H108">
            <v>475566</v>
          </cell>
          <cell r="I108">
            <v>249961.62107116709</v>
          </cell>
          <cell r="J108">
            <v>147015.08231866322</v>
          </cell>
          <cell r="K108">
            <v>543270.53982956463</v>
          </cell>
          <cell r="M108">
            <v>448657.6246687083</v>
          </cell>
          <cell r="N108">
            <v>0.83474576271186396</v>
          </cell>
        </row>
        <row r="109">
          <cell r="A109">
            <v>2026</v>
          </cell>
          <cell r="B109" t="str">
            <v>Copper</v>
          </cell>
          <cell r="C109" t="str">
            <v>Canada Net-zero</v>
          </cell>
          <cell r="D109" t="str">
            <v>Production potential</v>
          </cell>
          <cell r="E109" t="str">
            <v>Current shares</v>
          </cell>
          <cell r="F109" t="str">
            <v>Expansion Extractive</v>
          </cell>
          <cell r="G109">
            <v>845634.32805853861</v>
          </cell>
          <cell r="H109">
            <v>562105.95050130773</v>
          </cell>
          <cell r="I109">
            <v>295447.77086893527</v>
          </cell>
          <cell r="J109">
            <v>173767.78950715612</v>
          </cell>
          <cell r="K109">
            <v>456730.5893282569</v>
          </cell>
          <cell r="M109">
            <v>376418.76768244721</v>
          </cell>
          <cell r="N109">
            <v>0.83474576271186396</v>
          </cell>
        </row>
        <row r="110">
          <cell r="A110">
            <v>2026</v>
          </cell>
          <cell r="B110" t="str">
            <v>Copper</v>
          </cell>
          <cell r="C110" t="str">
            <v>Canada Net-zero</v>
          </cell>
          <cell r="D110" t="str">
            <v>Production potential</v>
          </cell>
          <cell r="E110" t="str">
            <v>Current shares</v>
          </cell>
          <cell r="F110" t="str">
            <v>Expansion Extractive+Circularity</v>
          </cell>
          <cell r="G110">
            <v>845634.32805853861</v>
          </cell>
          <cell r="H110">
            <v>562105.95050130773</v>
          </cell>
          <cell r="I110">
            <v>295447.77086893527</v>
          </cell>
          <cell r="J110">
            <v>173767.78950715612</v>
          </cell>
          <cell r="K110">
            <v>456730.5893282569</v>
          </cell>
          <cell r="M110">
            <v>376418.76768244721</v>
          </cell>
          <cell r="N110">
            <v>0.83474576271186396</v>
          </cell>
        </row>
        <row r="111">
          <cell r="A111">
            <v>2026</v>
          </cell>
          <cell r="B111" t="str">
            <v>Copper</v>
          </cell>
          <cell r="C111" t="str">
            <v>Canada Net-zero</v>
          </cell>
          <cell r="D111" t="str">
            <v>Production potential</v>
          </cell>
          <cell r="E111" t="str">
            <v>100% CAN</v>
          </cell>
          <cell r="F111" t="str">
            <v>Integrated</v>
          </cell>
          <cell r="G111">
            <v>845634.32805853861</v>
          </cell>
          <cell r="H111">
            <v>562105.95050130773</v>
          </cell>
          <cell r="I111">
            <v>469215.56037609163</v>
          </cell>
          <cell r="J111">
            <v>0</v>
          </cell>
          <cell r="K111">
            <v>456730.5893282569</v>
          </cell>
          <cell r="M111">
            <v>376418.76768244698</v>
          </cell>
          <cell r="N111">
            <v>0.83474576271186396</v>
          </cell>
        </row>
        <row r="112">
          <cell r="A112">
            <v>2026</v>
          </cell>
          <cell r="B112" t="str">
            <v>Copper</v>
          </cell>
          <cell r="C112" t="str">
            <v>Current Measures</v>
          </cell>
          <cell r="D112" t="str">
            <v>Existing production</v>
          </cell>
          <cell r="E112" t="str">
            <v>Current shares</v>
          </cell>
          <cell r="F112" t="str">
            <v>NIMBY</v>
          </cell>
          <cell r="G112">
            <v>845257.87153819855</v>
          </cell>
          <cell r="H112">
            <v>0</v>
          </cell>
          <cell r="I112">
            <v>0</v>
          </cell>
          <cell r="J112">
            <v>0</v>
          </cell>
          <cell r="K112">
            <v>1018382.977756866</v>
          </cell>
          <cell r="M112">
            <v>845257.87153819855</v>
          </cell>
          <cell r="N112">
            <v>0.83474576271186396</v>
          </cell>
        </row>
        <row r="113">
          <cell r="A113">
            <v>2026</v>
          </cell>
          <cell r="B113" t="str">
            <v>Copper</v>
          </cell>
          <cell r="C113" t="str">
            <v>Current Measures</v>
          </cell>
          <cell r="D113" t="str">
            <v>Existing production</v>
          </cell>
          <cell r="E113" t="str">
            <v>Current shares</v>
          </cell>
          <cell r="F113" t="str">
            <v>Status Quo</v>
          </cell>
          <cell r="G113">
            <v>845257.87153819855</v>
          </cell>
          <cell r="H113">
            <v>475566</v>
          </cell>
          <cell r="I113">
            <v>249961.62107116709</v>
          </cell>
          <cell r="J113">
            <v>147015.08231866322</v>
          </cell>
          <cell r="K113">
            <v>542816.97775686579</v>
          </cell>
          <cell r="M113">
            <v>448281.16814836825</v>
          </cell>
          <cell r="N113">
            <v>0.83474576271186396</v>
          </cell>
        </row>
        <row r="114">
          <cell r="A114">
            <v>2026</v>
          </cell>
          <cell r="B114" t="str">
            <v>Copper</v>
          </cell>
          <cell r="C114" t="str">
            <v>Current Measures</v>
          </cell>
          <cell r="D114" t="str">
            <v>Production potential</v>
          </cell>
          <cell r="E114" t="str">
            <v>Current shares</v>
          </cell>
          <cell r="F114" t="str">
            <v>Expansion Extractive</v>
          </cell>
          <cell r="G114">
            <v>845257.87153819855</v>
          </cell>
          <cell r="H114">
            <v>562105.95050130773</v>
          </cell>
          <cell r="I114">
            <v>295447.77086893527</v>
          </cell>
          <cell r="J114">
            <v>173767.78950715612</v>
          </cell>
          <cell r="K114">
            <v>456277.02725555812</v>
          </cell>
          <cell r="M114">
            <v>376042.31116210704</v>
          </cell>
          <cell r="N114">
            <v>0.83474576271186396</v>
          </cell>
        </row>
        <row r="115">
          <cell r="A115">
            <v>2026</v>
          </cell>
          <cell r="B115" t="str">
            <v>Copper</v>
          </cell>
          <cell r="C115" t="str">
            <v>Current Measures</v>
          </cell>
          <cell r="D115" t="str">
            <v>Production potential</v>
          </cell>
          <cell r="E115" t="str">
            <v>Current shares</v>
          </cell>
          <cell r="F115" t="str">
            <v>Expansion Extractive+Circularity</v>
          </cell>
          <cell r="G115">
            <v>845257.87153819855</v>
          </cell>
          <cell r="H115">
            <v>562105.95050130773</v>
          </cell>
          <cell r="I115">
            <v>295447.77086893527</v>
          </cell>
          <cell r="J115">
            <v>173767.78950715612</v>
          </cell>
          <cell r="K115">
            <v>456277.02725555812</v>
          </cell>
          <cell r="M115">
            <v>376042.31116210704</v>
          </cell>
          <cell r="N115">
            <v>0.83474576271186396</v>
          </cell>
        </row>
        <row r="116">
          <cell r="A116">
            <v>2026</v>
          </cell>
          <cell r="B116" t="str">
            <v>Copper</v>
          </cell>
          <cell r="C116" t="str">
            <v>Current Measures</v>
          </cell>
          <cell r="D116" t="str">
            <v>Production potential</v>
          </cell>
          <cell r="E116" t="str">
            <v>100% CAN</v>
          </cell>
          <cell r="F116" t="str">
            <v>Integrated</v>
          </cell>
          <cell r="G116">
            <v>845257.87153819855</v>
          </cell>
          <cell r="H116">
            <v>562105.95050130773</v>
          </cell>
          <cell r="I116">
            <v>469215.56037609163</v>
          </cell>
          <cell r="J116">
            <v>0</v>
          </cell>
          <cell r="K116">
            <v>456277.02725555812</v>
          </cell>
          <cell r="M116">
            <v>376042.31116210693</v>
          </cell>
          <cell r="N116">
            <v>0.83474576271186396</v>
          </cell>
        </row>
        <row r="117">
          <cell r="A117">
            <v>2026</v>
          </cell>
          <cell r="B117" t="str">
            <v>Copper</v>
          </cell>
          <cell r="C117" t="str">
            <v>Global Net-zero</v>
          </cell>
          <cell r="D117" t="str">
            <v>Existing production</v>
          </cell>
          <cell r="E117" t="str">
            <v>Current shares</v>
          </cell>
          <cell r="F117" t="str">
            <v>NIMBY</v>
          </cell>
          <cell r="G117">
            <v>837500.54212283459</v>
          </cell>
          <cell r="H117">
            <v>0</v>
          </cell>
          <cell r="I117">
            <v>0</v>
          </cell>
          <cell r="J117">
            <v>0</v>
          </cell>
          <cell r="K117">
            <v>1009036.797738355</v>
          </cell>
          <cell r="M117">
            <v>837500.54212283459</v>
          </cell>
          <cell r="N117">
            <v>0.83474576271186396</v>
          </cell>
        </row>
        <row r="118">
          <cell r="A118">
            <v>2026</v>
          </cell>
          <cell r="B118" t="str">
            <v>Copper</v>
          </cell>
          <cell r="C118" t="str">
            <v>Global Net-zero</v>
          </cell>
          <cell r="D118" t="str">
            <v>Existing production</v>
          </cell>
          <cell r="E118" t="str">
            <v>Current shares</v>
          </cell>
          <cell r="F118" t="str">
            <v>Status Quo</v>
          </cell>
          <cell r="G118">
            <v>837500.54212283459</v>
          </cell>
          <cell r="H118">
            <v>475566</v>
          </cell>
          <cell r="I118">
            <v>249961.62107116709</v>
          </cell>
          <cell r="J118">
            <v>147015.08231866322</v>
          </cell>
          <cell r="K118">
            <v>533470.797738355</v>
          </cell>
          <cell r="M118">
            <v>440523.83873300429</v>
          </cell>
          <cell r="N118">
            <v>0.83474576271186396</v>
          </cell>
        </row>
        <row r="119">
          <cell r="A119">
            <v>2026</v>
          </cell>
          <cell r="B119" t="str">
            <v>Copper</v>
          </cell>
          <cell r="C119" t="str">
            <v>Global Net-zero</v>
          </cell>
          <cell r="D119" t="str">
            <v>Production potential</v>
          </cell>
          <cell r="E119" t="str">
            <v>Current shares</v>
          </cell>
          <cell r="F119" t="str">
            <v>Expansion Extractive</v>
          </cell>
          <cell r="G119">
            <v>837500.54212283459</v>
          </cell>
          <cell r="H119">
            <v>562105.95050130773</v>
          </cell>
          <cell r="I119">
            <v>295447.77086893527</v>
          </cell>
          <cell r="J119">
            <v>173767.78950715612</v>
          </cell>
          <cell r="K119">
            <v>446930.84723704727</v>
          </cell>
          <cell r="M119">
            <v>368284.98174674308</v>
          </cell>
          <cell r="N119">
            <v>0.83474576271186396</v>
          </cell>
        </row>
        <row r="120">
          <cell r="A120">
            <v>2026</v>
          </cell>
          <cell r="B120" t="str">
            <v>Copper</v>
          </cell>
          <cell r="C120" t="str">
            <v>Global Net-zero</v>
          </cell>
          <cell r="D120" t="str">
            <v>Production potential</v>
          </cell>
          <cell r="E120" t="str">
            <v>Current shares</v>
          </cell>
          <cell r="F120" t="str">
            <v>Expansion Extractive+Circularity</v>
          </cell>
          <cell r="G120">
            <v>837500.54212283459</v>
          </cell>
          <cell r="H120">
            <v>562105.95050130773</v>
          </cell>
          <cell r="I120">
            <v>295447.77086893527</v>
          </cell>
          <cell r="J120">
            <v>173767.78950715612</v>
          </cell>
          <cell r="K120">
            <v>446930.84723704727</v>
          </cell>
          <cell r="M120">
            <v>368284.98174674308</v>
          </cell>
          <cell r="N120">
            <v>0.83474576271186396</v>
          </cell>
        </row>
        <row r="121">
          <cell r="A121">
            <v>2026</v>
          </cell>
          <cell r="B121" t="str">
            <v>Copper</v>
          </cell>
          <cell r="C121" t="str">
            <v>Global Net-zero</v>
          </cell>
          <cell r="D121" t="str">
            <v>Production potential</v>
          </cell>
          <cell r="E121" t="str">
            <v>100% CAN</v>
          </cell>
          <cell r="F121" t="str">
            <v>Integrated</v>
          </cell>
          <cell r="G121">
            <v>837500.54212283459</v>
          </cell>
          <cell r="H121">
            <v>562105.95050130773</v>
          </cell>
          <cell r="I121">
            <v>469215.56037609163</v>
          </cell>
          <cell r="J121">
            <v>0</v>
          </cell>
          <cell r="K121">
            <v>446930.84723704727</v>
          </cell>
          <cell r="M121">
            <v>368284.98174674303</v>
          </cell>
          <cell r="N121">
            <v>0.83474576271186396</v>
          </cell>
        </row>
        <row r="122">
          <cell r="A122">
            <v>2026</v>
          </cell>
          <cell r="B122" t="str">
            <v>Neodymium</v>
          </cell>
          <cell r="C122" t="str">
            <v>Canada Net-zero</v>
          </cell>
          <cell r="D122" t="str">
            <v>Existing production</v>
          </cell>
          <cell r="E122" t="str">
            <v>Current shares</v>
          </cell>
          <cell r="F122" t="str">
            <v>NIMBY</v>
          </cell>
          <cell r="G122">
            <v>563.7311840881448</v>
          </cell>
          <cell r="H122">
            <v>0</v>
          </cell>
          <cell r="I122">
            <v>0</v>
          </cell>
          <cell r="J122">
            <v>0</v>
          </cell>
          <cell r="K122">
            <v>939.55197348024137</v>
          </cell>
          <cell r="M122">
            <v>563.7311840881448</v>
          </cell>
          <cell r="N122">
            <v>1</v>
          </cell>
        </row>
        <row r="123">
          <cell r="A123">
            <v>2026</v>
          </cell>
          <cell r="B123" t="str">
            <v>Neodymium</v>
          </cell>
          <cell r="C123" t="str">
            <v>Canada Net-zero</v>
          </cell>
          <cell r="D123" t="str">
            <v>Existing production</v>
          </cell>
          <cell r="E123" t="str">
            <v>Current shares</v>
          </cell>
          <cell r="F123" t="str">
            <v>Status Quo</v>
          </cell>
          <cell r="G123">
            <v>563.7311840881448</v>
          </cell>
          <cell r="H123">
            <v>0</v>
          </cell>
          <cell r="I123">
            <v>0</v>
          </cell>
          <cell r="J123">
            <v>0</v>
          </cell>
          <cell r="K123">
            <v>939.55197348024137</v>
          </cell>
          <cell r="M123">
            <v>563.7311840881448</v>
          </cell>
          <cell r="N123">
            <v>1</v>
          </cell>
        </row>
        <row r="124">
          <cell r="A124">
            <v>2026</v>
          </cell>
          <cell r="B124" t="str">
            <v>Neodymium</v>
          </cell>
          <cell r="C124" t="str">
            <v>Canada Net-zero</v>
          </cell>
          <cell r="D124" t="str">
            <v>Production potential</v>
          </cell>
          <cell r="E124" t="str">
            <v>Current shares</v>
          </cell>
          <cell r="F124" t="str">
            <v>Expansion Extractive</v>
          </cell>
          <cell r="G124">
            <v>563.7311840881448</v>
          </cell>
          <cell r="H124">
            <v>3.8513667333084358</v>
          </cell>
          <cell r="I124">
            <v>2.3052121187651879</v>
          </cell>
          <cell r="J124">
            <v>1.5461546145432479</v>
          </cell>
          <cell r="K124">
            <v>935.70060674693298</v>
          </cell>
          <cell r="M124">
            <v>559.87981735483629</v>
          </cell>
          <cell r="N124">
            <v>1</v>
          </cell>
        </row>
        <row r="125">
          <cell r="A125">
            <v>2026</v>
          </cell>
          <cell r="B125" t="str">
            <v>Neodymium</v>
          </cell>
          <cell r="C125" t="str">
            <v>Canada Net-zero</v>
          </cell>
          <cell r="D125" t="str">
            <v>Production potential</v>
          </cell>
          <cell r="E125" t="str">
            <v>Current shares</v>
          </cell>
          <cell r="F125" t="str">
            <v>Expansion Extractive+Circularity</v>
          </cell>
          <cell r="G125">
            <v>563.7311840881448</v>
          </cell>
          <cell r="H125">
            <v>3.8513667333084358</v>
          </cell>
          <cell r="I125">
            <v>2.3052121187651879</v>
          </cell>
          <cell r="J125">
            <v>1.5461546145432479</v>
          </cell>
          <cell r="K125">
            <v>935.70060674693298</v>
          </cell>
          <cell r="M125">
            <v>559.87981735483629</v>
          </cell>
          <cell r="N125">
            <v>1</v>
          </cell>
        </row>
        <row r="126">
          <cell r="A126">
            <v>2026</v>
          </cell>
          <cell r="B126" t="str">
            <v>Neodymium</v>
          </cell>
          <cell r="C126" t="str">
            <v>Canada Net-zero</v>
          </cell>
          <cell r="D126" t="str">
            <v>Production potential</v>
          </cell>
          <cell r="E126" t="str">
            <v>100% CAN</v>
          </cell>
          <cell r="F126" t="str">
            <v>Integrated</v>
          </cell>
          <cell r="G126">
            <v>563.7311840881448</v>
          </cell>
          <cell r="H126">
            <v>3.8513667333084358</v>
          </cell>
          <cell r="I126">
            <v>2.3052121187651879</v>
          </cell>
          <cell r="J126">
            <v>1.5461546145432479</v>
          </cell>
          <cell r="K126">
            <v>935.70060674693298</v>
          </cell>
          <cell r="M126">
            <v>559.87981735483629</v>
          </cell>
          <cell r="N126">
            <v>1</v>
          </cell>
        </row>
        <row r="127">
          <cell r="A127">
            <v>2026</v>
          </cell>
          <cell r="B127" t="str">
            <v>Neodymium</v>
          </cell>
          <cell r="C127" t="str">
            <v>Current Measures</v>
          </cell>
          <cell r="D127" t="str">
            <v>Existing production</v>
          </cell>
          <cell r="E127" t="str">
            <v>Current shares</v>
          </cell>
          <cell r="F127" t="str">
            <v>NIMBY</v>
          </cell>
          <cell r="G127">
            <v>395.17239379038261</v>
          </cell>
          <cell r="H127">
            <v>0</v>
          </cell>
          <cell r="I127">
            <v>0</v>
          </cell>
          <cell r="J127">
            <v>0</v>
          </cell>
          <cell r="K127">
            <v>658.62065631730434</v>
          </cell>
          <cell r="M127">
            <v>395.17239379038261</v>
          </cell>
          <cell r="N127">
            <v>1</v>
          </cell>
        </row>
        <row r="128">
          <cell r="A128">
            <v>2026</v>
          </cell>
          <cell r="B128" t="str">
            <v>Neodymium</v>
          </cell>
          <cell r="C128" t="str">
            <v>Current Measures</v>
          </cell>
          <cell r="D128" t="str">
            <v>Existing production</v>
          </cell>
          <cell r="E128" t="str">
            <v>Current shares</v>
          </cell>
          <cell r="F128" t="str">
            <v>Status Quo</v>
          </cell>
          <cell r="G128">
            <v>395.17239379038261</v>
          </cell>
          <cell r="H128">
            <v>0</v>
          </cell>
          <cell r="I128">
            <v>0</v>
          </cell>
          <cell r="J128">
            <v>0</v>
          </cell>
          <cell r="K128">
            <v>658.62065631730434</v>
          </cell>
          <cell r="M128">
            <v>395.17239379038261</v>
          </cell>
          <cell r="N128">
            <v>1</v>
          </cell>
        </row>
        <row r="129">
          <cell r="A129">
            <v>2026</v>
          </cell>
          <cell r="B129" t="str">
            <v>Neodymium</v>
          </cell>
          <cell r="C129" t="str">
            <v>Current Measures</v>
          </cell>
          <cell r="D129" t="str">
            <v>Production potential</v>
          </cell>
          <cell r="E129" t="str">
            <v>Current shares</v>
          </cell>
          <cell r="F129" t="str">
            <v>Expansion Extractive</v>
          </cell>
          <cell r="G129">
            <v>395.17239379038261</v>
          </cell>
          <cell r="H129">
            <v>3.8513667333084358</v>
          </cell>
          <cell r="I129">
            <v>2.3052121187651879</v>
          </cell>
          <cell r="J129">
            <v>1.5461546145432479</v>
          </cell>
          <cell r="K129">
            <v>654.76928958399594</v>
          </cell>
          <cell r="M129">
            <v>391.32102705707416</v>
          </cell>
          <cell r="N129">
            <v>1</v>
          </cell>
        </row>
        <row r="130">
          <cell r="A130">
            <v>2026</v>
          </cell>
          <cell r="B130" t="str">
            <v>Neodymium</v>
          </cell>
          <cell r="C130" t="str">
            <v>Current Measures</v>
          </cell>
          <cell r="D130" t="str">
            <v>Production potential</v>
          </cell>
          <cell r="E130" t="str">
            <v>Current shares</v>
          </cell>
          <cell r="F130" t="str">
            <v>Expansion Extractive+Circularity</v>
          </cell>
          <cell r="G130">
            <v>395.17239379038261</v>
          </cell>
          <cell r="H130">
            <v>3.8513667333084358</v>
          </cell>
          <cell r="I130">
            <v>2.3052121187651879</v>
          </cell>
          <cell r="J130">
            <v>1.5461546145432479</v>
          </cell>
          <cell r="K130">
            <v>654.76928958399594</v>
          </cell>
          <cell r="M130">
            <v>391.32102705707416</v>
          </cell>
          <cell r="N130">
            <v>1</v>
          </cell>
        </row>
        <row r="131">
          <cell r="A131">
            <v>2026</v>
          </cell>
          <cell r="B131" t="str">
            <v>Neodymium</v>
          </cell>
          <cell r="C131" t="str">
            <v>Current Measures</v>
          </cell>
          <cell r="D131" t="str">
            <v>Production potential</v>
          </cell>
          <cell r="E131" t="str">
            <v>100% CAN</v>
          </cell>
          <cell r="F131" t="str">
            <v>Integrated</v>
          </cell>
          <cell r="G131">
            <v>395.17239379038261</v>
          </cell>
          <cell r="H131">
            <v>3.8513667333084358</v>
          </cell>
          <cell r="I131">
            <v>2.3052121187651879</v>
          </cell>
          <cell r="J131">
            <v>1.5461546145432479</v>
          </cell>
          <cell r="K131">
            <v>654.76928958399594</v>
          </cell>
          <cell r="M131">
            <v>391.32102705707416</v>
          </cell>
          <cell r="N131">
            <v>1</v>
          </cell>
        </row>
        <row r="132">
          <cell r="A132">
            <v>2026</v>
          </cell>
          <cell r="B132" t="str">
            <v>Neodymium</v>
          </cell>
          <cell r="C132" t="str">
            <v>Global Net-zero</v>
          </cell>
          <cell r="D132" t="str">
            <v>Existing production</v>
          </cell>
          <cell r="E132" t="str">
            <v>Current shares</v>
          </cell>
          <cell r="F132" t="str">
            <v>NIMBY</v>
          </cell>
          <cell r="G132">
            <v>557.3784617330648</v>
          </cell>
          <cell r="H132">
            <v>0</v>
          </cell>
          <cell r="I132">
            <v>0</v>
          </cell>
          <cell r="J132">
            <v>0</v>
          </cell>
          <cell r="K132">
            <v>928.9641028884414</v>
          </cell>
          <cell r="M132">
            <v>557.3784617330648</v>
          </cell>
          <cell r="N132">
            <v>1</v>
          </cell>
        </row>
        <row r="133">
          <cell r="A133">
            <v>2026</v>
          </cell>
          <cell r="B133" t="str">
            <v>Neodymium</v>
          </cell>
          <cell r="C133" t="str">
            <v>Global Net-zero</v>
          </cell>
          <cell r="D133" t="str">
            <v>Existing production</v>
          </cell>
          <cell r="E133" t="str">
            <v>Current shares</v>
          </cell>
          <cell r="F133" t="str">
            <v>Status Quo</v>
          </cell>
          <cell r="G133">
            <v>557.3784617330648</v>
          </cell>
          <cell r="H133">
            <v>0</v>
          </cell>
          <cell r="I133">
            <v>0</v>
          </cell>
          <cell r="J133">
            <v>0</v>
          </cell>
          <cell r="K133">
            <v>928.9641028884414</v>
          </cell>
          <cell r="M133">
            <v>557.3784617330648</v>
          </cell>
          <cell r="N133">
            <v>1</v>
          </cell>
        </row>
        <row r="134">
          <cell r="A134">
            <v>2026</v>
          </cell>
          <cell r="B134" t="str">
            <v>Neodymium</v>
          </cell>
          <cell r="C134" t="str">
            <v>Global Net-zero</v>
          </cell>
          <cell r="D134" t="str">
            <v>Production potential</v>
          </cell>
          <cell r="E134" t="str">
            <v>Current shares</v>
          </cell>
          <cell r="F134" t="str">
            <v>Expansion Extractive</v>
          </cell>
          <cell r="G134">
            <v>557.3784617330648</v>
          </cell>
          <cell r="H134">
            <v>3.8513667333084358</v>
          </cell>
          <cell r="I134">
            <v>2.3052121187651879</v>
          </cell>
          <cell r="J134">
            <v>1.5461546145432479</v>
          </cell>
          <cell r="K134">
            <v>925.11273615513301</v>
          </cell>
          <cell r="M134">
            <v>553.52709499975629</v>
          </cell>
          <cell r="N134">
            <v>1</v>
          </cell>
        </row>
        <row r="135">
          <cell r="A135">
            <v>2026</v>
          </cell>
          <cell r="B135" t="str">
            <v>Neodymium</v>
          </cell>
          <cell r="C135" t="str">
            <v>Global Net-zero</v>
          </cell>
          <cell r="D135" t="str">
            <v>Production potential</v>
          </cell>
          <cell r="E135" t="str">
            <v>Current shares</v>
          </cell>
          <cell r="F135" t="str">
            <v>Expansion Extractive+Circularity</v>
          </cell>
          <cell r="G135">
            <v>557.3784617330648</v>
          </cell>
          <cell r="H135">
            <v>3.8513667333084358</v>
          </cell>
          <cell r="I135">
            <v>2.3052121187651879</v>
          </cell>
          <cell r="J135">
            <v>1.5461546145432479</v>
          </cell>
          <cell r="K135">
            <v>925.11273615513301</v>
          </cell>
          <cell r="M135">
            <v>553.52709499975629</v>
          </cell>
          <cell r="N135">
            <v>1</v>
          </cell>
        </row>
        <row r="136">
          <cell r="A136">
            <v>2026</v>
          </cell>
          <cell r="B136" t="str">
            <v>Neodymium</v>
          </cell>
          <cell r="C136" t="str">
            <v>Global Net-zero</v>
          </cell>
          <cell r="D136" t="str">
            <v>Production potential</v>
          </cell>
          <cell r="E136" t="str">
            <v>100% CAN</v>
          </cell>
          <cell r="F136" t="str">
            <v>Integrated</v>
          </cell>
          <cell r="G136">
            <v>557.3784617330648</v>
          </cell>
          <cell r="H136">
            <v>3.8513667333084358</v>
          </cell>
          <cell r="I136">
            <v>2.3052121187651879</v>
          </cell>
          <cell r="J136">
            <v>1.5461546145432479</v>
          </cell>
          <cell r="K136">
            <v>925.11273615513301</v>
          </cell>
          <cell r="M136">
            <v>553.52709499975629</v>
          </cell>
          <cell r="N136">
            <v>1</v>
          </cell>
        </row>
        <row r="137">
          <cell r="A137">
            <v>2026</v>
          </cell>
          <cell r="B137" t="str">
            <v>Nickel</v>
          </cell>
          <cell r="C137" t="str">
            <v>Canada Net-zero</v>
          </cell>
          <cell r="D137" t="str">
            <v>Existing production</v>
          </cell>
          <cell r="E137" t="str">
            <v>Current shares</v>
          </cell>
          <cell r="F137" t="str">
            <v>NIMBY</v>
          </cell>
          <cell r="G137">
            <v>29818.531857293401</v>
          </cell>
          <cell r="H137">
            <v>0</v>
          </cell>
          <cell r="I137">
            <v>0</v>
          </cell>
          <cell r="J137">
            <v>0</v>
          </cell>
          <cell r="K137">
            <v>37744.97703454861</v>
          </cell>
          <cell r="M137">
            <v>29818.531857293401</v>
          </cell>
          <cell r="N137">
            <v>0.69917047091553897</v>
          </cell>
        </row>
        <row r="138">
          <cell r="A138">
            <v>2026</v>
          </cell>
          <cell r="B138" t="str">
            <v>Nickel</v>
          </cell>
          <cell r="C138" t="str">
            <v>Canada Net-zero</v>
          </cell>
          <cell r="D138" t="str">
            <v>Existing production</v>
          </cell>
          <cell r="E138" t="str">
            <v>Current shares</v>
          </cell>
          <cell r="F138" t="str">
            <v>Status Quo</v>
          </cell>
          <cell r="G138">
            <v>29818.531857293401</v>
          </cell>
          <cell r="H138">
            <v>158544</v>
          </cell>
          <cell r="I138">
            <v>88924.165519559378</v>
          </cell>
          <cell r="J138">
            <v>21925.117621273836</v>
          </cell>
          <cell r="K138">
            <v>0</v>
          </cell>
          <cell r="M138">
            <v>0</v>
          </cell>
          <cell r="N138">
            <v>0.69917047091553897</v>
          </cell>
        </row>
        <row r="139">
          <cell r="A139">
            <v>2026</v>
          </cell>
          <cell r="B139" t="str">
            <v>Nickel</v>
          </cell>
          <cell r="C139" t="str">
            <v>Canada Net-zero</v>
          </cell>
          <cell r="D139" t="str">
            <v>Production potential</v>
          </cell>
          <cell r="E139" t="str">
            <v>Current shares</v>
          </cell>
          <cell r="F139" t="str">
            <v>Expansion Extractive</v>
          </cell>
          <cell r="G139">
            <v>29818.531857293401</v>
          </cell>
          <cell r="H139">
            <v>208961</v>
          </cell>
          <cell r="I139">
            <v>117202.0546418196</v>
          </cell>
          <cell r="J139">
            <v>28897.306131162346</v>
          </cell>
          <cell r="K139">
            <v>0</v>
          </cell>
          <cell r="M139">
            <v>0</v>
          </cell>
          <cell r="N139">
            <v>0.69917047091553897</v>
          </cell>
        </row>
        <row r="140">
          <cell r="A140">
            <v>2026</v>
          </cell>
          <cell r="B140" t="str">
            <v>Nickel</v>
          </cell>
          <cell r="C140" t="str">
            <v>Canada Net-zero</v>
          </cell>
          <cell r="D140" t="str">
            <v>Production potential</v>
          </cell>
          <cell r="E140" t="str">
            <v>Current shares</v>
          </cell>
          <cell r="F140" t="str">
            <v>Expansion Extractive+Circularity</v>
          </cell>
          <cell r="G140">
            <v>29818.531857293401</v>
          </cell>
          <cell r="H140">
            <v>208961</v>
          </cell>
          <cell r="I140">
            <v>117202.0546418196</v>
          </cell>
          <cell r="J140">
            <v>28897.306131162346</v>
          </cell>
          <cell r="K140">
            <v>0</v>
          </cell>
          <cell r="M140">
            <v>0</v>
          </cell>
          <cell r="N140">
            <v>0.69917047091553897</v>
          </cell>
        </row>
        <row r="141">
          <cell r="A141">
            <v>2026</v>
          </cell>
          <cell r="B141" t="str">
            <v>Nickel</v>
          </cell>
          <cell r="C141" t="str">
            <v>Canada Net-zero</v>
          </cell>
          <cell r="D141" t="str">
            <v>Production potential</v>
          </cell>
          <cell r="E141" t="str">
            <v>100% CAN</v>
          </cell>
          <cell r="F141" t="str">
            <v>Integrated</v>
          </cell>
          <cell r="G141">
            <v>29818.531857293401</v>
          </cell>
          <cell r="H141">
            <v>208961</v>
          </cell>
          <cell r="I141">
            <v>164568.279698303</v>
          </cell>
          <cell r="J141">
            <v>-18468.91892532105</v>
          </cell>
          <cell r="K141">
            <v>0</v>
          </cell>
          <cell r="M141">
            <v>18468.91892532105</v>
          </cell>
          <cell r="N141">
            <v>0.69917047091553897</v>
          </cell>
        </row>
        <row r="142">
          <cell r="A142">
            <v>2026</v>
          </cell>
          <cell r="B142" t="str">
            <v>Nickel</v>
          </cell>
          <cell r="C142" t="str">
            <v>Current Measures</v>
          </cell>
          <cell r="D142" t="str">
            <v>Existing production</v>
          </cell>
          <cell r="E142" t="str">
            <v>Current shares</v>
          </cell>
          <cell r="F142" t="str">
            <v>NIMBY</v>
          </cell>
          <cell r="G142">
            <v>24449.44165617535</v>
          </cell>
          <cell r="H142">
            <v>0</v>
          </cell>
          <cell r="I142">
            <v>0</v>
          </cell>
          <cell r="J142">
            <v>0</v>
          </cell>
          <cell r="K142">
            <v>30948.660324272591</v>
          </cell>
          <cell r="M142">
            <v>24449.44165617535</v>
          </cell>
          <cell r="N142">
            <v>0.69917047091553897</v>
          </cell>
        </row>
        <row r="143">
          <cell r="A143">
            <v>2026</v>
          </cell>
          <cell r="B143" t="str">
            <v>Nickel</v>
          </cell>
          <cell r="C143" t="str">
            <v>Current Measures</v>
          </cell>
          <cell r="D143" t="str">
            <v>Existing production</v>
          </cell>
          <cell r="E143" t="str">
            <v>Current shares</v>
          </cell>
          <cell r="F143" t="str">
            <v>Status Quo</v>
          </cell>
          <cell r="G143">
            <v>24449.44165617535</v>
          </cell>
          <cell r="H143">
            <v>158544</v>
          </cell>
          <cell r="I143">
            <v>88924.165519559378</v>
          </cell>
          <cell r="J143">
            <v>21925.117621273836</v>
          </cell>
          <cell r="K143">
            <v>0</v>
          </cell>
          <cell r="M143">
            <v>0</v>
          </cell>
          <cell r="N143">
            <v>0.69917047091553897</v>
          </cell>
        </row>
        <row r="144">
          <cell r="A144">
            <v>2026</v>
          </cell>
          <cell r="B144" t="str">
            <v>Nickel</v>
          </cell>
          <cell r="C144" t="str">
            <v>Current Measures</v>
          </cell>
          <cell r="D144" t="str">
            <v>Production potential</v>
          </cell>
          <cell r="E144" t="str">
            <v>Current shares</v>
          </cell>
          <cell r="F144" t="str">
            <v>Expansion Extractive</v>
          </cell>
          <cell r="G144">
            <v>24449.44165617535</v>
          </cell>
          <cell r="H144">
            <v>208961</v>
          </cell>
          <cell r="I144">
            <v>117202.0546418196</v>
          </cell>
          <cell r="J144">
            <v>28897.306131162346</v>
          </cell>
          <cell r="K144">
            <v>0</v>
          </cell>
          <cell r="M144">
            <v>0</v>
          </cell>
          <cell r="N144">
            <v>0.69917047091553897</v>
          </cell>
        </row>
        <row r="145">
          <cell r="A145">
            <v>2026</v>
          </cell>
          <cell r="B145" t="str">
            <v>Nickel</v>
          </cell>
          <cell r="C145" t="str">
            <v>Current Measures</v>
          </cell>
          <cell r="D145" t="str">
            <v>Production potential</v>
          </cell>
          <cell r="E145" t="str">
            <v>Current shares</v>
          </cell>
          <cell r="F145" t="str">
            <v>Expansion Extractive+Circularity</v>
          </cell>
          <cell r="G145">
            <v>24449.44165617535</v>
          </cell>
          <cell r="H145">
            <v>208961</v>
          </cell>
          <cell r="I145">
            <v>117202.0546418196</v>
          </cell>
          <cell r="J145">
            <v>28897.306131162346</v>
          </cell>
          <cell r="K145">
            <v>0</v>
          </cell>
          <cell r="M145">
            <v>0</v>
          </cell>
          <cell r="N145">
            <v>0.69917047091553897</v>
          </cell>
        </row>
        <row r="146">
          <cell r="A146">
            <v>2026</v>
          </cell>
          <cell r="B146" t="str">
            <v>Nickel</v>
          </cell>
          <cell r="C146" t="str">
            <v>Current Measures</v>
          </cell>
          <cell r="D146" t="str">
            <v>Production potential</v>
          </cell>
          <cell r="E146" t="str">
            <v>100% CAN</v>
          </cell>
          <cell r="F146" t="str">
            <v>Integrated</v>
          </cell>
          <cell r="G146">
            <v>24449.44165617535</v>
          </cell>
          <cell r="H146">
            <v>208961</v>
          </cell>
          <cell r="I146">
            <v>164568.279698303</v>
          </cell>
          <cell r="J146">
            <v>-18468.91892532105</v>
          </cell>
          <cell r="K146">
            <v>0</v>
          </cell>
          <cell r="M146">
            <v>18468.91892532105</v>
          </cell>
          <cell r="N146">
            <v>0.69917047091553897</v>
          </cell>
        </row>
        <row r="147">
          <cell r="A147">
            <v>2026</v>
          </cell>
          <cell r="B147" t="str">
            <v>Nickel</v>
          </cell>
          <cell r="C147" t="str">
            <v>Global Net-zero</v>
          </cell>
          <cell r="D147" t="str">
            <v>Existing production</v>
          </cell>
          <cell r="E147" t="str">
            <v>Current shares</v>
          </cell>
          <cell r="F147" t="str">
            <v>NIMBY</v>
          </cell>
          <cell r="G147">
            <v>28983.298578402391</v>
          </cell>
          <cell r="H147">
            <v>0</v>
          </cell>
          <cell r="I147">
            <v>0</v>
          </cell>
          <cell r="J147">
            <v>0</v>
          </cell>
          <cell r="K147">
            <v>36687.719719496687</v>
          </cell>
          <cell r="M147">
            <v>28983.298578402391</v>
          </cell>
          <cell r="N147">
            <v>0.69917047091553897</v>
          </cell>
        </row>
        <row r="148">
          <cell r="A148">
            <v>2026</v>
          </cell>
          <cell r="B148" t="str">
            <v>Nickel</v>
          </cell>
          <cell r="C148" t="str">
            <v>Global Net-zero</v>
          </cell>
          <cell r="D148" t="str">
            <v>Existing production</v>
          </cell>
          <cell r="E148" t="str">
            <v>Current shares</v>
          </cell>
          <cell r="F148" t="str">
            <v>Status Quo</v>
          </cell>
          <cell r="G148">
            <v>28983.298578402391</v>
          </cell>
          <cell r="H148">
            <v>158544</v>
          </cell>
          <cell r="I148">
            <v>88924.165519559378</v>
          </cell>
          <cell r="J148">
            <v>21925.117621273836</v>
          </cell>
          <cell r="K148">
            <v>0</v>
          </cell>
          <cell r="M148">
            <v>0</v>
          </cell>
          <cell r="N148">
            <v>0.69917047091553897</v>
          </cell>
        </row>
        <row r="149">
          <cell r="A149">
            <v>2026</v>
          </cell>
          <cell r="B149" t="str">
            <v>Nickel</v>
          </cell>
          <cell r="C149" t="str">
            <v>Global Net-zero</v>
          </cell>
          <cell r="D149" t="str">
            <v>Production potential</v>
          </cell>
          <cell r="E149" t="str">
            <v>Current shares</v>
          </cell>
          <cell r="F149" t="str">
            <v>Expansion Extractive</v>
          </cell>
          <cell r="G149">
            <v>28983.298578402391</v>
          </cell>
          <cell r="H149">
            <v>208961</v>
          </cell>
          <cell r="I149">
            <v>117202.0546418196</v>
          </cell>
          <cell r="J149">
            <v>28897.306131162346</v>
          </cell>
          <cell r="K149">
            <v>0</v>
          </cell>
          <cell r="M149">
            <v>0</v>
          </cell>
          <cell r="N149">
            <v>0.69917047091553897</v>
          </cell>
        </row>
        <row r="150">
          <cell r="A150">
            <v>2026</v>
          </cell>
          <cell r="B150" t="str">
            <v>Nickel</v>
          </cell>
          <cell r="C150" t="str">
            <v>Global Net-zero</v>
          </cell>
          <cell r="D150" t="str">
            <v>Production potential</v>
          </cell>
          <cell r="E150" t="str">
            <v>Current shares</v>
          </cell>
          <cell r="F150" t="str">
            <v>Expansion Extractive+Circularity</v>
          </cell>
          <cell r="G150">
            <v>28983.298578402391</v>
          </cell>
          <cell r="H150">
            <v>208961</v>
          </cell>
          <cell r="I150">
            <v>117202.0546418196</v>
          </cell>
          <cell r="J150">
            <v>28897.306131162346</v>
          </cell>
          <cell r="K150">
            <v>0</v>
          </cell>
          <cell r="M150">
            <v>0</v>
          </cell>
          <cell r="N150">
            <v>0.69917047091553897</v>
          </cell>
        </row>
        <row r="151">
          <cell r="A151">
            <v>2026</v>
          </cell>
          <cell r="B151" t="str">
            <v>Nickel</v>
          </cell>
          <cell r="C151" t="str">
            <v>Global Net-zero</v>
          </cell>
          <cell r="D151" t="str">
            <v>Production potential</v>
          </cell>
          <cell r="E151" t="str">
            <v>100% CAN</v>
          </cell>
          <cell r="F151" t="str">
            <v>Integrated</v>
          </cell>
          <cell r="G151">
            <v>28983.298578402391</v>
          </cell>
          <cell r="H151">
            <v>208961</v>
          </cell>
          <cell r="I151">
            <v>164568.279698303</v>
          </cell>
          <cell r="J151">
            <v>-18468.91892532105</v>
          </cell>
          <cell r="K151">
            <v>0</v>
          </cell>
          <cell r="M151">
            <v>18468.91892532105</v>
          </cell>
          <cell r="N151">
            <v>0.69917047091553897</v>
          </cell>
        </row>
        <row r="152">
          <cell r="A152">
            <v>2026</v>
          </cell>
          <cell r="B152" t="str">
            <v>Graphite</v>
          </cell>
          <cell r="C152" t="str">
            <v>Canada Net-zero</v>
          </cell>
          <cell r="D152" t="str">
            <v>Existing production</v>
          </cell>
          <cell r="E152" t="str">
            <v>Current shares</v>
          </cell>
          <cell r="F152" t="str">
            <v>NIMBY</v>
          </cell>
          <cell r="G152">
            <v>595.19964669675574</v>
          </cell>
          <cell r="H152">
            <v>0</v>
          </cell>
          <cell r="I152">
            <v>0</v>
          </cell>
          <cell r="J152">
            <v>0</v>
          </cell>
          <cell r="K152">
            <v>595.19964669675574</v>
          </cell>
          <cell r="M152">
            <v>595.19964669675574</v>
          </cell>
          <cell r="N152">
            <v>0.59854391398996798</v>
          </cell>
        </row>
        <row r="153">
          <cell r="A153">
            <v>2026</v>
          </cell>
          <cell r="B153" t="str">
            <v>Graphite</v>
          </cell>
          <cell r="C153" t="str">
            <v>Canada Net-zero</v>
          </cell>
          <cell r="D153" t="str">
            <v>Existing production</v>
          </cell>
          <cell r="E153" t="str">
            <v>Current shares</v>
          </cell>
          <cell r="F153" t="str">
            <v>Status Quo</v>
          </cell>
          <cell r="G153">
            <v>595.19964669675574</v>
          </cell>
          <cell r="H153">
            <v>0</v>
          </cell>
          <cell r="I153">
            <v>0</v>
          </cell>
          <cell r="J153">
            <v>0</v>
          </cell>
          <cell r="K153">
            <v>595.19964669675574</v>
          </cell>
          <cell r="M153">
            <v>595.19964669675574</v>
          </cell>
          <cell r="N153">
            <v>0.59854391398996798</v>
          </cell>
        </row>
        <row r="154">
          <cell r="A154">
            <v>2026</v>
          </cell>
          <cell r="B154" t="str">
            <v>Graphite</v>
          </cell>
          <cell r="C154" t="str">
            <v>Canada Net-zero</v>
          </cell>
          <cell r="D154" t="str">
            <v>Production potential</v>
          </cell>
          <cell r="E154" t="str">
            <v>Current shares</v>
          </cell>
          <cell r="F154" t="str">
            <v>Expansion Extractive</v>
          </cell>
          <cell r="G154">
            <v>595.19964669675574</v>
          </cell>
          <cell r="H154">
            <v>99670</v>
          </cell>
          <cell r="I154">
            <v>32891.1</v>
          </cell>
          <cell r="J154">
            <v>26765.771907380113</v>
          </cell>
          <cell r="K154">
            <v>0</v>
          </cell>
          <cell r="M154">
            <v>0</v>
          </cell>
          <cell r="N154">
            <v>0.59854391398996798</v>
          </cell>
        </row>
        <row r="155">
          <cell r="A155">
            <v>2026</v>
          </cell>
          <cell r="B155" t="str">
            <v>Graphite</v>
          </cell>
          <cell r="C155" t="str">
            <v>Canada Net-zero</v>
          </cell>
          <cell r="D155" t="str">
            <v>Production potential</v>
          </cell>
          <cell r="E155" t="str">
            <v>Current shares</v>
          </cell>
          <cell r="F155" t="str">
            <v>Expansion Extractive+Circularity</v>
          </cell>
          <cell r="G155">
            <v>595.19964669675574</v>
          </cell>
          <cell r="H155">
            <v>99670</v>
          </cell>
          <cell r="I155">
            <v>32891.1</v>
          </cell>
          <cell r="J155">
            <v>26765.771907380113</v>
          </cell>
          <cell r="K155">
            <v>0</v>
          </cell>
          <cell r="M155">
            <v>0</v>
          </cell>
          <cell r="N155">
            <v>0.59854391398996798</v>
          </cell>
        </row>
        <row r="156">
          <cell r="A156">
            <v>2026</v>
          </cell>
          <cell r="B156" t="str">
            <v>Graphite</v>
          </cell>
          <cell r="C156" t="str">
            <v>Canada Net-zero</v>
          </cell>
          <cell r="D156" t="str">
            <v>Production potential</v>
          </cell>
          <cell r="E156" t="str">
            <v>100% CAN</v>
          </cell>
          <cell r="F156" t="str">
            <v>Integrated</v>
          </cell>
          <cell r="G156">
            <v>595.19964669675574</v>
          </cell>
          <cell r="H156">
            <v>99670</v>
          </cell>
          <cell r="I156">
            <v>32891.1</v>
          </cell>
          <cell r="J156">
            <v>26765.771907380113</v>
          </cell>
          <cell r="K156">
            <v>0</v>
          </cell>
          <cell r="M156">
            <v>0</v>
          </cell>
          <cell r="N156">
            <v>0.59854391398996798</v>
          </cell>
        </row>
        <row r="157">
          <cell r="A157">
            <v>2026</v>
          </cell>
          <cell r="B157" t="str">
            <v>Graphite</v>
          </cell>
          <cell r="C157" t="str">
            <v>Current Measures</v>
          </cell>
          <cell r="D157" t="str">
            <v>Existing production</v>
          </cell>
          <cell r="E157" t="str">
            <v>Current shares</v>
          </cell>
          <cell r="F157" t="str">
            <v>NIMBY</v>
          </cell>
          <cell r="G157">
            <v>466.18816950520568</v>
          </cell>
          <cell r="H157">
            <v>0</v>
          </cell>
          <cell r="I157">
            <v>0</v>
          </cell>
          <cell r="J157">
            <v>0</v>
          </cell>
          <cell r="K157">
            <v>466.18816950520568</v>
          </cell>
          <cell r="M157">
            <v>466.18816950520568</v>
          </cell>
          <cell r="N157">
            <v>0.59854391398996798</v>
          </cell>
        </row>
        <row r="158">
          <cell r="A158">
            <v>2026</v>
          </cell>
          <cell r="B158" t="str">
            <v>Graphite</v>
          </cell>
          <cell r="C158" t="str">
            <v>Current Measures</v>
          </cell>
          <cell r="D158" t="str">
            <v>Existing production</v>
          </cell>
          <cell r="E158" t="str">
            <v>Current shares</v>
          </cell>
          <cell r="F158" t="str">
            <v>Status Quo</v>
          </cell>
          <cell r="G158">
            <v>466.18816950520568</v>
          </cell>
          <cell r="H158">
            <v>0</v>
          </cell>
          <cell r="I158">
            <v>0</v>
          </cell>
          <cell r="J158">
            <v>0</v>
          </cell>
          <cell r="K158">
            <v>466.18816950520568</v>
          </cell>
          <cell r="M158">
            <v>466.18816950520568</v>
          </cell>
          <cell r="N158">
            <v>0.59854391398996798</v>
          </cell>
        </row>
        <row r="159">
          <cell r="A159">
            <v>2026</v>
          </cell>
          <cell r="B159" t="str">
            <v>Graphite</v>
          </cell>
          <cell r="C159" t="str">
            <v>Current Measures</v>
          </cell>
          <cell r="D159" t="str">
            <v>Production potential</v>
          </cell>
          <cell r="E159" t="str">
            <v>Current shares</v>
          </cell>
          <cell r="F159" t="str">
            <v>Expansion Extractive</v>
          </cell>
          <cell r="G159">
            <v>466.18816950520568</v>
          </cell>
          <cell r="H159">
            <v>99670</v>
          </cell>
          <cell r="I159">
            <v>32891.1</v>
          </cell>
          <cell r="J159">
            <v>26765.771907380113</v>
          </cell>
          <cell r="K159">
            <v>0</v>
          </cell>
          <cell r="M159">
            <v>0</v>
          </cell>
          <cell r="N159">
            <v>0.59854391398996798</v>
          </cell>
        </row>
        <row r="160">
          <cell r="A160">
            <v>2026</v>
          </cell>
          <cell r="B160" t="str">
            <v>Graphite</v>
          </cell>
          <cell r="C160" t="str">
            <v>Current Measures</v>
          </cell>
          <cell r="D160" t="str">
            <v>Production potential</v>
          </cell>
          <cell r="E160" t="str">
            <v>Current shares</v>
          </cell>
          <cell r="F160" t="str">
            <v>Expansion Extractive+Circularity</v>
          </cell>
          <cell r="G160">
            <v>466.18816950520568</v>
          </cell>
          <cell r="H160">
            <v>99670</v>
          </cell>
          <cell r="I160">
            <v>32891.1</v>
          </cell>
          <cell r="J160">
            <v>26765.771907380113</v>
          </cell>
          <cell r="K160">
            <v>0</v>
          </cell>
          <cell r="M160">
            <v>0</v>
          </cell>
          <cell r="N160">
            <v>0.59854391398996798</v>
          </cell>
        </row>
        <row r="161">
          <cell r="A161">
            <v>2026</v>
          </cell>
          <cell r="B161" t="str">
            <v>Graphite</v>
          </cell>
          <cell r="C161" t="str">
            <v>Current Measures</v>
          </cell>
          <cell r="D161" t="str">
            <v>Production potential</v>
          </cell>
          <cell r="E161" t="str">
            <v>100% CAN</v>
          </cell>
          <cell r="F161" t="str">
            <v>Integrated</v>
          </cell>
          <cell r="G161">
            <v>466.18816950520568</v>
          </cell>
          <cell r="H161">
            <v>99670</v>
          </cell>
          <cell r="I161">
            <v>32891.1</v>
          </cell>
          <cell r="J161">
            <v>26765.771907380113</v>
          </cell>
          <cell r="K161">
            <v>0</v>
          </cell>
          <cell r="M161">
            <v>0</v>
          </cell>
          <cell r="N161">
            <v>0.59854391398996798</v>
          </cell>
        </row>
        <row r="162">
          <cell r="A162">
            <v>2026</v>
          </cell>
          <cell r="B162" t="str">
            <v>Graphite</v>
          </cell>
          <cell r="C162" t="str">
            <v>Global Net-zero</v>
          </cell>
          <cell r="D162" t="str">
            <v>Existing production</v>
          </cell>
          <cell r="E162" t="str">
            <v>Current shares</v>
          </cell>
          <cell r="F162" t="str">
            <v>NIMBY</v>
          </cell>
          <cell r="G162">
            <v>587.70528713969418</v>
          </cell>
          <cell r="H162">
            <v>0</v>
          </cell>
          <cell r="I162">
            <v>0</v>
          </cell>
          <cell r="J162">
            <v>0</v>
          </cell>
          <cell r="K162">
            <v>587.70528713969418</v>
          </cell>
          <cell r="M162">
            <v>587.70528713969418</v>
          </cell>
          <cell r="N162">
            <v>0.59854391398996798</v>
          </cell>
        </row>
        <row r="163">
          <cell r="A163">
            <v>2026</v>
          </cell>
          <cell r="B163" t="str">
            <v>Graphite</v>
          </cell>
          <cell r="C163" t="str">
            <v>Global Net-zero</v>
          </cell>
          <cell r="D163" t="str">
            <v>Existing production</v>
          </cell>
          <cell r="E163" t="str">
            <v>Current shares</v>
          </cell>
          <cell r="F163" t="str">
            <v>Status Quo</v>
          </cell>
          <cell r="G163">
            <v>587.70528713969418</v>
          </cell>
          <cell r="H163">
            <v>0</v>
          </cell>
          <cell r="I163">
            <v>0</v>
          </cell>
          <cell r="J163">
            <v>0</v>
          </cell>
          <cell r="K163">
            <v>587.70528713969418</v>
          </cell>
          <cell r="M163">
            <v>587.70528713969418</v>
          </cell>
          <cell r="N163">
            <v>0.59854391398996798</v>
          </cell>
        </row>
        <row r="164">
          <cell r="A164">
            <v>2026</v>
          </cell>
          <cell r="B164" t="str">
            <v>Graphite</v>
          </cell>
          <cell r="C164" t="str">
            <v>Global Net-zero</v>
          </cell>
          <cell r="D164" t="str">
            <v>Production potential</v>
          </cell>
          <cell r="E164" t="str">
            <v>Current shares</v>
          </cell>
          <cell r="F164" t="str">
            <v>Expansion Extractive</v>
          </cell>
          <cell r="G164">
            <v>587.70528713969418</v>
          </cell>
          <cell r="H164">
            <v>99670</v>
          </cell>
          <cell r="I164">
            <v>32891.1</v>
          </cell>
          <cell r="J164">
            <v>26765.771907380113</v>
          </cell>
          <cell r="K164">
            <v>0</v>
          </cell>
          <cell r="M164">
            <v>0</v>
          </cell>
          <cell r="N164">
            <v>0.59854391398996798</v>
          </cell>
        </row>
        <row r="165">
          <cell r="A165">
            <v>2026</v>
          </cell>
          <cell r="B165" t="str">
            <v>Graphite</v>
          </cell>
          <cell r="C165" t="str">
            <v>Global Net-zero</v>
          </cell>
          <cell r="D165" t="str">
            <v>Production potential</v>
          </cell>
          <cell r="E165" t="str">
            <v>Current shares</v>
          </cell>
          <cell r="F165" t="str">
            <v>Expansion Extractive+Circularity</v>
          </cell>
          <cell r="G165">
            <v>587.70528713969418</v>
          </cell>
          <cell r="H165">
            <v>99670</v>
          </cell>
          <cell r="I165">
            <v>32891.1</v>
          </cell>
          <cell r="J165">
            <v>26765.771907380113</v>
          </cell>
          <cell r="K165">
            <v>0</v>
          </cell>
          <cell r="M165">
            <v>0</v>
          </cell>
          <cell r="N165">
            <v>0.59854391398996798</v>
          </cell>
        </row>
        <row r="166">
          <cell r="A166">
            <v>2026</v>
          </cell>
          <cell r="B166" t="str">
            <v>Graphite</v>
          </cell>
          <cell r="C166" t="str">
            <v>Global Net-zero</v>
          </cell>
          <cell r="D166" t="str">
            <v>Production potential</v>
          </cell>
          <cell r="E166" t="str">
            <v>100% CAN</v>
          </cell>
          <cell r="F166" t="str">
            <v>Integrated</v>
          </cell>
          <cell r="G166">
            <v>587.70528713969418</v>
          </cell>
          <cell r="H166">
            <v>99670</v>
          </cell>
          <cell r="I166">
            <v>32891.1</v>
          </cell>
          <cell r="J166">
            <v>26765.771907380113</v>
          </cell>
          <cell r="K166">
            <v>0</v>
          </cell>
          <cell r="M166">
            <v>0</v>
          </cell>
          <cell r="N166">
            <v>0.59854391398996798</v>
          </cell>
        </row>
        <row r="167">
          <cell r="A167">
            <v>2026</v>
          </cell>
          <cell r="B167" t="str">
            <v>Lithium</v>
          </cell>
          <cell r="C167" t="str">
            <v>Canada Net-zero</v>
          </cell>
          <cell r="D167" t="str">
            <v>Existing production</v>
          </cell>
          <cell r="E167" t="str">
            <v>Current shares</v>
          </cell>
          <cell r="F167" t="str">
            <v>NIMBY</v>
          </cell>
          <cell r="G167">
            <v>9264.2962116299586</v>
          </cell>
          <cell r="H167">
            <v>0</v>
          </cell>
          <cell r="I167">
            <v>0</v>
          </cell>
          <cell r="J167">
            <v>0</v>
          </cell>
          <cell r="K167">
            <v>13234.708873757079</v>
          </cell>
          <cell r="M167">
            <v>9264.2962116299586</v>
          </cell>
          <cell r="N167">
            <v>0.787554996857322</v>
          </cell>
        </row>
        <row r="168">
          <cell r="A168">
            <v>2026</v>
          </cell>
          <cell r="B168" t="str">
            <v>Lithium</v>
          </cell>
          <cell r="C168" t="str">
            <v>Canada Net-zero</v>
          </cell>
          <cell r="D168" t="str">
            <v>Existing production</v>
          </cell>
          <cell r="E168" t="str">
            <v>Current shares</v>
          </cell>
          <cell r="F168" t="str">
            <v>Status Quo</v>
          </cell>
          <cell r="G168">
            <v>9264.2962116299586</v>
          </cell>
          <cell r="H168">
            <v>39969</v>
          </cell>
          <cell r="I168">
            <v>27945.144552023179</v>
          </cell>
          <cell r="J168">
            <v>3532.6411173671222</v>
          </cell>
          <cell r="K168">
            <v>0</v>
          </cell>
          <cell r="M168">
            <v>0</v>
          </cell>
          <cell r="N168">
            <v>0.787554996857322</v>
          </cell>
        </row>
        <row r="169">
          <cell r="A169">
            <v>2026</v>
          </cell>
          <cell r="B169" t="str">
            <v>Lithium</v>
          </cell>
          <cell r="C169" t="str">
            <v>Canada Net-zero</v>
          </cell>
          <cell r="D169" t="str">
            <v>Production potential</v>
          </cell>
          <cell r="E169" t="str">
            <v>Current shares</v>
          </cell>
          <cell r="F169" t="str">
            <v>Expansion Extractive</v>
          </cell>
          <cell r="G169">
            <v>9264.2962116299586</v>
          </cell>
          <cell r="H169">
            <v>144329</v>
          </cell>
          <cell r="I169">
            <v>100910.5748967688</v>
          </cell>
          <cell r="J169">
            <v>12756.450244651627</v>
          </cell>
          <cell r="K169">
            <v>0</v>
          </cell>
          <cell r="M169">
            <v>0</v>
          </cell>
          <cell r="N169">
            <v>0.787554996857322</v>
          </cell>
        </row>
        <row r="170">
          <cell r="A170">
            <v>2026</v>
          </cell>
          <cell r="B170" t="str">
            <v>Lithium</v>
          </cell>
          <cell r="C170" t="str">
            <v>Canada Net-zero</v>
          </cell>
          <cell r="D170" t="str">
            <v>Production potential</v>
          </cell>
          <cell r="E170" t="str">
            <v>Current shares</v>
          </cell>
          <cell r="F170" t="str">
            <v>Expansion Extractive+Circularity</v>
          </cell>
          <cell r="G170">
            <v>9264.2962116299586</v>
          </cell>
          <cell r="H170">
            <v>144329</v>
          </cell>
          <cell r="I170">
            <v>100910.5748967688</v>
          </cell>
          <cell r="J170">
            <v>12756.450244651627</v>
          </cell>
          <cell r="K170">
            <v>0</v>
          </cell>
          <cell r="M170">
            <v>0</v>
          </cell>
          <cell r="N170">
            <v>0.787554996857322</v>
          </cell>
        </row>
        <row r="171">
          <cell r="A171">
            <v>2026</v>
          </cell>
          <cell r="B171" t="str">
            <v>Lithium</v>
          </cell>
          <cell r="C171" t="str">
            <v>Canada Net-zero</v>
          </cell>
          <cell r="D171" t="str">
            <v>Production potential</v>
          </cell>
          <cell r="E171" t="str">
            <v>100% CAN</v>
          </cell>
          <cell r="F171" t="str">
            <v>Integrated</v>
          </cell>
          <cell r="G171">
            <v>9264.2962116299586</v>
          </cell>
          <cell r="H171">
            <v>144329</v>
          </cell>
          <cell r="I171">
            <v>100910.5748967688</v>
          </cell>
          <cell r="J171">
            <v>12756.450244651627</v>
          </cell>
          <cell r="K171">
            <v>0</v>
          </cell>
          <cell r="M171">
            <v>0</v>
          </cell>
          <cell r="N171">
            <v>0.787554996857322</v>
          </cell>
        </row>
        <row r="172">
          <cell r="A172">
            <v>2026</v>
          </cell>
          <cell r="B172" t="str">
            <v>Lithium</v>
          </cell>
          <cell r="C172" t="str">
            <v>Current Measures</v>
          </cell>
          <cell r="D172" t="str">
            <v>Existing production</v>
          </cell>
          <cell r="E172" t="str">
            <v>Current shares</v>
          </cell>
          <cell r="F172" t="str">
            <v>NIMBY</v>
          </cell>
          <cell r="G172">
            <v>7256.2295972836719</v>
          </cell>
          <cell r="H172">
            <v>0</v>
          </cell>
          <cell r="I172">
            <v>0</v>
          </cell>
          <cell r="J172">
            <v>0</v>
          </cell>
          <cell r="K172">
            <v>10366.042281833819</v>
          </cell>
          <cell r="M172">
            <v>7256.2295972836719</v>
          </cell>
          <cell r="N172">
            <v>0.787554996857322</v>
          </cell>
        </row>
        <row r="173">
          <cell r="A173">
            <v>2026</v>
          </cell>
          <cell r="B173" t="str">
            <v>Lithium</v>
          </cell>
          <cell r="C173" t="str">
            <v>Current Measures</v>
          </cell>
          <cell r="D173" t="str">
            <v>Existing production</v>
          </cell>
          <cell r="E173" t="str">
            <v>Current shares</v>
          </cell>
          <cell r="F173" t="str">
            <v>Status Quo</v>
          </cell>
          <cell r="G173">
            <v>7256.2295972836719</v>
          </cell>
          <cell r="H173">
            <v>39969</v>
          </cell>
          <cell r="I173">
            <v>27945.144552023179</v>
          </cell>
          <cell r="J173">
            <v>3532.6411173671222</v>
          </cell>
          <cell r="K173">
            <v>0</v>
          </cell>
          <cell r="M173">
            <v>0</v>
          </cell>
          <cell r="N173">
            <v>0.787554996857322</v>
          </cell>
        </row>
        <row r="174">
          <cell r="A174">
            <v>2026</v>
          </cell>
          <cell r="B174" t="str">
            <v>Lithium</v>
          </cell>
          <cell r="C174" t="str">
            <v>Current Measures</v>
          </cell>
          <cell r="D174" t="str">
            <v>Production potential</v>
          </cell>
          <cell r="E174" t="str">
            <v>Current shares</v>
          </cell>
          <cell r="F174" t="str">
            <v>Expansion Extractive</v>
          </cell>
          <cell r="G174">
            <v>7256.2295972836719</v>
          </cell>
          <cell r="H174">
            <v>144329</v>
          </cell>
          <cell r="I174">
            <v>100910.5748967688</v>
          </cell>
          <cell r="J174">
            <v>12756.450244651627</v>
          </cell>
          <cell r="K174">
            <v>0</v>
          </cell>
          <cell r="M174">
            <v>0</v>
          </cell>
          <cell r="N174">
            <v>0.787554996857322</v>
          </cell>
        </row>
        <row r="175">
          <cell r="A175">
            <v>2026</v>
          </cell>
          <cell r="B175" t="str">
            <v>Lithium</v>
          </cell>
          <cell r="C175" t="str">
            <v>Current Measures</v>
          </cell>
          <cell r="D175" t="str">
            <v>Production potential</v>
          </cell>
          <cell r="E175" t="str">
            <v>Current shares</v>
          </cell>
          <cell r="F175" t="str">
            <v>Expansion Extractive+Circularity</v>
          </cell>
          <cell r="G175">
            <v>7256.2295972836719</v>
          </cell>
          <cell r="H175">
            <v>144329</v>
          </cell>
          <cell r="I175">
            <v>100910.5748967688</v>
          </cell>
          <cell r="J175">
            <v>12756.450244651627</v>
          </cell>
          <cell r="K175">
            <v>0</v>
          </cell>
          <cell r="M175">
            <v>0</v>
          </cell>
          <cell r="N175">
            <v>0.787554996857322</v>
          </cell>
        </row>
        <row r="176">
          <cell r="A176">
            <v>2026</v>
          </cell>
          <cell r="B176" t="str">
            <v>Lithium</v>
          </cell>
          <cell r="C176" t="str">
            <v>Current Measures</v>
          </cell>
          <cell r="D176" t="str">
            <v>Production potential</v>
          </cell>
          <cell r="E176" t="str">
            <v>100% CAN</v>
          </cell>
          <cell r="F176" t="str">
            <v>Integrated</v>
          </cell>
          <cell r="G176">
            <v>7256.2295972836719</v>
          </cell>
          <cell r="H176">
            <v>144329</v>
          </cell>
          <cell r="I176">
            <v>100910.5748967688</v>
          </cell>
          <cell r="J176">
            <v>12756.450244651627</v>
          </cell>
          <cell r="K176">
            <v>0</v>
          </cell>
          <cell r="M176">
            <v>0</v>
          </cell>
          <cell r="N176">
            <v>0.787554996857322</v>
          </cell>
        </row>
        <row r="177">
          <cell r="A177">
            <v>2026</v>
          </cell>
          <cell r="B177" t="str">
            <v>Lithium</v>
          </cell>
          <cell r="C177" t="str">
            <v>Global Net-zero</v>
          </cell>
          <cell r="D177" t="str">
            <v>Existing production</v>
          </cell>
          <cell r="E177" t="str">
            <v>Current shares</v>
          </cell>
          <cell r="F177" t="str">
            <v>NIMBY</v>
          </cell>
          <cell r="G177">
            <v>9147.6463324870547</v>
          </cell>
          <cell r="H177">
            <v>0</v>
          </cell>
          <cell r="I177">
            <v>0</v>
          </cell>
          <cell r="J177">
            <v>0</v>
          </cell>
          <cell r="K177">
            <v>13068.06618926722</v>
          </cell>
          <cell r="M177">
            <v>9147.6463324870547</v>
          </cell>
          <cell r="N177">
            <v>0.787554996857322</v>
          </cell>
        </row>
        <row r="178">
          <cell r="A178">
            <v>2026</v>
          </cell>
          <cell r="B178" t="str">
            <v>Lithium</v>
          </cell>
          <cell r="C178" t="str">
            <v>Global Net-zero</v>
          </cell>
          <cell r="D178" t="str">
            <v>Existing production</v>
          </cell>
          <cell r="E178" t="str">
            <v>Current shares</v>
          </cell>
          <cell r="F178" t="str">
            <v>Status Quo</v>
          </cell>
          <cell r="G178">
            <v>9147.6463324870547</v>
          </cell>
          <cell r="H178">
            <v>39969</v>
          </cell>
          <cell r="I178">
            <v>27945.144552023179</v>
          </cell>
          <cell r="J178">
            <v>3532.6411173671222</v>
          </cell>
          <cell r="K178">
            <v>0</v>
          </cell>
          <cell r="M178">
            <v>0</v>
          </cell>
          <cell r="N178">
            <v>0.787554996857322</v>
          </cell>
        </row>
        <row r="179">
          <cell r="A179">
            <v>2026</v>
          </cell>
          <cell r="B179" t="str">
            <v>Lithium</v>
          </cell>
          <cell r="C179" t="str">
            <v>Global Net-zero</v>
          </cell>
          <cell r="D179" t="str">
            <v>Production potential</v>
          </cell>
          <cell r="E179" t="str">
            <v>Current shares</v>
          </cell>
          <cell r="F179" t="str">
            <v>Expansion Extractive</v>
          </cell>
          <cell r="G179">
            <v>9147.6463324870547</v>
          </cell>
          <cell r="H179">
            <v>144329</v>
          </cell>
          <cell r="I179">
            <v>100910.5748967688</v>
          </cell>
          <cell r="J179">
            <v>12756.450244651627</v>
          </cell>
          <cell r="K179">
            <v>0</v>
          </cell>
          <cell r="M179">
            <v>0</v>
          </cell>
          <cell r="N179">
            <v>0.787554996857322</v>
          </cell>
        </row>
        <row r="180">
          <cell r="A180">
            <v>2026</v>
          </cell>
          <cell r="B180" t="str">
            <v>Lithium</v>
          </cell>
          <cell r="C180" t="str">
            <v>Global Net-zero</v>
          </cell>
          <cell r="D180" t="str">
            <v>Production potential</v>
          </cell>
          <cell r="E180" t="str">
            <v>Current shares</v>
          </cell>
          <cell r="F180" t="str">
            <v>Expansion Extractive+Circularity</v>
          </cell>
          <cell r="G180">
            <v>9147.6463324870547</v>
          </cell>
          <cell r="H180">
            <v>144329</v>
          </cell>
          <cell r="I180">
            <v>100910.5748967688</v>
          </cell>
          <cell r="J180">
            <v>12756.450244651627</v>
          </cell>
          <cell r="K180">
            <v>0</v>
          </cell>
          <cell r="M180">
            <v>0</v>
          </cell>
          <cell r="N180">
            <v>0.787554996857322</v>
          </cell>
        </row>
        <row r="181">
          <cell r="A181">
            <v>2026</v>
          </cell>
          <cell r="B181" t="str">
            <v>Lithium</v>
          </cell>
          <cell r="C181" t="str">
            <v>Global Net-zero</v>
          </cell>
          <cell r="D181" t="str">
            <v>Production potential</v>
          </cell>
          <cell r="E181" t="str">
            <v>100% CAN</v>
          </cell>
          <cell r="F181" t="str">
            <v>Integrated</v>
          </cell>
          <cell r="G181">
            <v>9147.6463324870547</v>
          </cell>
          <cell r="H181">
            <v>144329</v>
          </cell>
          <cell r="I181">
            <v>100910.5748967688</v>
          </cell>
          <cell r="J181">
            <v>12756.450244651627</v>
          </cell>
          <cell r="K181">
            <v>0</v>
          </cell>
          <cell r="M181">
            <v>0</v>
          </cell>
          <cell r="N181">
            <v>0.787554996857322</v>
          </cell>
        </row>
        <row r="182">
          <cell r="A182">
            <v>2027</v>
          </cell>
          <cell r="B182" t="str">
            <v>Cobalt</v>
          </cell>
          <cell r="C182" t="str">
            <v>Canada Net-zero</v>
          </cell>
          <cell r="D182" t="str">
            <v>Existing production</v>
          </cell>
          <cell r="E182" t="str">
            <v>Current shares</v>
          </cell>
          <cell r="F182" t="str">
            <v>NIMBY</v>
          </cell>
          <cell r="G182">
            <v>22846.056566280731</v>
          </cell>
          <cell r="H182">
            <v>0</v>
          </cell>
          <cell r="I182">
            <v>0</v>
          </cell>
          <cell r="J182">
            <v>0</v>
          </cell>
          <cell r="K182">
            <v>51922.855832456196</v>
          </cell>
          <cell r="M182">
            <v>22846.056566280731</v>
          </cell>
          <cell r="N182">
            <v>0.439346565686978</v>
          </cell>
        </row>
        <row r="183">
          <cell r="A183">
            <v>2027</v>
          </cell>
          <cell r="B183" t="str">
            <v>Cobalt</v>
          </cell>
          <cell r="C183" t="str">
            <v>Canada Net-zero</v>
          </cell>
          <cell r="D183" t="str">
            <v>Existing production</v>
          </cell>
          <cell r="E183" t="str">
            <v>Current shares</v>
          </cell>
          <cell r="F183" t="str">
            <v>Status Quo</v>
          </cell>
          <cell r="G183">
            <v>22846.056566280731</v>
          </cell>
          <cell r="H183">
            <v>4176</v>
          </cell>
          <cell r="I183">
            <v>1771.38331528816</v>
          </cell>
          <cell r="J183">
            <v>63.327943020660086</v>
          </cell>
          <cell r="K183">
            <v>47746.855832456196</v>
          </cell>
          <cell r="M183">
            <v>21011.345307971911</v>
          </cell>
          <cell r="N183">
            <v>0.439346565686978</v>
          </cell>
        </row>
        <row r="184">
          <cell r="A184">
            <v>2027</v>
          </cell>
          <cell r="B184" t="str">
            <v>Cobalt</v>
          </cell>
          <cell r="C184" t="str">
            <v>Canada Net-zero</v>
          </cell>
          <cell r="D184" t="str">
            <v>Production potential</v>
          </cell>
          <cell r="E184" t="str">
            <v>Current shares</v>
          </cell>
          <cell r="F184" t="str">
            <v>Expansion Extractive</v>
          </cell>
          <cell r="G184">
            <v>22846.056566280731</v>
          </cell>
          <cell r="H184">
            <v>5307</v>
          </cell>
          <cell r="I184">
            <v>2251.1329631787039</v>
          </cell>
          <cell r="J184">
            <v>80.479260922088542</v>
          </cell>
          <cell r="K184">
            <v>46615.855832456196</v>
          </cell>
          <cell r="M184">
            <v>20514.444342179941</v>
          </cell>
          <cell r="N184">
            <v>0.439346565686978</v>
          </cell>
        </row>
        <row r="185">
          <cell r="A185">
            <v>2027</v>
          </cell>
          <cell r="B185" t="str">
            <v>Cobalt</v>
          </cell>
          <cell r="C185" t="str">
            <v>Canada Net-zero</v>
          </cell>
          <cell r="D185" t="str">
            <v>Production potential</v>
          </cell>
          <cell r="E185" t="str">
            <v>Current shares</v>
          </cell>
          <cell r="F185" t="str">
            <v>Expansion Extractive+Circularity</v>
          </cell>
          <cell r="G185">
            <v>22846.056566280731</v>
          </cell>
          <cell r="H185">
            <v>5307</v>
          </cell>
          <cell r="I185">
            <v>2251.1329631787039</v>
          </cell>
          <cell r="J185">
            <v>80.479260922088542</v>
          </cell>
          <cell r="K185">
            <v>46615.855832456196</v>
          </cell>
          <cell r="M185">
            <v>20514.444342179941</v>
          </cell>
          <cell r="N185">
            <v>0.439346565686978</v>
          </cell>
        </row>
        <row r="186">
          <cell r="A186">
            <v>2027</v>
          </cell>
          <cell r="B186" t="str">
            <v>Cobalt</v>
          </cell>
          <cell r="C186" t="str">
            <v>Canada Net-zero</v>
          </cell>
          <cell r="D186" t="str">
            <v>Production potential</v>
          </cell>
          <cell r="E186" t="str">
            <v>100% CAN</v>
          </cell>
          <cell r="F186" t="str">
            <v>Integrated</v>
          </cell>
          <cell r="G186">
            <v>22846.056566280731</v>
          </cell>
          <cell r="H186">
            <v>5307</v>
          </cell>
          <cell r="I186">
            <v>2331.6122241007938</v>
          </cell>
          <cell r="J186">
            <v>0</v>
          </cell>
          <cell r="K186">
            <v>46615.855832456196</v>
          </cell>
          <cell r="M186">
            <v>20514.444342179941</v>
          </cell>
          <cell r="N186">
            <v>0.439346565686978</v>
          </cell>
        </row>
        <row r="187">
          <cell r="A187">
            <v>2027</v>
          </cell>
          <cell r="B187" t="str">
            <v>Cobalt</v>
          </cell>
          <cell r="C187" t="str">
            <v>Current Measures</v>
          </cell>
          <cell r="D187" t="str">
            <v>Existing production</v>
          </cell>
          <cell r="E187" t="str">
            <v>Current shares</v>
          </cell>
          <cell r="F187" t="str">
            <v>NIMBY</v>
          </cell>
          <cell r="G187">
            <v>15414.951244320981</v>
          </cell>
          <cell r="H187">
            <v>0</v>
          </cell>
          <cell r="I187">
            <v>0</v>
          </cell>
          <cell r="J187">
            <v>0</v>
          </cell>
          <cell r="K187">
            <v>35033.980100729503</v>
          </cell>
          <cell r="M187">
            <v>15414.951244320981</v>
          </cell>
          <cell r="N187">
            <v>0.439346565686978</v>
          </cell>
        </row>
        <row r="188">
          <cell r="A188">
            <v>2027</v>
          </cell>
          <cell r="B188" t="str">
            <v>Cobalt</v>
          </cell>
          <cell r="C188" t="str">
            <v>Current Measures</v>
          </cell>
          <cell r="D188" t="str">
            <v>Existing production</v>
          </cell>
          <cell r="E188" t="str">
            <v>Current shares</v>
          </cell>
          <cell r="F188" t="str">
            <v>Status Quo</v>
          </cell>
          <cell r="G188">
            <v>15414.951244320981</v>
          </cell>
          <cell r="H188">
            <v>4176</v>
          </cell>
          <cell r="I188">
            <v>1771.38331528816</v>
          </cell>
          <cell r="J188">
            <v>63.327943020660086</v>
          </cell>
          <cell r="K188">
            <v>30857.980100729499</v>
          </cell>
          <cell r="M188">
            <v>13580.23998601216</v>
          </cell>
          <cell r="N188">
            <v>0.439346565686978</v>
          </cell>
        </row>
        <row r="189">
          <cell r="A189">
            <v>2027</v>
          </cell>
          <cell r="B189" t="str">
            <v>Cobalt</v>
          </cell>
          <cell r="C189" t="str">
            <v>Current Measures</v>
          </cell>
          <cell r="D189" t="str">
            <v>Production potential</v>
          </cell>
          <cell r="E189" t="str">
            <v>Current shares</v>
          </cell>
          <cell r="F189" t="str">
            <v>Expansion Extractive</v>
          </cell>
          <cell r="G189">
            <v>15414.951244320981</v>
          </cell>
          <cell r="H189">
            <v>5307</v>
          </cell>
          <cell r="I189">
            <v>2251.1329631787039</v>
          </cell>
          <cell r="J189">
            <v>80.479260922088542</v>
          </cell>
          <cell r="K189">
            <v>29726.980100729499</v>
          </cell>
          <cell r="M189">
            <v>13083.339020220192</v>
          </cell>
          <cell r="N189">
            <v>0.439346565686978</v>
          </cell>
        </row>
        <row r="190">
          <cell r="A190">
            <v>2027</v>
          </cell>
          <cell r="B190" t="str">
            <v>Cobalt</v>
          </cell>
          <cell r="C190" t="str">
            <v>Current Measures</v>
          </cell>
          <cell r="D190" t="str">
            <v>Production potential</v>
          </cell>
          <cell r="E190" t="str">
            <v>Current shares</v>
          </cell>
          <cell r="F190" t="str">
            <v>Expansion Extractive+Circularity</v>
          </cell>
          <cell r="G190">
            <v>15414.951244320981</v>
          </cell>
          <cell r="H190">
            <v>5307</v>
          </cell>
          <cell r="I190">
            <v>2251.1329631787039</v>
          </cell>
          <cell r="J190">
            <v>80.479260922088542</v>
          </cell>
          <cell r="K190">
            <v>29726.980100729499</v>
          </cell>
          <cell r="M190">
            <v>13083.339020220192</v>
          </cell>
          <cell r="N190">
            <v>0.439346565686978</v>
          </cell>
        </row>
        <row r="191">
          <cell r="A191">
            <v>2027</v>
          </cell>
          <cell r="B191" t="str">
            <v>Cobalt</v>
          </cell>
          <cell r="C191" t="str">
            <v>Current Measures</v>
          </cell>
          <cell r="D191" t="str">
            <v>Production potential</v>
          </cell>
          <cell r="E191" t="str">
            <v>100% CAN</v>
          </cell>
          <cell r="F191" t="str">
            <v>Integrated</v>
          </cell>
          <cell r="G191">
            <v>15414.951244320981</v>
          </cell>
          <cell r="H191">
            <v>5307</v>
          </cell>
          <cell r="I191">
            <v>2331.6122241007938</v>
          </cell>
          <cell r="J191">
            <v>0</v>
          </cell>
          <cell r="K191">
            <v>29726.980100729499</v>
          </cell>
          <cell r="M191">
            <v>13083.33902022019</v>
          </cell>
          <cell r="N191">
            <v>0.439346565686978</v>
          </cell>
        </row>
        <row r="192">
          <cell r="A192">
            <v>2027</v>
          </cell>
          <cell r="B192" t="str">
            <v>Cobalt</v>
          </cell>
          <cell r="C192" t="str">
            <v>Global Net-zero</v>
          </cell>
          <cell r="D192" t="str">
            <v>Existing production</v>
          </cell>
          <cell r="E192" t="str">
            <v>Current shares</v>
          </cell>
          <cell r="F192" t="str">
            <v>NIMBY</v>
          </cell>
          <cell r="G192">
            <v>22192.22621013633</v>
          </cell>
          <cell r="H192">
            <v>0</v>
          </cell>
          <cell r="I192">
            <v>0</v>
          </cell>
          <cell r="J192">
            <v>0</v>
          </cell>
          <cell r="K192">
            <v>50436.877750309839</v>
          </cell>
          <cell r="M192">
            <v>22192.22621013633</v>
          </cell>
          <cell r="N192">
            <v>0.439346565686978</v>
          </cell>
        </row>
        <row r="193">
          <cell r="A193">
            <v>2027</v>
          </cell>
          <cell r="B193" t="str">
            <v>Cobalt</v>
          </cell>
          <cell r="C193" t="str">
            <v>Global Net-zero</v>
          </cell>
          <cell r="D193" t="str">
            <v>Existing production</v>
          </cell>
          <cell r="E193" t="str">
            <v>Current shares</v>
          </cell>
          <cell r="F193" t="str">
            <v>Status Quo</v>
          </cell>
          <cell r="G193">
            <v>22192.22621013633</v>
          </cell>
          <cell r="H193">
            <v>4176</v>
          </cell>
          <cell r="I193">
            <v>1771.38331528816</v>
          </cell>
          <cell r="J193">
            <v>63.327943020660086</v>
          </cell>
          <cell r="K193">
            <v>46260.877750309839</v>
          </cell>
          <cell r="M193">
            <v>20357.51495182751</v>
          </cell>
          <cell r="N193">
            <v>0.439346565686978</v>
          </cell>
        </row>
        <row r="194">
          <cell r="A194">
            <v>2027</v>
          </cell>
          <cell r="B194" t="str">
            <v>Cobalt</v>
          </cell>
          <cell r="C194" t="str">
            <v>Global Net-zero</v>
          </cell>
          <cell r="D194" t="str">
            <v>Production potential</v>
          </cell>
          <cell r="E194" t="str">
            <v>Current shares</v>
          </cell>
          <cell r="F194" t="str">
            <v>Expansion Extractive</v>
          </cell>
          <cell r="G194">
            <v>22192.22621013633</v>
          </cell>
          <cell r="H194">
            <v>5307</v>
          </cell>
          <cell r="I194">
            <v>2251.1329631787039</v>
          </cell>
          <cell r="J194">
            <v>80.479260922088542</v>
          </cell>
          <cell r="K194">
            <v>45129.877750309839</v>
          </cell>
          <cell r="M194">
            <v>19860.61398603554</v>
          </cell>
          <cell r="N194">
            <v>0.439346565686978</v>
          </cell>
        </row>
        <row r="195">
          <cell r="A195">
            <v>2027</v>
          </cell>
          <cell r="B195" t="str">
            <v>Cobalt</v>
          </cell>
          <cell r="C195" t="str">
            <v>Global Net-zero</v>
          </cell>
          <cell r="D195" t="str">
            <v>Production potential</v>
          </cell>
          <cell r="E195" t="str">
            <v>Current shares</v>
          </cell>
          <cell r="F195" t="str">
            <v>Expansion Extractive+Circularity</v>
          </cell>
          <cell r="G195">
            <v>22192.22621013633</v>
          </cell>
          <cell r="H195">
            <v>5307</v>
          </cell>
          <cell r="I195">
            <v>2251.1329631787039</v>
          </cell>
          <cell r="J195">
            <v>80.479260922088542</v>
          </cell>
          <cell r="K195">
            <v>45129.877750309839</v>
          </cell>
          <cell r="M195">
            <v>19860.61398603554</v>
          </cell>
          <cell r="N195">
            <v>0.439346565686978</v>
          </cell>
        </row>
        <row r="196">
          <cell r="A196">
            <v>2027</v>
          </cell>
          <cell r="B196" t="str">
            <v>Cobalt</v>
          </cell>
          <cell r="C196" t="str">
            <v>Global Net-zero</v>
          </cell>
          <cell r="D196" t="str">
            <v>Production potential</v>
          </cell>
          <cell r="E196" t="str">
            <v>100% CAN</v>
          </cell>
          <cell r="F196" t="str">
            <v>Integrated</v>
          </cell>
          <cell r="G196">
            <v>22192.22621013633</v>
          </cell>
          <cell r="H196">
            <v>5307</v>
          </cell>
          <cell r="I196">
            <v>2331.6122241007938</v>
          </cell>
          <cell r="J196">
            <v>0</v>
          </cell>
          <cell r="K196">
            <v>45129.877750309839</v>
          </cell>
          <cell r="M196">
            <v>19860.61398603554</v>
          </cell>
          <cell r="N196">
            <v>0.439346565686978</v>
          </cell>
        </row>
        <row r="197">
          <cell r="A197">
            <v>2027</v>
          </cell>
          <cell r="B197" t="str">
            <v>Copper</v>
          </cell>
          <cell r="C197" t="str">
            <v>Canada Net-zero</v>
          </cell>
          <cell r="D197" t="str">
            <v>Existing production</v>
          </cell>
          <cell r="E197" t="str">
            <v>Current shares</v>
          </cell>
          <cell r="F197" t="str">
            <v>NIMBY</v>
          </cell>
          <cell r="G197">
            <v>879225.45381998783</v>
          </cell>
          <cell r="H197">
            <v>0</v>
          </cell>
          <cell r="I197">
            <v>0</v>
          </cell>
          <cell r="J197">
            <v>0</v>
          </cell>
          <cell r="K197">
            <v>1059307.775686732</v>
          </cell>
          <cell r="M197">
            <v>879225.45381998783</v>
          </cell>
          <cell r="N197">
            <v>0.83474576271186396</v>
          </cell>
        </row>
        <row r="198">
          <cell r="A198">
            <v>2027</v>
          </cell>
          <cell r="B198" t="str">
            <v>Copper</v>
          </cell>
          <cell r="C198" t="str">
            <v>Canada Net-zero</v>
          </cell>
          <cell r="D198" t="str">
            <v>Existing production</v>
          </cell>
          <cell r="E198" t="str">
            <v>Current shares</v>
          </cell>
          <cell r="F198" t="str">
            <v>Status Quo</v>
          </cell>
          <cell r="G198">
            <v>879225.45381998783</v>
          </cell>
          <cell r="H198">
            <v>494964</v>
          </cell>
          <cell r="I198">
            <v>260157.37839094709</v>
          </cell>
          <cell r="J198">
            <v>153011.72330396794</v>
          </cell>
          <cell r="K198">
            <v>564343.77568673226</v>
          </cell>
          <cell r="M198">
            <v>466056.35212507274</v>
          </cell>
          <cell r="N198">
            <v>0.83474576271186396</v>
          </cell>
        </row>
        <row r="199">
          <cell r="A199">
            <v>2027</v>
          </cell>
          <cell r="B199" t="str">
            <v>Copper</v>
          </cell>
          <cell r="C199" t="str">
            <v>Canada Net-zero</v>
          </cell>
          <cell r="D199" t="str">
            <v>Production potential</v>
          </cell>
          <cell r="E199" t="str">
            <v>Current shares</v>
          </cell>
          <cell r="F199" t="str">
            <v>Expansion Extractive</v>
          </cell>
          <cell r="G199">
            <v>879225.45381998783</v>
          </cell>
          <cell r="H199">
            <v>590861.05072993715</v>
          </cell>
          <cell r="I199">
            <v>310561.70135852479</v>
          </cell>
          <cell r="J199">
            <v>182657.05708976992</v>
          </cell>
          <cell r="K199">
            <v>468446.72495679511</v>
          </cell>
          <cell r="M199">
            <v>386006.69537169306</v>
          </cell>
          <cell r="N199">
            <v>0.83474576271186396</v>
          </cell>
        </row>
        <row r="200">
          <cell r="A200">
            <v>2027</v>
          </cell>
          <cell r="B200" t="str">
            <v>Copper</v>
          </cell>
          <cell r="C200" t="str">
            <v>Canada Net-zero</v>
          </cell>
          <cell r="D200" t="str">
            <v>Production potential</v>
          </cell>
          <cell r="E200" t="str">
            <v>Current shares</v>
          </cell>
          <cell r="F200" t="str">
            <v>Expansion Extractive+Circularity</v>
          </cell>
          <cell r="G200">
            <v>879225.45381998783</v>
          </cell>
          <cell r="H200">
            <v>590861.05072993715</v>
          </cell>
          <cell r="I200">
            <v>310561.70135852479</v>
          </cell>
          <cell r="J200">
            <v>182657.05708976992</v>
          </cell>
          <cell r="K200">
            <v>468446.72495679511</v>
          </cell>
          <cell r="M200">
            <v>386006.69537169306</v>
          </cell>
          <cell r="N200">
            <v>0.83474576271186396</v>
          </cell>
        </row>
        <row r="201">
          <cell r="A201">
            <v>2027</v>
          </cell>
          <cell r="B201" t="str">
            <v>Copper</v>
          </cell>
          <cell r="C201" t="str">
            <v>Canada Net-zero</v>
          </cell>
          <cell r="D201" t="str">
            <v>Production potential</v>
          </cell>
          <cell r="E201" t="str">
            <v>100% CAN</v>
          </cell>
          <cell r="F201" t="str">
            <v>Integrated</v>
          </cell>
          <cell r="G201">
            <v>879225.45381998783</v>
          </cell>
          <cell r="H201">
            <v>590861.05072993715</v>
          </cell>
          <cell r="I201">
            <v>493218.758448295</v>
          </cell>
          <cell r="J201">
            <v>0</v>
          </cell>
          <cell r="K201">
            <v>468446.72495679511</v>
          </cell>
          <cell r="M201">
            <v>386006.69537169283</v>
          </cell>
          <cell r="N201">
            <v>0.83474576271186396</v>
          </cell>
        </row>
        <row r="202">
          <cell r="A202">
            <v>2027</v>
          </cell>
          <cell r="B202" t="str">
            <v>Copper</v>
          </cell>
          <cell r="C202" t="str">
            <v>Current Measures</v>
          </cell>
          <cell r="D202" t="str">
            <v>Existing production</v>
          </cell>
          <cell r="E202" t="str">
            <v>Current shares</v>
          </cell>
          <cell r="F202" t="str">
            <v>NIMBY</v>
          </cell>
          <cell r="G202">
            <v>866407.3331157451</v>
          </cell>
          <cell r="H202">
            <v>0</v>
          </cell>
          <cell r="I202">
            <v>0</v>
          </cell>
          <cell r="J202">
            <v>0</v>
          </cell>
          <cell r="K202">
            <v>1043864.256765958</v>
          </cell>
          <cell r="M202">
            <v>866407.3331157451</v>
          </cell>
          <cell r="N202">
            <v>0.83474576271186396</v>
          </cell>
        </row>
        <row r="203">
          <cell r="A203">
            <v>2027</v>
          </cell>
          <cell r="B203" t="str">
            <v>Copper</v>
          </cell>
          <cell r="C203" t="str">
            <v>Current Measures</v>
          </cell>
          <cell r="D203" t="str">
            <v>Existing production</v>
          </cell>
          <cell r="E203" t="str">
            <v>Current shares</v>
          </cell>
          <cell r="F203" t="str">
            <v>Status Quo</v>
          </cell>
          <cell r="G203">
            <v>866407.3331157451</v>
          </cell>
          <cell r="H203">
            <v>494964</v>
          </cell>
          <cell r="I203">
            <v>260157.37839094709</v>
          </cell>
          <cell r="J203">
            <v>153011.72330396794</v>
          </cell>
          <cell r="K203">
            <v>548900.25676595804</v>
          </cell>
          <cell r="M203">
            <v>453238.23142083001</v>
          </cell>
          <cell r="N203">
            <v>0.83474576271186396</v>
          </cell>
        </row>
        <row r="204">
          <cell r="A204">
            <v>2027</v>
          </cell>
          <cell r="B204" t="str">
            <v>Copper</v>
          </cell>
          <cell r="C204" t="str">
            <v>Current Measures</v>
          </cell>
          <cell r="D204" t="str">
            <v>Production potential</v>
          </cell>
          <cell r="E204" t="str">
            <v>Current shares</v>
          </cell>
          <cell r="F204" t="str">
            <v>Expansion Extractive</v>
          </cell>
          <cell r="G204">
            <v>866407.3331157451</v>
          </cell>
          <cell r="H204">
            <v>590861.05072993715</v>
          </cell>
          <cell r="I204">
            <v>310561.70135852479</v>
          </cell>
          <cell r="J204">
            <v>182657.05708976992</v>
          </cell>
          <cell r="K204">
            <v>453003.20603602089</v>
          </cell>
          <cell r="M204">
            <v>373188.57466745033</v>
          </cell>
          <cell r="N204">
            <v>0.83474576271186396</v>
          </cell>
        </row>
        <row r="205">
          <cell r="A205">
            <v>2027</v>
          </cell>
          <cell r="B205" t="str">
            <v>Copper</v>
          </cell>
          <cell r="C205" t="str">
            <v>Current Measures</v>
          </cell>
          <cell r="D205" t="str">
            <v>Production potential</v>
          </cell>
          <cell r="E205" t="str">
            <v>Current shares</v>
          </cell>
          <cell r="F205" t="str">
            <v>Expansion Extractive+Circularity</v>
          </cell>
          <cell r="G205">
            <v>866407.3331157451</v>
          </cell>
          <cell r="H205">
            <v>590861.05072993715</v>
          </cell>
          <cell r="I205">
            <v>310561.70135852479</v>
          </cell>
          <cell r="J205">
            <v>182657.05708976992</v>
          </cell>
          <cell r="K205">
            <v>453003.20603602089</v>
          </cell>
          <cell r="M205">
            <v>373188.57466745033</v>
          </cell>
          <cell r="N205">
            <v>0.83474576271186396</v>
          </cell>
        </row>
        <row r="206">
          <cell r="A206">
            <v>2027</v>
          </cell>
          <cell r="B206" t="str">
            <v>Copper</v>
          </cell>
          <cell r="C206" t="str">
            <v>Current Measures</v>
          </cell>
          <cell r="D206" t="str">
            <v>Production potential</v>
          </cell>
          <cell r="E206" t="str">
            <v>100% CAN</v>
          </cell>
          <cell r="F206" t="str">
            <v>Integrated</v>
          </cell>
          <cell r="G206">
            <v>866407.3331157451</v>
          </cell>
          <cell r="H206">
            <v>590861.05072993715</v>
          </cell>
          <cell r="I206">
            <v>493218.758448295</v>
          </cell>
          <cell r="J206">
            <v>0</v>
          </cell>
          <cell r="K206">
            <v>453003.20603602089</v>
          </cell>
          <cell r="M206">
            <v>373188.5746674501</v>
          </cell>
          <cell r="N206">
            <v>0.83474576271186396</v>
          </cell>
        </row>
        <row r="207">
          <cell r="A207">
            <v>2027</v>
          </cell>
          <cell r="B207" t="str">
            <v>Copper</v>
          </cell>
          <cell r="C207" t="str">
            <v>Global Net-zero</v>
          </cell>
          <cell r="D207" t="str">
            <v>Existing production</v>
          </cell>
          <cell r="E207" t="str">
            <v>Current shares</v>
          </cell>
          <cell r="F207" t="str">
            <v>NIMBY</v>
          </cell>
          <cell r="G207">
            <v>866145.78883753635</v>
          </cell>
          <cell r="H207">
            <v>0</v>
          </cell>
          <cell r="I207">
            <v>0</v>
          </cell>
          <cell r="J207">
            <v>0</v>
          </cell>
          <cell r="K207">
            <v>1043549.1431777549</v>
          </cell>
          <cell r="M207">
            <v>866145.78883753635</v>
          </cell>
          <cell r="N207">
            <v>0.83474576271186396</v>
          </cell>
        </row>
        <row r="208">
          <cell r="A208">
            <v>2027</v>
          </cell>
          <cell r="B208" t="str">
            <v>Copper</v>
          </cell>
          <cell r="C208" t="str">
            <v>Global Net-zero</v>
          </cell>
          <cell r="D208" t="str">
            <v>Existing production</v>
          </cell>
          <cell r="E208" t="str">
            <v>Current shares</v>
          </cell>
          <cell r="F208" t="str">
            <v>Status Quo</v>
          </cell>
          <cell r="G208">
            <v>866145.78883753635</v>
          </cell>
          <cell r="H208">
            <v>494964</v>
          </cell>
          <cell r="I208">
            <v>260157.37839094709</v>
          </cell>
          <cell r="J208">
            <v>153011.72330396794</v>
          </cell>
          <cell r="K208">
            <v>548585.14317775471</v>
          </cell>
          <cell r="M208">
            <v>452976.68714262126</v>
          </cell>
          <cell r="N208">
            <v>0.83474576271186396</v>
          </cell>
        </row>
        <row r="209">
          <cell r="A209">
            <v>2027</v>
          </cell>
          <cell r="B209" t="str">
            <v>Copper</v>
          </cell>
          <cell r="C209" t="str">
            <v>Global Net-zero</v>
          </cell>
          <cell r="D209" t="str">
            <v>Production potential</v>
          </cell>
          <cell r="E209" t="str">
            <v>Current shares</v>
          </cell>
          <cell r="F209" t="str">
            <v>Expansion Extractive</v>
          </cell>
          <cell r="G209">
            <v>866145.78883753635</v>
          </cell>
          <cell r="H209">
            <v>590861.05072993715</v>
          </cell>
          <cell r="I209">
            <v>310561.70135852479</v>
          </cell>
          <cell r="J209">
            <v>182657.05708976992</v>
          </cell>
          <cell r="K209">
            <v>452688.09244781762</v>
          </cell>
          <cell r="M209">
            <v>372927.0303892417</v>
          </cell>
          <cell r="N209">
            <v>0.83474576271186396</v>
          </cell>
        </row>
        <row r="210">
          <cell r="A210">
            <v>2027</v>
          </cell>
          <cell r="B210" t="str">
            <v>Copper</v>
          </cell>
          <cell r="C210" t="str">
            <v>Global Net-zero</v>
          </cell>
          <cell r="D210" t="str">
            <v>Production potential</v>
          </cell>
          <cell r="E210" t="str">
            <v>Current shares</v>
          </cell>
          <cell r="F210" t="str">
            <v>Expansion Extractive+Circularity</v>
          </cell>
          <cell r="G210">
            <v>866145.78883753635</v>
          </cell>
          <cell r="H210">
            <v>590861.05072993715</v>
          </cell>
          <cell r="I210">
            <v>310561.70135852479</v>
          </cell>
          <cell r="J210">
            <v>182657.05708976992</v>
          </cell>
          <cell r="K210">
            <v>452688.09244781762</v>
          </cell>
          <cell r="M210">
            <v>372927.0303892417</v>
          </cell>
          <cell r="N210">
            <v>0.83474576271186396</v>
          </cell>
        </row>
        <row r="211">
          <cell r="A211">
            <v>2027</v>
          </cell>
          <cell r="B211" t="str">
            <v>Copper</v>
          </cell>
          <cell r="C211" t="str">
            <v>Global Net-zero</v>
          </cell>
          <cell r="D211" t="str">
            <v>Production potential</v>
          </cell>
          <cell r="E211" t="str">
            <v>100% CAN</v>
          </cell>
          <cell r="F211" t="str">
            <v>Integrated</v>
          </cell>
          <cell r="G211">
            <v>866145.78883753635</v>
          </cell>
          <cell r="H211">
            <v>590861.05072993715</v>
          </cell>
          <cell r="I211">
            <v>493218.758448295</v>
          </cell>
          <cell r="J211">
            <v>0</v>
          </cell>
          <cell r="K211">
            <v>452688.09244781762</v>
          </cell>
          <cell r="M211">
            <v>372927.03038924141</v>
          </cell>
          <cell r="N211">
            <v>0.83474576271186396</v>
          </cell>
        </row>
        <row r="212">
          <cell r="A212">
            <v>2027</v>
          </cell>
          <cell r="B212" t="str">
            <v>Neodymium</v>
          </cell>
          <cell r="C212" t="str">
            <v>Canada Net-zero</v>
          </cell>
          <cell r="D212" t="str">
            <v>Existing production</v>
          </cell>
          <cell r="E212" t="str">
            <v>Current shares</v>
          </cell>
          <cell r="F212" t="str">
            <v>NIMBY</v>
          </cell>
          <cell r="G212">
            <v>886.00915439887626</v>
          </cell>
          <cell r="H212">
            <v>0</v>
          </cell>
          <cell r="I212">
            <v>0</v>
          </cell>
          <cell r="J212">
            <v>0</v>
          </cell>
          <cell r="K212">
            <v>1476.6819239981271</v>
          </cell>
          <cell r="M212">
            <v>886.00915439887626</v>
          </cell>
          <cell r="N212">
            <v>1</v>
          </cell>
        </row>
        <row r="213">
          <cell r="A213">
            <v>2027</v>
          </cell>
          <cell r="B213" t="str">
            <v>Neodymium</v>
          </cell>
          <cell r="C213" t="str">
            <v>Canada Net-zero</v>
          </cell>
          <cell r="D213" t="str">
            <v>Existing production</v>
          </cell>
          <cell r="E213" t="str">
            <v>Current shares</v>
          </cell>
          <cell r="F213" t="str">
            <v>Status Quo</v>
          </cell>
          <cell r="G213">
            <v>886.00915439887626</v>
          </cell>
          <cell r="H213">
            <v>0</v>
          </cell>
          <cell r="I213">
            <v>0</v>
          </cell>
          <cell r="J213">
            <v>0</v>
          </cell>
          <cell r="K213">
            <v>1476.6819239981271</v>
          </cell>
          <cell r="M213">
            <v>886.00915439887626</v>
          </cell>
          <cell r="N213">
            <v>1</v>
          </cell>
        </row>
        <row r="214">
          <cell r="A214">
            <v>2027</v>
          </cell>
          <cell r="B214" t="str">
            <v>Neodymium</v>
          </cell>
          <cell r="C214" t="str">
            <v>Canada Net-zero</v>
          </cell>
          <cell r="D214" t="str">
            <v>Production potential</v>
          </cell>
          <cell r="E214" t="str">
            <v>Current shares</v>
          </cell>
          <cell r="F214" t="str">
            <v>Expansion Extractive</v>
          </cell>
          <cell r="G214">
            <v>886.00915439887626</v>
          </cell>
          <cell r="H214">
            <v>5.395337211526285</v>
          </cell>
          <cell r="I214">
            <v>3.229346251882661</v>
          </cell>
          <cell r="J214">
            <v>2.165990959643624</v>
          </cell>
          <cell r="K214">
            <v>1471.286586786601</v>
          </cell>
          <cell r="M214">
            <v>880.61381718734992</v>
          </cell>
          <cell r="N214">
            <v>1</v>
          </cell>
        </row>
        <row r="215">
          <cell r="A215">
            <v>2027</v>
          </cell>
          <cell r="B215" t="str">
            <v>Neodymium</v>
          </cell>
          <cell r="C215" t="str">
            <v>Canada Net-zero</v>
          </cell>
          <cell r="D215" t="str">
            <v>Production potential</v>
          </cell>
          <cell r="E215" t="str">
            <v>Current shares</v>
          </cell>
          <cell r="F215" t="str">
            <v>Expansion Extractive+Circularity</v>
          </cell>
          <cell r="G215">
            <v>886.00915439887626</v>
          </cell>
          <cell r="H215">
            <v>5.395337211526285</v>
          </cell>
          <cell r="I215">
            <v>3.229346251882661</v>
          </cell>
          <cell r="J215">
            <v>2.165990959643624</v>
          </cell>
          <cell r="K215">
            <v>1471.286586786601</v>
          </cell>
          <cell r="M215">
            <v>880.61381718734992</v>
          </cell>
          <cell r="N215">
            <v>1</v>
          </cell>
        </row>
        <row r="216">
          <cell r="A216">
            <v>2027</v>
          </cell>
          <cell r="B216" t="str">
            <v>Neodymium</v>
          </cell>
          <cell r="C216" t="str">
            <v>Canada Net-zero</v>
          </cell>
          <cell r="D216" t="str">
            <v>Production potential</v>
          </cell>
          <cell r="E216" t="str">
            <v>100% CAN</v>
          </cell>
          <cell r="F216" t="str">
            <v>Integrated</v>
          </cell>
          <cell r="G216">
            <v>886.00915439887626</v>
          </cell>
          <cell r="H216">
            <v>5.395337211526285</v>
          </cell>
          <cell r="I216">
            <v>3.229346251882661</v>
          </cell>
          <cell r="J216">
            <v>2.165990959643624</v>
          </cell>
          <cell r="K216">
            <v>1471.286586786601</v>
          </cell>
          <cell r="M216">
            <v>880.61381718734992</v>
          </cell>
          <cell r="N216">
            <v>1</v>
          </cell>
        </row>
        <row r="217">
          <cell r="A217">
            <v>2027</v>
          </cell>
          <cell r="B217" t="str">
            <v>Neodymium</v>
          </cell>
          <cell r="C217" t="str">
            <v>Current Measures</v>
          </cell>
          <cell r="D217" t="str">
            <v>Existing production</v>
          </cell>
          <cell r="E217" t="str">
            <v>Current shares</v>
          </cell>
          <cell r="F217" t="str">
            <v>NIMBY</v>
          </cell>
          <cell r="G217">
            <v>501.99193842105927</v>
          </cell>
          <cell r="H217">
            <v>0</v>
          </cell>
          <cell r="I217">
            <v>0</v>
          </cell>
          <cell r="J217">
            <v>0</v>
          </cell>
          <cell r="K217">
            <v>836.65323070176544</v>
          </cell>
          <cell r="M217">
            <v>501.99193842105927</v>
          </cell>
          <cell r="N217">
            <v>1</v>
          </cell>
        </row>
        <row r="218">
          <cell r="A218">
            <v>2027</v>
          </cell>
          <cell r="B218" t="str">
            <v>Neodymium</v>
          </cell>
          <cell r="C218" t="str">
            <v>Current Measures</v>
          </cell>
          <cell r="D218" t="str">
            <v>Existing production</v>
          </cell>
          <cell r="E218" t="str">
            <v>Current shares</v>
          </cell>
          <cell r="F218" t="str">
            <v>Status Quo</v>
          </cell>
          <cell r="G218">
            <v>501.99193842105927</v>
          </cell>
          <cell r="H218">
            <v>0</v>
          </cell>
          <cell r="I218">
            <v>0</v>
          </cell>
          <cell r="J218">
            <v>0</v>
          </cell>
          <cell r="K218">
            <v>836.65323070176544</v>
          </cell>
          <cell r="M218">
            <v>501.99193842105927</v>
          </cell>
          <cell r="N218">
            <v>1</v>
          </cell>
        </row>
        <row r="219">
          <cell r="A219">
            <v>2027</v>
          </cell>
          <cell r="B219" t="str">
            <v>Neodymium</v>
          </cell>
          <cell r="C219" t="str">
            <v>Current Measures</v>
          </cell>
          <cell r="D219" t="str">
            <v>Production potential</v>
          </cell>
          <cell r="E219" t="str">
            <v>Current shares</v>
          </cell>
          <cell r="F219" t="str">
            <v>Expansion Extractive</v>
          </cell>
          <cell r="G219">
            <v>501.99193842105927</v>
          </cell>
          <cell r="H219">
            <v>5.395337211526285</v>
          </cell>
          <cell r="I219">
            <v>3.229346251882661</v>
          </cell>
          <cell r="J219">
            <v>2.165990959643624</v>
          </cell>
          <cell r="K219">
            <v>831.2578934902391</v>
          </cell>
          <cell r="M219">
            <v>496.59660120953299</v>
          </cell>
          <cell r="N219">
            <v>1</v>
          </cell>
        </row>
        <row r="220">
          <cell r="A220">
            <v>2027</v>
          </cell>
          <cell r="B220" t="str">
            <v>Neodymium</v>
          </cell>
          <cell r="C220" t="str">
            <v>Current Measures</v>
          </cell>
          <cell r="D220" t="str">
            <v>Production potential</v>
          </cell>
          <cell r="E220" t="str">
            <v>Current shares</v>
          </cell>
          <cell r="F220" t="str">
            <v>Expansion Extractive+Circularity</v>
          </cell>
          <cell r="G220">
            <v>501.99193842105927</v>
          </cell>
          <cell r="H220">
            <v>5.395337211526285</v>
          </cell>
          <cell r="I220">
            <v>3.229346251882661</v>
          </cell>
          <cell r="J220">
            <v>2.165990959643624</v>
          </cell>
          <cell r="K220">
            <v>831.2578934902391</v>
          </cell>
          <cell r="M220">
            <v>496.59660120953299</v>
          </cell>
          <cell r="N220">
            <v>1</v>
          </cell>
        </row>
        <row r="221">
          <cell r="A221">
            <v>2027</v>
          </cell>
          <cell r="B221" t="str">
            <v>Neodymium</v>
          </cell>
          <cell r="C221" t="str">
            <v>Current Measures</v>
          </cell>
          <cell r="D221" t="str">
            <v>Production potential</v>
          </cell>
          <cell r="E221" t="str">
            <v>100% CAN</v>
          </cell>
          <cell r="F221" t="str">
            <v>Integrated</v>
          </cell>
          <cell r="G221">
            <v>501.99193842105927</v>
          </cell>
          <cell r="H221">
            <v>5.395337211526285</v>
          </cell>
          <cell r="I221">
            <v>3.229346251882661</v>
          </cell>
          <cell r="J221">
            <v>2.165990959643624</v>
          </cell>
          <cell r="K221">
            <v>831.2578934902391</v>
          </cell>
          <cell r="M221">
            <v>496.59660120953299</v>
          </cell>
          <cell r="N221">
            <v>1</v>
          </cell>
        </row>
        <row r="222">
          <cell r="A222">
            <v>2027</v>
          </cell>
          <cell r="B222" t="str">
            <v>Neodymium</v>
          </cell>
          <cell r="C222" t="str">
            <v>Global Net-zero</v>
          </cell>
          <cell r="D222" t="str">
            <v>Existing production</v>
          </cell>
          <cell r="E222" t="str">
            <v>Current shares</v>
          </cell>
          <cell r="F222" t="str">
            <v>NIMBY</v>
          </cell>
          <cell r="G222">
            <v>868.10490581569559</v>
          </cell>
          <cell r="H222">
            <v>0</v>
          </cell>
          <cell r="I222">
            <v>0</v>
          </cell>
          <cell r="J222">
            <v>0</v>
          </cell>
          <cell r="K222">
            <v>1446.8415096928261</v>
          </cell>
          <cell r="M222">
            <v>868.10490581569559</v>
          </cell>
          <cell r="N222">
            <v>1</v>
          </cell>
        </row>
        <row r="223">
          <cell r="A223">
            <v>2027</v>
          </cell>
          <cell r="B223" t="str">
            <v>Neodymium</v>
          </cell>
          <cell r="C223" t="str">
            <v>Global Net-zero</v>
          </cell>
          <cell r="D223" t="str">
            <v>Existing production</v>
          </cell>
          <cell r="E223" t="str">
            <v>Current shares</v>
          </cell>
          <cell r="F223" t="str">
            <v>Status Quo</v>
          </cell>
          <cell r="G223">
            <v>868.10490581569559</v>
          </cell>
          <cell r="H223">
            <v>0</v>
          </cell>
          <cell r="I223">
            <v>0</v>
          </cell>
          <cell r="J223">
            <v>0</v>
          </cell>
          <cell r="K223">
            <v>1446.8415096928261</v>
          </cell>
          <cell r="M223">
            <v>868.10490581569559</v>
          </cell>
          <cell r="N223">
            <v>1</v>
          </cell>
        </row>
        <row r="224">
          <cell r="A224">
            <v>2027</v>
          </cell>
          <cell r="B224" t="str">
            <v>Neodymium</v>
          </cell>
          <cell r="C224" t="str">
            <v>Global Net-zero</v>
          </cell>
          <cell r="D224" t="str">
            <v>Production potential</v>
          </cell>
          <cell r="E224" t="str">
            <v>Current shares</v>
          </cell>
          <cell r="F224" t="str">
            <v>Expansion Extractive</v>
          </cell>
          <cell r="G224">
            <v>868.10490581569559</v>
          </cell>
          <cell r="H224">
            <v>5.395337211526285</v>
          </cell>
          <cell r="I224">
            <v>3.229346251882661</v>
          </cell>
          <cell r="J224">
            <v>2.165990959643624</v>
          </cell>
          <cell r="K224">
            <v>1441.4461724813</v>
          </cell>
          <cell r="M224">
            <v>862.70956860416925</v>
          </cell>
          <cell r="N224">
            <v>1</v>
          </cell>
        </row>
        <row r="225">
          <cell r="A225">
            <v>2027</v>
          </cell>
          <cell r="B225" t="str">
            <v>Neodymium</v>
          </cell>
          <cell r="C225" t="str">
            <v>Global Net-zero</v>
          </cell>
          <cell r="D225" t="str">
            <v>Production potential</v>
          </cell>
          <cell r="E225" t="str">
            <v>Current shares</v>
          </cell>
          <cell r="F225" t="str">
            <v>Expansion Extractive+Circularity</v>
          </cell>
          <cell r="G225">
            <v>868.10490581569559</v>
          </cell>
          <cell r="H225">
            <v>5.395337211526285</v>
          </cell>
          <cell r="I225">
            <v>3.229346251882661</v>
          </cell>
          <cell r="J225">
            <v>2.165990959643624</v>
          </cell>
          <cell r="K225">
            <v>1441.4461724813</v>
          </cell>
          <cell r="M225">
            <v>862.70956860416925</v>
          </cell>
          <cell r="N225">
            <v>1</v>
          </cell>
        </row>
        <row r="226">
          <cell r="A226">
            <v>2027</v>
          </cell>
          <cell r="B226" t="str">
            <v>Neodymium</v>
          </cell>
          <cell r="C226" t="str">
            <v>Global Net-zero</v>
          </cell>
          <cell r="D226" t="str">
            <v>Production potential</v>
          </cell>
          <cell r="E226" t="str">
            <v>100% CAN</v>
          </cell>
          <cell r="F226" t="str">
            <v>Integrated</v>
          </cell>
          <cell r="G226">
            <v>868.10490581569559</v>
          </cell>
          <cell r="H226">
            <v>5.395337211526285</v>
          </cell>
          <cell r="I226">
            <v>3.229346251882661</v>
          </cell>
          <cell r="J226">
            <v>2.165990959643624</v>
          </cell>
          <cell r="K226">
            <v>1441.4461724813</v>
          </cell>
          <cell r="M226">
            <v>862.70956860416925</v>
          </cell>
          <cell r="N226">
            <v>1</v>
          </cell>
        </row>
        <row r="227">
          <cell r="A227">
            <v>2027</v>
          </cell>
          <cell r="B227" t="str">
            <v>Nickel</v>
          </cell>
          <cell r="C227" t="str">
            <v>Canada Net-zero</v>
          </cell>
          <cell r="D227" t="str">
            <v>Existing production</v>
          </cell>
          <cell r="E227" t="str">
            <v>Current shares</v>
          </cell>
          <cell r="F227" t="str">
            <v>NIMBY</v>
          </cell>
          <cell r="G227">
            <v>40022.174830153243</v>
          </cell>
          <cell r="H227">
            <v>0</v>
          </cell>
          <cell r="I227">
            <v>0</v>
          </cell>
          <cell r="J227">
            <v>0</v>
          </cell>
          <cell r="K227">
            <v>50660.980797662327</v>
          </cell>
          <cell r="M227">
            <v>40022.174830153243</v>
          </cell>
          <cell r="N227">
            <v>0.69917047091553897</v>
          </cell>
        </row>
        <row r="228">
          <cell r="A228">
            <v>2027</v>
          </cell>
          <cell r="B228" t="str">
            <v>Nickel</v>
          </cell>
          <cell r="C228" t="str">
            <v>Canada Net-zero</v>
          </cell>
          <cell r="D228" t="str">
            <v>Existing production</v>
          </cell>
          <cell r="E228" t="str">
            <v>Current shares</v>
          </cell>
          <cell r="F228" t="str">
            <v>Status Quo</v>
          </cell>
          <cell r="G228">
            <v>40022.174830153243</v>
          </cell>
          <cell r="H228">
            <v>158544</v>
          </cell>
          <cell r="I228">
            <v>88924.165519559378</v>
          </cell>
          <cell r="J228">
            <v>21925.117621273836</v>
          </cell>
          <cell r="K228">
            <v>0</v>
          </cell>
          <cell r="M228">
            <v>0</v>
          </cell>
          <cell r="N228">
            <v>0.69917047091553897</v>
          </cell>
        </row>
        <row r="229">
          <cell r="A229">
            <v>2027</v>
          </cell>
          <cell r="B229" t="str">
            <v>Nickel</v>
          </cell>
          <cell r="C229" t="str">
            <v>Canada Net-zero</v>
          </cell>
          <cell r="D229" t="str">
            <v>Production potential</v>
          </cell>
          <cell r="E229" t="str">
            <v>Current shares</v>
          </cell>
          <cell r="F229" t="str">
            <v>Expansion Extractive</v>
          </cell>
          <cell r="G229">
            <v>40022.174830153243</v>
          </cell>
          <cell r="H229">
            <v>215854</v>
          </cell>
          <cell r="I229">
            <v>121068.2007774433</v>
          </cell>
          <cell r="J229">
            <v>29850.54205155946</v>
          </cell>
          <cell r="K229">
            <v>0</v>
          </cell>
          <cell r="M229">
            <v>0</v>
          </cell>
          <cell r="N229">
            <v>0.69917047091553897</v>
          </cell>
        </row>
        <row r="230">
          <cell r="A230">
            <v>2027</v>
          </cell>
          <cell r="B230" t="str">
            <v>Nickel</v>
          </cell>
          <cell r="C230" t="str">
            <v>Canada Net-zero</v>
          </cell>
          <cell r="D230" t="str">
            <v>Production potential</v>
          </cell>
          <cell r="E230" t="str">
            <v>Current shares</v>
          </cell>
          <cell r="F230" t="str">
            <v>Expansion Extractive+Circularity</v>
          </cell>
          <cell r="G230">
            <v>40022.174830153243</v>
          </cell>
          <cell r="H230">
            <v>215854</v>
          </cell>
          <cell r="I230">
            <v>121068.2007774433</v>
          </cell>
          <cell r="J230">
            <v>29850.54205155946</v>
          </cell>
          <cell r="K230">
            <v>0</v>
          </cell>
          <cell r="M230">
            <v>0</v>
          </cell>
          <cell r="N230">
            <v>0.69917047091553897</v>
          </cell>
        </row>
        <row r="231">
          <cell r="A231">
            <v>2027</v>
          </cell>
          <cell r="B231" t="str">
            <v>Nickel</v>
          </cell>
          <cell r="C231" t="str">
            <v>Canada Net-zero</v>
          </cell>
          <cell r="D231" t="str">
            <v>Production potential</v>
          </cell>
          <cell r="E231" t="str">
            <v>100% CAN</v>
          </cell>
          <cell r="F231" t="str">
            <v>Integrated</v>
          </cell>
          <cell r="G231">
            <v>40022.174830153243</v>
          </cell>
          <cell r="H231">
            <v>215854</v>
          </cell>
          <cell r="I231">
            <v>169996.8962916405</v>
          </cell>
          <cell r="J231">
            <v>-19078.15346263774</v>
          </cell>
          <cell r="K231">
            <v>0</v>
          </cell>
          <cell r="M231">
            <v>19078.15346263774</v>
          </cell>
          <cell r="N231">
            <v>0.69917047091553897</v>
          </cell>
        </row>
        <row r="232">
          <cell r="A232">
            <v>2027</v>
          </cell>
          <cell r="B232" t="str">
            <v>Nickel</v>
          </cell>
          <cell r="C232" t="str">
            <v>Current Measures</v>
          </cell>
          <cell r="D232" t="str">
            <v>Existing production</v>
          </cell>
          <cell r="E232" t="str">
            <v>Current shares</v>
          </cell>
          <cell r="F232" t="str">
            <v>NIMBY</v>
          </cell>
          <cell r="G232">
            <v>28526.663384635151</v>
          </cell>
          <cell r="H232">
            <v>0</v>
          </cell>
          <cell r="I232">
            <v>0</v>
          </cell>
          <cell r="J232">
            <v>0</v>
          </cell>
          <cell r="K232">
            <v>36109.700486879927</v>
          </cell>
          <cell r="M232">
            <v>28526.663384635151</v>
          </cell>
          <cell r="N232">
            <v>0.69917047091553897</v>
          </cell>
        </row>
        <row r="233">
          <cell r="A233">
            <v>2027</v>
          </cell>
          <cell r="B233" t="str">
            <v>Nickel</v>
          </cell>
          <cell r="C233" t="str">
            <v>Current Measures</v>
          </cell>
          <cell r="D233" t="str">
            <v>Existing production</v>
          </cell>
          <cell r="E233" t="str">
            <v>Current shares</v>
          </cell>
          <cell r="F233" t="str">
            <v>Status Quo</v>
          </cell>
          <cell r="G233">
            <v>28526.663384635151</v>
          </cell>
          <cell r="H233">
            <v>158544</v>
          </cell>
          <cell r="I233">
            <v>88924.165519559378</v>
          </cell>
          <cell r="J233">
            <v>21925.117621273836</v>
          </cell>
          <cell r="K233">
            <v>0</v>
          </cell>
          <cell r="M233">
            <v>0</v>
          </cell>
          <cell r="N233">
            <v>0.69917047091553897</v>
          </cell>
        </row>
        <row r="234">
          <cell r="A234">
            <v>2027</v>
          </cell>
          <cell r="B234" t="str">
            <v>Nickel</v>
          </cell>
          <cell r="C234" t="str">
            <v>Current Measures</v>
          </cell>
          <cell r="D234" t="str">
            <v>Production potential</v>
          </cell>
          <cell r="E234" t="str">
            <v>Current shares</v>
          </cell>
          <cell r="F234" t="str">
            <v>Expansion Extractive</v>
          </cell>
          <cell r="G234">
            <v>28526.663384635151</v>
          </cell>
          <cell r="H234">
            <v>215854</v>
          </cell>
          <cell r="I234">
            <v>121068.2007774433</v>
          </cell>
          <cell r="J234">
            <v>29850.54205155946</v>
          </cell>
          <cell r="K234">
            <v>0</v>
          </cell>
          <cell r="M234">
            <v>0</v>
          </cell>
          <cell r="N234">
            <v>0.69917047091553897</v>
          </cell>
        </row>
        <row r="235">
          <cell r="A235">
            <v>2027</v>
          </cell>
          <cell r="B235" t="str">
            <v>Nickel</v>
          </cell>
          <cell r="C235" t="str">
            <v>Current Measures</v>
          </cell>
          <cell r="D235" t="str">
            <v>Production potential</v>
          </cell>
          <cell r="E235" t="str">
            <v>Current shares</v>
          </cell>
          <cell r="F235" t="str">
            <v>Expansion Extractive+Circularity</v>
          </cell>
          <cell r="G235">
            <v>28526.663384635151</v>
          </cell>
          <cell r="H235">
            <v>215854</v>
          </cell>
          <cell r="I235">
            <v>121068.2007774433</v>
          </cell>
          <cell r="J235">
            <v>29850.54205155946</v>
          </cell>
          <cell r="K235">
            <v>0</v>
          </cell>
          <cell r="M235">
            <v>0</v>
          </cell>
          <cell r="N235">
            <v>0.69917047091553897</v>
          </cell>
        </row>
        <row r="236">
          <cell r="A236">
            <v>2027</v>
          </cell>
          <cell r="B236" t="str">
            <v>Nickel</v>
          </cell>
          <cell r="C236" t="str">
            <v>Current Measures</v>
          </cell>
          <cell r="D236" t="str">
            <v>Production potential</v>
          </cell>
          <cell r="E236" t="str">
            <v>100% CAN</v>
          </cell>
          <cell r="F236" t="str">
            <v>Integrated</v>
          </cell>
          <cell r="G236">
            <v>28526.663384635151</v>
          </cell>
          <cell r="H236">
            <v>215854</v>
          </cell>
          <cell r="I236">
            <v>169996.8962916405</v>
          </cell>
          <cell r="J236">
            <v>-19078.15346263774</v>
          </cell>
          <cell r="K236">
            <v>0</v>
          </cell>
          <cell r="M236">
            <v>19078.15346263774</v>
          </cell>
          <cell r="N236">
            <v>0.69917047091553897</v>
          </cell>
        </row>
        <row r="237">
          <cell r="A237">
            <v>2027</v>
          </cell>
          <cell r="B237" t="str">
            <v>Nickel</v>
          </cell>
          <cell r="C237" t="str">
            <v>Global Net-zero</v>
          </cell>
          <cell r="D237" t="str">
            <v>Existing production</v>
          </cell>
          <cell r="E237" t="str">
            <v>Current shares</v>
          </cell>
          <cell r="F237" t="str">
            <v>NIMBY</v>
          </cell>
          <cell r="G237">
            <v>38588.959034560583</v>
          </cell>
          <cell r="H237">
            <v>0</v>
          </cell>
          <cell r="I237">
            <v>0</v>
          </cell>
          <cell r="J237">
            <v>0</v>
          </cell>
          <cell r="K237">
            <v>48846.783588051367</v>
          </cell>
          <cell r="M237">
            <v>38588.959034560583</v>
          </cell>
          <cell r="N237">
            <v>0.69917047091553897</v>
          </cell>
        </row>
        <row r="238">
          <cell r="A238">
            <v>2027</v>
          </cell>
          <cell r="B238" t="str">
            <v>Nickel</v>
          </cell>
          <cell r="C238" t="str">
            <v>Global Net-zero</v>
          </cell>
          <cell r="D238" t="str">
            <v>Existing production</v>
          </cell>
          <cell r="E238" t="str">
            <v>Current shares</v>
          </cell>
          <cell r="F238" t="str">
            <v>Status Quo</v>
          </cell>
          <cell r="G238">
            <v>38588.959034560583</v>
          </cell>
          <cell r="H238">
            <v>158544</v>
          </cell>
          <cell r="I238">
            <v>88924.165519559378</v>
          </cell>
          <cell r="J238">
            <v>21925.117621273836</v>
          </cell>
          <cell r="K238">
            <v>0</v>
          </cell>
          <cell r="M238">
            <v>0</v>
          </cell>
          <cell r="N238">
            <v>0.69917047091553897</v>
          </cell>
        </row>
        <row r="239">
          <cell r="A239">
            <v>2027</v>
          </cell>
          <cell r="B239" t="str">
            <v>Nickel</v>
          </cell>
          <cell r="C239" t="str">
            <v>Global Net-zero</v>
          </cell>
          <cell r="D239" t="str">
            <v>Production potential</v>
          </cell>
          <cell r="E239" t="str">
            <v>Current shares</v>
          </cell>
          <cell r="F239" t="str">
            <v>Expansion Extractive</v>
          </cell>
          <cell r="G239">
            <v>38588.959034560583</v>
          </cell>
          <cell r="H239">
            <v>215854</v>
          </cell>
          <cell r="I239">
            <v>121068.2007774433</v>
          </cell>
          <cell r="J239">
            <v>29850.54205155946</v>
          </cell>
          <cell r="K239">
            <v>0</v>
          </cell>
          <cell r="M239">
            <v>0</v>
          </cell>
          <cell r="N239">
            <v>0.69917047091553897</v>
          </cell>
        </row>
        <row r="240">
          <cell r="A240">
            <v>2027</v>
          </cell>
          <cell r="B240" t="str">
            <v>Nickel</v>
          </cell>
          <cell r="C240" t="str">
            <v>Global Net-zero</v>
          </cell>
          <cell r="D240" t="str">
            <v>Production potential</v>
          </cell>
          <cell r="E240" t="str">
            <v>Current shares</v>
          </cell>
          <cell r="F240" t="str">
            <v>Expansion Extractive+Circularity</v>
          </cell>
          <cell r="G240">
            <v>38588.959034560583</v>
          </cell>
          <cell r="H240">
            <v>215854</v>
          </cell>
          <cell r="I240">
            <v>121068.2007774433</v>
          </cell>
          <cell r="J240">
            <v>29850.54205155946</v>
          </cell>
          <cell r="K240">
            <v>0</v>
          </cell>
          <cell r="M240">
            <v>0</v>
          </cell>
          <cell r="N240">
            <v>0.69917047091553897</v>
          </cell>
        </row>
        <row r="241">
          <cell r="A241">
            <v>2027</v>
          </cell>
          <cell r="B241" t="str">
            <v>Nickel</v>
          </cell>
          <cell r="C241" t="str">
            <v>Global Net-zero</v>
          </cell>
          <cell r="D241" t="str">
            <v>Production potential</v>
          </cell>
          <cell r="E241" t="str">
            <v>100% CAN</v>
          </cell>
          <cell r="F241" t="str">
            <v>Integrated</v>
          </cell>
          <cell r="G241">
            <v>38588.959034560583</v>
          </cell>
          <cell r="H241">
            <v>215854</v>
          </cell>
          <cell r="I241">
            <v>169996.8962916405</v>
          </cell>
          <cell r="J241">
            <v>-19078.15346263774</v>
          </cell>
          <cell r="K241">
            <v>0</v>
          </cell>
          <cell r="M241">
            <v>19078.15346263774</v>
          </cell>
          <cell r="N241">
            <v>0.69917047091553897</v>
          </cell>
        </row>
        <row r="242">
          <cell r="A242">
            <v>2027</v>
          </cell>
          <cell r="B242" t="str">
            <v>Graphite</v>
          </cell>
          <cell r="C242" t="str">
            <v>Canada Net-zero</v>
          </cell>
          <cell r="D242" t="str">
            <v>Existing production</v>
          </cell>
          <cell r="E242" t="str">
            <v>Current shares</v>
          </cell>
          <cell r="F242" t="str">
            <v>NIMBY</v>
          </cell>
          <cell r="G242">
            <v>870.72588738825675</v>
          </cell>
          <cell r="H242">
            <v>0</v>
          </cell>
          <cell r="I242">
            <v>0</v>
          </cell>
          <cell r="J242">
            <v>0</v>
          </cell>
          <cell r="K242">
            <v>870.72588738825675</v>
          </cell>
          <cell r="M242">
            <v>870.72588738825675</v>
          </cell>
          <cell r="N242">
            <v>0.59854391398996798</v>
          </cell>
        </row>
        <row r="243">
          <cell r="A243">
            <v>2027</v>
          </cell>
          <cell r="B243" t="str">
            <v>Graphite</v>
          </cell>
          <cell r="C243" t="str">
            <v>Canada Net-zero</v>
          </cell>
          <cell r="D243" t="str">
            <v>Existing production</v>
          </cell>
          <cell r="E243" t="str">
            <v>Current shares</v>
          </cell>
          <cell r="F243" t="str">
            <v>Status Quo</v>
          </cell>
          <cell r="G243">
            <v>870.72588738825675</v>
          </cell>
          <cell r="H243">
            <v>0</v>
          </cell>
          <cell r="I243">
            <v>0</v>
          </cell>
          <cell r="J243">
            <v>0</v>
          </cell>
          <cell r="K243">
            <v>870.72588738825675</v>
          </cell>
          <cell r="M243">
            <v>870.72588738825675</v>
          </cell>
          <cell r="N243">
            <v>0.59854391398996798</v>
          </cell>
        </row>
        <row r="244">
          <cell r="A244">
            <v>2027</v>
          </cell>
          <cell r="B244" t="str">
            <v>Graphite</v>
          </cell>
          <cell r="C244" t="str">
            <v>Canada Net-zero</v>
          </cell>
          <cell r="D244" t="str">
            <v>Production potential</v>
          </cell>
          <cell r="E244" t="str">
            <v>Current shares</v>
          </cell>
          <cell r="F244" t="str">
            <v>Expansion Extractive</v>
          </cell>
          <cell r="G244">
            <v>870.72588738825675</v>
          </cell>
          <cell r="H244">
            <v>99778</v>
          </cell>
          <cell r="I244">
            <v>32926.74</v>
          </cell>
          <cell r="J244">
            <v>26794.774650091029</v>
          </cell>
          <cell r="K244">
            <v>0</v>
          </cell>
          <cell r="M244">
            <v>0</v>
          </cell>
          <cell r="N244">
            <v>0.59854391398996798</v>
          </cell>
        </row>
        <row r="245">
          <cell r="A245">
            <v>2027</v>
          </cell>
          <cell r="B245" t="str">
            <v>Graphite</v>
          </cell>
          <cell r="C245" t="str">
            <v>Canada Net-zero</v>
          </cell>
          <cell r="D245" t="str">
            <v>Production potential</v>
          </cell>
          <cell r="E245" t="str">
            <v>Current shares</v>
          </cell>
          <cell r="F245" t="str">
            <v>Expansion Extractive+Circularity</v>
          </cell>
          <cell r="G245">
            <v>870.72588738825675</v>
          </cell>
          <cell r="H245">
            <v>99778</v>
          </cell>
          <cell r="I245">
            <v>32926.74</v>
          </cell>
          <cell r="J245">
            <v>26794.774650091029</v>
          </cell>
          <cell r="K245">
            <v>0</v>
          </cell>
          <cell r="M245">
            <v>0</v>
          </cell>
          <cell r="N245">
            <v>0.59854391398996798</v>
          </cell>
        </row>
        <row r="246">
          <cell r="A246">
            <v>2027</v>
          </cell>
          <cell r="B246" t="str">
            <v>Graphite</v>
          </cell>
          <cell r="C246" t="str">
            <v>Canada Net-zero</v>
          </cell>
          <cell r="D246" t="str">
            <v>Production potential</v>
          </cell>
          <cell r="E246" t="str">
            <v>100% CAN</v>
          </cell>
          <cell r="F246" t="str">
            <v>Integrated</v>
          </cell>
          <cell r="G246">
            <v>870.72588738825675</v>
          </cell>
          <cell r="H246">
            <v>99778</v>
          </cell>
          <cell r="I246">
            <v>32926.74</v>
          </cell>
          <cell r="J246">
            <v>26794.774650091029</v>
          </cell>
          <cell r="K246">
            <v>0</v>
          </cell>
          <cell r="M246">
            <v>0</v>
          </cell>
          <cell r="N246">
            <v>0.59854391398996798</v>
          </cell>
        </row>
        <row r="247">
          <cell r="A247">
            <v>2027</v>
          </cell>
          <cell r="B247" t="str">
            <v>Graphite</v>
          </cell>
          <cell r="C247" t="str">
            <v>Current Measures</v>
          </cell>
          <cell r="D247" t="str">
            <v>Existing production</v>
          </cell>
          <cell r="E247" t="str">
            <v>Current shares</v>
          </cell>
          <cell r="F247" t="str">
            <v>NIMBY</v>
          </cell>
          <cell r="G247">
            <v>569.42699750073166</v>
          </cell>
          <cell r="H247">
            <v>0</v>
          </cell>
          <cell r="I247">
            <v>0</v>
          </cell>
          <cell r="J247">
            <v>0</v>
          </cell>
          <cell r="K247">
            <v>569.42699750073166</v>
          </cell>
          <cell r="M247">
            <v>569.42699750073166</v>
          </cell>
          <cell r="N247">
            <v>0.59854391398996798</v>
          </cell>
        </row>
        <row r="248">
          <cell r="A248">
            <v>2027</v>
          </cell>
          <cell r="B248" t="str">
            <v>Graphite</v>
          </cell>
          <cell r="C248" t="str">
            <v>Current Measures</v>
          </cell>
          <cell r="D248" t="str">
            <v>Existing production</v>
          </cell>
          <cell r="E248" t="str">
            <v>Current shares</v>
          </cell>
          <cell r="F248" t="str">
            <v>Status Quo</v>
          </cell>
          <cell r="G248">
            <v>569.42699750073166</v>
          </cell>
          <cell r="H248">
            <v>0</v>
          </cell>
          <cell r="I248">
            <v>0</v>
          </cell>
          <cell r="J248">
            <v>0</v>
          </cell>
          <cell r="K248">
            <v>569.42699750073166</v>
          </cell>
          <cell r="M248">
            <v>569.42699750073166</v>
          </cell>
          <cell r="N248">
            <v>0.59854391398996798</v>
          </cell>
        </row>
        <row r="249">
          <cell r="A249">
            <v>2027</v>
          </cell>
          <cell r="B249" t="str">
            <v>Graphite</v>
          </cell>
          <cell r="C249" t="str">
            <v>Current Measures</v>
          </cell>
          <cell r="D249" t="str">
            <v>Production potential</v>
          </cell>
          <cell r="E249" t="str">
            <v>Current shares</v>
          </cell>
          <cell r="F249" t="str">
            <v>Expansion Extractive</v>
          </cell>
          <cell r="G249">
            <v>569.42699750073166</v>
          </cell>
          <cell r="H249">
            <v>99778</v>
          </cell>
          <cell r="I249">
            <v>32926.74</v>
          </cell>
          <cell r="J249">
            <v>26794.774650091029</v>
          </cell>
          <cell r="K249">
            <v>0</v>
          </cell>
          <cell r="M249">
            <v>0</v>
          </cell>
          <cell r="N249">
            <v>0.59854391398996798</v>
          </cell>
        </row>
        <row r="250">
          <cell r="A250">
            <v>2027</v>
          </cell>
          <cell r="B250" t="str">
            <v>Graphite</v>
          </cell>
          <cell r="C250" t="str">
            <v>Current Measures</v>
          </cell>
          <cell r="D250" t="str">
            <v>Production potential</v>
          </cell>
          <cell r="E250" t="str">
            <v>Current shares</v>
          </cell>
          <cell r="F250" t="str">
            <v>Expansion Extractive+Circularity</v>
          </cell>
          <cell r="G250">
            <v>569.42699750073166</v>
          </cell>
          <cell r="H250">
            <v>99778</v>
          </cell>
          <cell r="I250">
            <v>32926.74</v>
          </cell>
          <cell r="J250">
            <v>26794.774650091029</v>
          </cell>
          <cell r="K250">
            <v>0</v>
          </cell>
          <cell r="M250">
            <v>0</v>
          </cell>
          <cell r="N250">
            <v>0.59854391398996798</v>
          </cell>
        </row>
        <row r="251">
          <cell r="A251">
            <v>2027</v>
          </cell>
          <cell r="B251" t="str">
            <v>Graphite</v>
          </cell>
          <cell r="C251" t="str">
            <v>Current Measures</v>
          </cell>
          <cell r="D251" t="str">
            <v>Production potential</v>
          </cell>
          <cell r="E251" t="str">
            <v>100% CAN</v>
          </cell>
          <cell r="F251" t="str">
            <v>Integrated</v>
          </cell>
          <cell r="G251">
            <v>569.42699750073166</v>
          </cell>
          <cell r="H251">
            <v>99778</v>
          </cell>
          <cell r="I251">
            <v>32926.74</v>
          </cell>
          <cell r="J251">
            <v>26794.774650091029</v>
          </cell>
          <cell r="K251">
            <v>0</v>
          </cell>
          <cell r="M251">
            <v>0</v>
          </cell>
          <cell r="N251">
            <v>0.59854391398996798</v>
          </cell>
        </row>
        <row r="252">
          <cell r="A252">
            <v>2027</v>
          </cell>
          <cell r="B252" t="str">
            <v>Graphite</v>
          </cell>
          <cell r="C252" t="str">
            <v>Global Net-zero</v>
          </cell>
          <cell r="D252" t="str">
            <v>Existing production</v>
          </cell>
          <cell r="E252" t="str">
            <v>Current shares</v>
          </cell>
          <cell r="F252" t="str">
            <v>NIMBY</v>
          </cell>
          <cell r="G252">
            <v>850.41647256917656</v>
          </cell>
          <cell r="H252">
            <v>0</v>
          </cell>
          <cell r="I252">
            <v>0</v>
          </cell>
          <cell r="J252">
            <v>0</v>
          </cell>
          <cell r="K252">
            <v>850.41647256917656</v>
          </cell>
          <cell r="M252">
            <v>850.41647256917656</v>
          </cell>
          <cell r="N252">
            <v>0.59854391398996798</v>
          </cell>
        </row>
        <row r="253">
          <cell r="A253">
            <v>2027</v>
          </cell>
          <cell r="B253" t="str">
            <v>Graphite</v>
          </cell>
          <cell r="C253" t="str">
            <v>Global Net-zero</v>
          </cell>
          <cell r="D253" t="str">
            <v>Existing production</v>
          </cell>
          <cell r="E253" t="str">
            <v>Current shares</v>
          </cell>
          <cell r="F253" t="str">
            <v>Status Quo</v>
          </cell>
          <cell r="G253">
            <v>850.41647256917656</v>
          </cell>
          <cell r="H253">
            <v>0</v>
          </cell>
          <cell r="I253">
            <v>0</v>
          </cell>
          <cell r="J253">
            <v>0</v>
          </cell>
          <cell r="K253">
            <v>850.41647256917656</v>
          </cell>
          <cell r="M253">
            <v>850.41647256917656</v>
          </cell>
          <cell r="N253">
            <v>0.59854391398996798</v>
          </cell>
        </row>
        <row r="254">
          <cell r="A254">
            <v>2027</v>
          </cell>
          <cell r="B254" t="str">
            <v>Graphite</v>
          </cell>
          <cell r="C254" t="str">
            <v>Global Net-zero</v>
          </cell>
          <cell r="D254" t="str">
            <v>Production potential</v>
          </cell>
          <cell r="E254" t="str">
            <v>Current shares</v>
          </cell>
          <cell r="F254" t="str">
            <v>Expansion Extractive</v>
          </cell>
          <cell r="G254">
            <v>850.41647256917656</v>
          </cell>
          <cell r="H254">
            <v>99778</v>
          </cell>
          <cell r="I254">
            <v>32926.74</v>
          </cell>
          <cell r="J254">
            <v>26794.774650091029</v>
          </cell>
          <cell r="K254">
            <v>0</v>
          </cell>
          <cell r="M254">
            <v>0</v>
          </cell>
          <cell r="N254">
            <v>0.59854391398996798</v>
          </cell>
        </row>
        <row r="255">
          <cell r="A255">
            <v>2027</v>
          </cell>
          <cell r="B255" t="str">
            <v>Graphite</v>
          </cell>
          <cell r="C255" t="str">
            <v>Global Net-zero</v>
          </cell>
          <cell r="D255" t="str">
            <v>Production potential</v>
          </cell>
          <cell r="E255" t="str">
            <v>Current shares</v>
          </cell>
          <cell r="F255" t="str">
            <v>Expansion Extractive+Circularity</v>
          </cell>
          <cell r="G255">
            <v>850.41647256917656</v>
          </cell>
          <cell r="H255">
            <v>99778</v>
          </cell>
          <cell r="I255">
            <v>32926.74</v>
          </cell>
          <cell r="J255">
            <v>26794.774650091029</v>
          </cell>
          <cell r="K255">
            <v>0</v>
          </cell>
          <cell r="M255">
            <v>0</v>
          </cell>
          <cell r="N255">
            <v>0.59854391398996798</v>
          </cell>
        </row>
        <row r="256">
          <cell r="A256">
            <v>2027</v>
          </cell>
          <cell r="B256" t="str">
            <v>Graphite</v>
          </cell>
          <cell r="C256" t="str">
            <v>Global Net-zero</v>
          </cell>
          <cell r="D256" t="str">
            <v>Production potential</v>
          </cell>
          <cell r="E256" t="str">
            <v>100% CAN</v>
          </cell>
          <cell r="F256" t="str">
            <v>Integrated</v>
          </cell>
          <cell r="G256">
            <v>850.41647256917656</v>
          </cell>
          <cell r="H256">
            <v>99778</v>
          </cell>
          <cell r="I256">
            <v>32926.74</v>
          </cell>
          <cell r="J256">
            <v>26794.774650091029</v>
          </cell>
          <cell r="K256">
            <v>0</v>
          </cell>
          <cell r="M256">
            <v>0</v>
          </cell>
          <cell r="N256">
            <v>0.59854391398996798</v>
          </cell>
        </row>
        <row r="257">
          <cell r="A257">
            <v>2027</v>
          </cell>
          <cell r="B257" t="str">
            <v>Lithium</v>
          </cell>
          <cell r="C257" t="str">
            <v>Canada Net-zero</v>
          </cell>
          <cell r="D257" t="str">
            <v>Existing production</v>
          </cell>
          <cell r="E257" t="str">
            <v>Current shares</v>
          </cell>
          <cell r="F257" t="str">
            <v>NIMBY</v>
          </cell>
          <cell r="G257">
            <v>13737.544328976641</v>
          </cell>
          <cell r="H257">
            <v>0</v>
          </cell>
          <cell r="I257">
            <v>0</v>
          </cell>
          <cell r="J257">
            <v>0</v>
          </cell>
          <cell r="K257">
            <v>19625.063327109488</v>
          </cell>
          <cell r="M257">
            <v>13737.544328976641</v>
          </cell>
          <cell r="N257">
            <v>0.787554996857322</v>
          </cell>
        </row>
        <row r="258">
          <cell r="A258">
            <v>2027</v>
          </cell>
          <cell r="B258" t="str">
            <v>Lithium</v>
          </cell>
          <cell r="C258" t="str">
            <v>Canada Net-zero</v>
          </cell>
          <cell r="D258" t="str">
            <v>Existing production</v>
          </cell>
          <cell r="E258" t="str">
            <v>Current shares</v>
          </cell>
          <cell r="F258" t="str">
            <v>Status Quo</v>
          </cell>
          <cell r="G258">
            <v>13737.544328976641</v>
          </cell>
          <cell r="H258">
            <v>41682</v>
          </cell>
          <cell r="I258">
            <v>29142.8235687015</v>
          </cell>
          <cell r="J258">
            <v>3684.043810305393</v>
          </cell>
          <cell r="K258">
            <v>0</v>
          </cell>
          <cell r="M258">
            <v>0</v>
          </cell>
          <cell r="N258">
            <v>0.787554996857322</v>
          </cell>
        </row>
        <row r="259">
          <cell r="A259">
            <v>2027</v>
          </cell>
          <cell r="B259" t="str">
            <v>Lithium</v>
          </cell>
          <cell r="C259" t="str">
            <v>Canada Net-zero</v>
          </cell>
          <cell r="D259" t="str">
            <v>Production potential</v>
          </cell>
          <cell r="E259" t="str">
            <v>Current shares</v>
          </cell>
          <cell r="F259" t="str">
            <v>Expansion Extractive</v>
          </cell>
          <cell r="G259">
            <v>13737.544328976641</v>
          </cell>
          <cell r="H259">
            <v>154746</v>
          </cell>
          <cell r="I259">
            <v>108193.833692296</v>
          </cell>
          <cell r="J259">
            <v>13677.151851387156</v>
          </cell>
          <cell r="K259">
            <v>0</v>
          </cell>
          <cell r="M259">
            <v>0</v>
          </cell>
          <cell r="N259">
            <v>0.787554996857322</v>
          </cell>
        </row>
        <row r="260">
          <cell r="A260">
            <v>2027</v>
          </cell>
          <cell r="B260" t="str">
            <v>Lithium</v>
          </cell>
          <cell r="C260" t="str">
            <v>Canada Net-zero</v>
          </cell>
          <cell r="D260" t="str">
            <v>Production potential</v>
          </cell>
          <cell r="E260" t="str">
            <v>Current shares</v>
          </cell>
          <cell r="F260" t="str">
            <v>Expansion Extractive+Circularity</v>
          </cell>
          <cell r="G260">
            <v>13737.544328976641</v>
          </cell>
          <cell r="H260">
            <v>154746</v>
          </cell>
          <cell r="I260">
            <v>108193.833692296</v>
          </cell>
          <cell r="J260">
            <v>13677.151851387156</v>
          </cell>
          <cell r="K260">
            <v>0</v>
          </cell>
          <cell r="M260">
            <v>0</v>
          </cell>
          <cell r="N260">
            <v>0.787554996857322</v>
          </cell>
        </row>
        <row r="261">
          <cell r="A261">
            <v>2027</v>
          </cell>
          <cell r="B261" t="str">
            <v>Lithium</v>
          </cell>
          <cell r="C261" t="str">
            <v>Canada Net-zero</v>
          </cell>
          <cell r="D261" t="str">
            <v>Production potential</v>
          </cell>
          <cell r="E261" t="str">
            <v>100% CAN</v>
          </cell>
          <cell r="F261" t="str">
            <v>Integrated</v>
          </cell>
          <cell r="G261">
            <v>13737.544328976641</v>
          </cell>
          <cell r="H261">
            <v>154746</v>
          </cell>
          <cell r="I261">
            <v>108193.833692296</v>
          </cell>
          <cell r="J261">
            <v>13677.151851387156</v>
          </cell>
          <cell r="K261">
            <v>0</v>
          </cell>
          <cell r="M261">
            <v>0</v>
          </cell>
          <cell r="N261">
            <v>0.787554996857322</v>
          </cell>
        </row>
        <row r="262">
          <cell r="A262">
            <v>2027</v>
          </cell>
          <cell r="B262" t="str">
            <v>Lithium</v>
          </cell>
          <cell r="C262" t="str">
            <v>Current Measures</v>
          </cell>
          <cell r="D262" t="str">
            <v>Existing production</v>
          </cell>
          <cell r="E262" t="str">
            <v>Current shares</v>
          </cell>
          <cell r="F262" t="str">
            <v>NIMBY</v>
          </cell>
          <cell r="G262">
            <v>8983.916446708683</v>
          </cell>
          <cell r="H262">
            <v>0</v>
          </cell>
          <cell r="I262">
            <v>0</v>
          </cell>
          <cell r="J262">
            <v>0</v>
          </cell>
          <cell r="K262">
            <v>12834.16635244098</v>
          </cell>
          <cell r="M262">
            <v>8983.916446708683</v>
          </cell>
          <cell r="N262">
            <v>0.787554996857322</v>
          </cell>
        </row>
        <row r="263">
          <cell r="A263">
            <v>2027</v>
          </cell>
          <cell r="B263" t="str">
            <v>Lithium</v>
          </cell>
          <cell r="C263" t="str">
            <v>Current Measures</v>
          </cell>
          <cell r="D263" t="str">
            <v>Existing production</v>
          </cell>
          <cell r="E263" t="str">
            <v>Current shares</v>
          </cell>
          <cell r="F263" t="str">
            <v>Status Quo</v>
          </cell>
          <cell r="G263">
            <v>8983.916446708683</v>
          </cell>
          <cell r="H263">
            <v>41682</v>
          </cell>
          <cell r="I263">
            <v>29142.8235687015</v>
          </cell>
          <cell r="J263">
            <v>3684.043810305393</v>
          </cell>
          <cell r="K263">
            <v>0</v>
          </cell>
          <cell r="M263">
            <v>0</v>
          </cell>
          <cell r="N263">
            <v>0.787554996857322</v>
          </cell>
        </row>
        <row r="264">
          <cell r="A264">
            <v>2027</v>
          </cell>
          <cell r="B264" t="str">
            <v>Lithium</v>
          </cell>
          <cell r="C264" t="str">
            <v>Current Measures</v>
          </cell>
          <cell r="D264" t="str">
            <v>Production potential</v>
          </cell>
          <cell r="E264" t="str">
            <v>Current shares</v>
          </cell>
          <cell r="F264" t="str">
            <v>Expansion Extractive</v>
          </cell>
          <cell r="G264">
            <v>8983.916446708683</v>
          </cell>
          <cell r="H264">
            <v>154746</v>
          </cell>
          <cell r="I264">
            <v>108193.833692296</v>
          </cell>
          <cell r="J264">
            <v>13677.151851387156</v>
          </cell>
          <cell r="K264">
            <v>0</v>
          </cell>
          <cell r="M264">
            <v>0</v>
          </cell>
          <cell r="N264">
            <v>0.787554996857322</v>
          </cell>
        </row>
        <row r="265">
          <cell r="A265">
            <v>2027</v>
          </cell>
          <cell r="B265" t="str">
            <v>Lithium</v>
          </cell>
          <cell r="C265" t="str">
            <v>Current Measures</v>
          </cell>
          <cell r="D265" t="str">
            <v>Production potential</v>
          </cell>
          <cell r="E265" t="str">
            <v>Current shares</v>
          </cell>
          <cell r="F265" t="str">
            <v>Expansion Extractive+Circularity</v>
          </cell>
          <cell r="G265">
            <v>8983.916446708683</v>
          </cell>
          <cell r="H265">
            <v>154746</v>
          </cell>
          <cell r="I265">
            <v>108193.833692296</v>
          </cell>
          <cell r="J265">
            <v>13677.151851387156</v>
          </cell>
          <cell r="K265">
            <v>0</v>
          </cell>
          <cell r="M265">
            <v>0</v>
          </cell>
          <cell r="N265">
            <v>0.787554996857322</v>
          </cell>
        </row>
        <row r="266">
          <cell r="A266">
            <v>2027</v>
          </cell>
          <cell r="B266" t="str">
            <v>Lithium</v>
          </cell>
          <cell r="C266" t="str">
            <v>Current Measures</v>
          </cell>
          <cell r="D266" t="str">
            <v>Production potential</v>
          </cell>
          <cell r="E266" t="str">
            <v>100% CAN</v>
          </cell>
          <cell r="F266" t="str">
            <v>Integrated</v>
          </cell>
          <cell r="G266">
            <v>8983.916446708683</v>
          </cell>
          <cell r="H266">
            <v>154746</v>
          </cell>
          <cell r="I266">
            <v>108193.833692296</v>
          </cell>
          <cell r="J266">
            <v>13677.151851387156</v>
          </cell>
          <cell r="K266">
            <v>0</v>
          </cell>
          <cell r="M266">
            <v>0</v>
          </cell>
          <cell r="N266">
            <v>0.787554996857322</v>
          </cell>
        </row>
        <row r="267">
          <cell r="A267">
            <v>2027</v>
          </cell>
          <cell r="B267" t="str">
            <v>Lithium</v>
          </cell>
          <cell r="C267" t="str">
            <v>Global Net-zero</v>
          </cell>
          <cell r="D267" t="str">
            <v>Existing production</v>
          </cell>
          <cell r="E267" t="str">
            <v>Current shares</v>
          </cell>
          <cell r="F267" t="str">
            <v>NIMBY</v>
          </cell>
          <cell r="G267">
            <v>13417.12031217203</v>
          </cell>
          <cell r="H267">
            <v>0</v>
          </cell>
          <cell r="I267">
            <v>0</v>
          </cell>
          <cell r="J267">
            <v>0</v>
          </cell>
          <cell r="K267">
            <v>19167.314731674331</v>
          </cell>
          <cell r="M267">
            <v>13417.12031217203</v>
          </cell>
          <cell r="N267">
            <v>0.787554996857322</v>
          </cell>
        </row>
        <row r="268">
          <cell r="A268">
            <v>2027</v>
          </cell>
          <cell r="B268" t="str">
            <v>Lithium</v>
          </cell>
          <cell r="C268" t="str">
            <v>Global Net-zero</v>
          </cell>
          <cell r="D268" t="str">
            <v>Existing production</v>
          </cell>
          <cell r="E268" t="str">
            <v>Current shares</v>
          </cell>
          <cell r="F268" t="str">
            <v>Status Quo</v>
          </cell>
          <cell r="G268">
            <v>13417.12031217203</v>
          </cell>
          <cell r="H268">
            <v>41682</v>
          </cell>
          <cell r="I268">
            <v>29142.8235687015</v>
          </cell>
          <cell r="J268">
            <v>3684.043810305393</v>
          </cell>
          <cell r="K268">
            <v>0</v>
          </cell>
          <cell r="M268">
            <v>0</v>
          </cell>
          <cell r="N268">
            <v>0.787554996857322</v>
          </cell>
        </row>
        <row r="269">
          <cell r="A269">
            <v>2027</v>
          </cell>
          <cell r="B269" t="str">
            <v>Lithium</v>
          </cell>
          <cell r="C269" t="str">
            <v>Global Net-zero</v>
          </cell>
          <cell r="D269" t="str">
            <v>Production potential</v>
          </cell>
          <cell r="E269" t="str">
            <v>Current shares</v>
          </cell>
          <cell r="F269" t="str">
            <v>Expansion Extractive</v>
          </cell>
          <cell r="G269">
            <v>13417.12031217203</v>
          </cell>
          <cell r="H269">
            <v>154746</v>
          </cell>
          <cell r="I269">
            <v>108193.833692296</v>
          </cell>
          <cell r="J269">
            <v>13677.151851387156</v>
          </cell>
          <cell r="K269">
            <v>0</v>
          </cell>
          <cell r="M269">
            <v>0</v>
          </cell>
          <cell r="N269">
            <v>0.787554996857322</v>
          </cell>
        </row>
        <row r="270">
          <cell r="A270">
            <v>2027</v>
          </cell>
          <cell r="B270" t="str">
            <v>Lithium</v>
          </cell>
          <cell r="C270" t="str">
            <v>Global Net-zero</v>
          </cell>
          <cell r="D270" t="str">
            <v>Production potential</v>
          </cell>
          <cell r="E270" t="str">
            <v>Current shares</v>
          </cell>
          <cell r="F270" t="str">
            <v>Expansion Extractive+Circularity</v>
          </cell>
          <cell r="G270">
            <v>13417.12031217203</v>
          </cell>
          <cell r="H270">
            <v>154746</v>
          </cell>
          <cell r="I270">
            <v>108193.833692296</v>
          </cell>
          <cell r="J270">
            <v>13677.151851387156</v>
          </cell>
          <cell r="K270">
            <v>0</v>
          </cell>
          <cell r="M270">
            <v>0</v>
          </cell>
          <cell r="N270">
            <v>0.787554996857322</v>
          </cell>
        </row>
        <row r="271">
          <cell r="A271">
            <v>2027</v>
          </cell>
          <cell r="B271" t="str">
            <v>Lithium</v>
          </cell>
          <cell r="C271" t="str">
            <v>Global Net-zero</v>
          </cell>
          <cell r="D271" t="str">
            <v>Production potential</v>
          </cell>
          <cell r="E271" t="str">
            <v>100% CAN</v>
          </cell>
          <cell r="F271" t="str">
            <v>Integrated</v>
          </cell>
          <cell r="G271">
            <v>13417.12031217203</v>
          </cell>
          <cell r="H271">
            <v>154746</v>
          </cell>
          <cell r="I271">
            <v>108193.833692296</v>
          </cell>
          <cell r="J271">
            <v>13677.151851387156</v>
          </cell>
          <cell r="K271">
            <v>0</v>
          </cell>
          <cell r="M271">
            <v>0</v>
          </cell>
          <cell r="N271">
            <v>0.787554996857322</v>
          </cell>
        </row>
        <row r="272">
          <cell r="A272">
            <v>2028</v>
          </cell>
          <cell r="B272" t="str">
            <v>Cobalt</v>
          </cell>
          <cell r="C272" t="str">
            <v>Canada Net-zero</v>
          </cell>
          <cell r="D272" t="str">
            <v>Existing production</v>
          </cell>
          <cell r="E272" t="str">
            <v>Current shares</v>
          </cell>
          <cell r="F272" t="str">
            <v>NIMBY</v>
          </cell>
          <cell r="G272">
            <v>33558.203893436563</v>
          </cell>
          <cell r="H272">
            <v>0</v>
          </cell>
          <cell r="I272">
            <v>0</v>
          </cell>
          <cell r="J272">
            <v>0</v>
          </cell>
          <cell r="K272">
            <v>76268.645212355827</v>
          </cell>
          <cell r="M272">
            <v>33558.203893436563</v>
          </cell>
          <cell r="N272">
            <v>0.439346565686978</v>
          </cell>
        </row>
        <row r="273">
          <cell r="A273">
            <v>2028</v>
          </cell>
          <cell r="B273" t="str">
            <v>Cobalt</v>
          </cell>
          <cell r="C273" t="str">
            <v>Canada Net-zero</v>
          </cell>
          <cell r="D273" t="str">
            <v>Existing production</v>
          </cell>
          <cell r="E273" t="str">
            <v>Current shares</v>
          </cell>
          <cell r="F273" t="str">
            <v>Status Quo</v>
          </cell>
          <cell r="G273">
            <v>33558.203893436563</v>
          </cell>
          <cell r="H273">
            <v>4176</v>
          </cell>
          <cell r="I273">
            <v>1771.38331528816</v>
          </cell>
          <cell r="J273">
            <v>63.327943020660086</v>
          </cell>
          <cell r="K273">
            <v>72092.645212355827</v>
          </cell>
          <cell r="M273">
            <v>31723.492635127739</v>
          </cell>
          <cell r="N273">
            <v>0.439346565686978</v>
          </cell>
        </row>
        <row r="274">
          <cell r="A274">
            <v>2028</v>
          </cell>
          <cell r="B274" t="str">
            <v>Cobalt</v>
          </cell>
          <cell r="C274" t="str">
            <v>Canada Net-zero</v>
          </cell>
          <cell r="D274" t="str">
            <v>Production potential</v>
          </cell>
          <cell r="E274" t="str">
            <v>Current shares</v>
          </cell>
          <cell r="F274" t="str">
            <v>Expansion Extractive</v>
          </cell>
          <cell r="G274">
            <v>33558.203893436563</v>
          </cell>
          <cell r="H274">
            <v>7250</v>
          </cell>
          <cell r="I274">
            <v>3075.318255708612</v>
          </cell>
          <cell r="J274">
            <v>109.94434552197845</v>
          </cell>
          <cell r="K274">
            <v>69018.645212355827</v>
          </cell>
          <cell r="M274">
            <v>30372.941292205975</v>
          </cell>
          <cell r="N274">
            <v>0.439346565686978</v>
          </cell>
        </row>
        <row r="275">
          <cell r="A275">
            <v>2028</v>
          </cell>
          <cell r="B275" t="str">
            <v>Cobalt</v>
          </cell>
          <cell r="C275" t="str">
            <v>Canada Net-zero</v>
          </cell>
          <cell r="D275" t="str">
            <v>Production potential</v>
          </cell>
          <cell r="E275" t="str">
            <v>Current shares</v>
          </cell>
          <cell r="F275" t="str">
            <v>Expansion Extractive+Circularity</v>
          </cell>
          <cell r="G275">
            <v>33558.203893436563</v>
          </cell>
          <cell r="H275">
            <v>7250</v>
          </cell>
          <cell r="I275">
            <v>3075.318255708612</v>
          </cell>
          <cell r="J275">
            <v>109.94434552197845</v>
          </cell>
          <cell r="K275">
            <v>69018.645212355827</v>
          </cell>
          <cell r="M275">
            <v>30372.941292205975</v>
          </cell>
          <cell r="N275">
            <v>0.439346565686978</v>
          </cell>
        </row>
        <row r="276">
          <cell r="A276">
            <v>2028</v>
          </cell>
          <cell r="B276" t="str">
            <v>Cobalt</v>
          </cell>
          <cell r="C276" t="str">
            <v>Canada Net-zero</v>
          </cell>
          <cell r="D276" t="str">
            <v>Production potential</v>
          </cell>
          <cell r="E276" t="str">
            <v>100% CAN</v>
          </cell>
          <cell r="F276" t="str">
            <v>Integrated</v>
          </cell>
          <cell r="G276">
            <v>33558.203893436563</v>
          </cell>
          <cell r="H276">
            <v>7250</v>
          </cell>
          <cell r="I276">
            <v>3185.2626012305932</v>
          </cell>
          <cell r="J276">
            <v>0</v>
          </cell>
          <cell r="K276">
            <v>69018.645212355827</v>
          </cell>
          <cell r="M276">
            <v>30372.941292205971</v>
          </cell>
          <cell r="N276">
            <v>0.439346565686978</v>
          </cell>
        </row>
        <row r="277">
          <cell r="A277">
            <v>2028</v>
          </cell>
          <cell r="B277" t="str">
            <v>Cobalt</v>
          </cell>
          <cell r="C277" t="str">
            <v>Current Measures</v>
          </cell>
          <cell r="D277" t="str">
            <v>Existing production</v>
          </cell>
          <cell r="E277" t="str">
            <v>Current shares</v>
          </cell>
          <cell r="F277" t="str">
            <v>NIMBY</v>
          </cell>
          <cell r="G277">
            <v>19651.719636773159</v>
          </cell>
          <cell r="H277">
            <v>0</v>
          </cell>
          <cell r="I277">
            <v>0</v>
          </cell>
          <cell r="J277">
            <v>0</v>
          </cell>
          <cell r="K277">
            <v>44662.999174484452</v>
          </cell>
          <cell r="M277">
            <v>19651.719636773159</v>
          </cell>
          <cell r="N277">
            <v>0.439346565686978</v>
          </cell>
        </row>
        <row r="278">
          <cell r="A278">
            <v>2028</v>
          </cell>
          <cell r="B278" t="str">
            <v>Cobalt</v>
          </cell>
          <cell r="C278" t="str">
            <v>Current Measures</v>
          </cell>
          <cell r="D278" t="str">
            <v>Existing production</v>
          </cell>
          <cell r="E278" t="str">
            <v>Current shares</v>
          </cell>
          <cell r="F278" t="str">
            <v>Status Quo</v>
          </cell>
          <cell r="G278">
            <v>19651.719636773159</v>
          </cell>
          <cell r="H278">
            <v>4176</v>
          </cell>
          <cell r="I278">
            <v>1771.38331528816</v>
          </cell>
          <cell r="J278">
            <v>63.327943020660086</v>
          </cell>
          <cell r="K278">
            <v>40486.999174484452</v>
          </cell>
          <cell r="M278">
            <v>17817.008378464339</v>
          </cell>
          <cell r="N278">
            <v>0.439346565686978</v>
          </cell>
        </row>
        <row r="279">
          <cell r="A279">
            <v>2028</v>
          </cell>
          <cell r="B279" t="str">
            <v>Cobalt</v>
          </cell>
          <cell r="C279" t="str">
            <v>Current Measures</v>
          </cell>
          <cell r="D279" t="str">
            <v>Production potential</v>
          </cell>
          <cell r="E279" t="str">
            <v>Current shares</v>
          </cell>
          <cell r="F279" t="str">
            <v>Expansion Extractive</v>
          </cell>
          <cell r="G279">
            <v>19651.719636773159</v>
          </cell>
          <cell r="H279">
            <v>7250</v>
          </cell>
          <cell r="I279">
            <v>3075.318255708612</v>
          </cell>
          <cell r="J279">
            <v>109.94434552197845</v>
          </cell>
          <cell r="K279">
            <v>37412.999174484452</v>
          </cell>
          <cell r="M279">
            <v>16466.457035542571</v>
          </cell>
          <cell r="N279">
            <v>0.439346565686978</v>
          </cell>
        </row>
        <row r="280">
          <cell r="A280">
            <v>2028</v>
          </cell>
          <cell r="B280" t="str">
            <v>Cobalt</v>
          </cell>
          <cell r="C280" t="str">
            <v>Current Measures</v>
          </cell>
          <cell r="D280" t="str">
            <v>Production potential</v>
          </cell>
          <cell r="E280" t="str">
            <v>Current shares</v>
          </cell>
          <cell r="F280" t="str">
            <v>Expansion Extractive+Circularity</v>
          </cell>
          <cell r="G280">
            <v>19651.719636773159</v>
          </cell>
          <cell r="H280">
            <v>7250</v>
          </cell>
          <cell r="I280">
            <v>3075.318255708612</v>
          </cell>
          <cell r="J280">
            <v>109.94434552197845</v>
          </cell>
          <cell r="K280">
            <v>37412.999174484452</v>
          </cell>
          <cell r="M280">
            <v>16466.457035542571</v>
          </cell>
          <cell r="N280">
            <v>0.439346565686978</v>
          </cell>
        </row>
        <row r="281">
          <cell r="A281">
            <v>2028</v>
          </cell>
          <cell r="B281" t="str">
            <v>Cobalt</v>
          </cell>
          <cell r="C281" t="str">
            <v>Current Measures</v>
          </cell>
          <cell r="D281" t="str">
            <v>Production potential</v>
          </cell>
          <cell r="E281" t="str">
            <v>100% CAN</v>
          </cell>
          <cell r="F281" t="str">
            <v>Integrated</v>
          </cell>
          <cell r="G281">
            <v>19651.719636773159</v>
          </cell>
          <cell r="H281">
            <v>7250</v>
          </cell>
          <cell r="I281">
            <v>3185.2626012305932</v>
          </cell>
          <cell r="J281">
            <v>0</v>
          </cell>
          <cell r="K281">
            <v>37412.999174484452</v>
          </cell>
          <cell r="M281">
            <v>16466.457035542571</v>
          </cell>
          <cell r="N281">
            <v>0.439346565686978</v>
          </cell>
        </row>
        <row r="282">
          <cell r="A282">
            <v>2028</v>
          </cell>
          <cell r="B282" t="str">
            <v>Cobalt</v>
          </cell>
          <cell r="C282" t="str">
            <v>Global Net-zero</v>
          </cell>
          <cell r="D282" t="str">
            <v>Existing production</v>
          </cell>
          <cell r="E282" t="str">
            <v>Current shares</v>
          </cell>
          <cell r="F282" t="str">
            <v>NIMBY</v>
          </cell>
          <cell r="G282">
            <v>32337.908183628981</v>
          </cell>
          <cell r="H282">
            <v>0</v>
          </cell>
          <cell r="I282">
            <v>0</v>
          </cell>
          <cell r="J282">
            <v>0</v>
          </cell>
          <cell r="K282">
            <v>73495.24587188405</v>
          </cell>
          <cell r="M282">
            <v>32337.908183628981</v>
          </cell>
          <cell r="N282">
            <v>0.439346565686978</v>
          </cell>
        </row>
        <row r="283">
          <cell r="A283">
            <v>2028</v>
          </cell>
          <cell r="B283" t="str">
            <v>Cobalt</v>
          </cell>
          <cell r="C283" t="str">
            <v>Global Net-zero</v>
          </cell>
          <cell r="D283" t="str">
            <v>Existing production</v>
          </cell>
          <cell r="E283" t="str">
            <v>Current shares</v>
          </cell>
          <cell r="F283" t="str">
            <v>Status Quo</v>
          </cell>
          <cell r="G283">
            <v>32337.908183628981</v>
          </cell>
          <cell r="H283">
            <v>4176</v>
          </cell>
          <cell r="I283">
            <v>1771.38331528816</v>
          </cell>
          <cell r="J283">
            <v>63.327943020660086</v>
          </cell>
          <cell r="K283">
            <v>69319.24587188405</v>
          </cell>
          <cell r="M283">
            <v>30503.196925320161</v>
          </cell>
          <cell r="N283">
            <v>0.439346565686978</v>
          </cell>
        </row>
        <row r="284">
          <cell r="A284">
            <v>2028</v>
          </cell>
          <cell r="B284" t="str">
            <v>Cobalt</v>
          </cell>
          <cell r="C284" t="str">
            <v>Global Net-zero</v>
          </cell>
          <cell r="D284" t="str">
            <v>Production potential</v>
          </cell>
          <cell r="E284" t="str">
            <v>Current shares</v>
          </cell>
          <cell r="F284" t="str">
            <v>Expansion Extractive</v>
          </cell>
          <cell r="G284">
            <v>32337.908183628981</v>
          </cell>
          <cell r="H284">
            <v>7250</v>
          </cell>
          <cell r="I284">
            <v>3075.318255708612</v>
          </cell>
          <cell r="J284">
            <v>109.94434552197845</v>
          </cell>
          <cell r="K284">
            <v>66245.24587188405</v>
          </cell>
          <cell r="M284">
            <v>29152.645582398392</v>
          </cell>
          <cell r="N284">
            <v>0.439346565686978</v>
          </cell>
        </row>
        <row r="285">
          <cell r="A285">
            <v>2028</v>
          </cell>
          <cell r="B285" t="str">
            <v>Cobalt</v>
          </cell>
          <cell r="C285" t="str">
            <v>Global Net-zero</v>
          </cell>
          <cell r="D285" t="str">
            <v>Production potential</v>
          </cell>
          <cell r="E285" t="str">
            <v>Current shares</v>
          </cell>
          <cell r="F285" t="str">
            <v>Expansion Extractive+Circularity</v>
          </cell>
          <cell r="G285">
            <v>32337.908183628981</v>
          </cell>
          <cell r="H285">
            <v>7250</v>
          </cell>
          <cell r="I285">
            <v>3075.318255708612</v>
          </cell>
          <cell r="J285">
            <v>109.94434552197845</v>
          </cell>
          <cell r="K285">
            <v>66245.24587188405</v>
          </cell>
          <cell r="M285">
            <v>29152.645582398392</v>
          </cell>
          <cell r="N285">
            <v>0.439346565686978</v>
          </cell>
        </row>
        <row r="286">
          <cell r="A286">
            <v>2028</v>
          </cell>
          <cell r="B286" t="str">
            <v>Cobalt</v>
          </cell>
          <cell r="C286" t="str">
            <v>Global Net-zero</v>
          </cell>
          <cell r="D286" t="str">
            <v>Production potential</v>
          </cell>
          <cell r="E286" t="str">
            <v>100% CAN</v>
          </cell>
          <cell r="F286" t="str">
            <v>Integrated</v>
          </cell>
          <cell r="G286">
            <v>32337.908183628981</v>
          </cell>
          <cell r="H286">
            <v>7250</v>
          </cell>
          <cell r="I286">
            <v>3185.2626012305932</v>
          </cell>
          <cell r="J286">
            <v>0</v>
          </cell>
          <cell r="K286">
            <v>66245.24587188405</v>
          </cell>
          <cell r="M286">
            <v>29152.645582398389</v>
          </cell>
          <cell r="N286">
            <v>0.439346565686978</v>
          </cell>
        </row>
        <row r="287">
          <cell r="A287">
            <v>2028</v>
          </cell>
          <cell r="B287" t="str">
            <v>Copper</v>
          </cell>
          <cell r="C287" t="str">
            <v>Canada Net-zero</v>
          </cell>
          <cell r="D287" t="str">
            <v>Existing production</v>
          </cell>
          <cell r="E287" t="str">
            <v>Current shares</v>
          </cell>
          <cell r="F287" t="str">
            <v>NIMBY</v>
          </cell>
          <cell r="G287">
            <v>916409.46721627563</v>
          </cell>
          <cell r="H287">
            <v>0</v>
          </cell>
          <cell r="I287">
            <v>0</v>
          </cell>
          <cell r="J287">
            <v>0</v>
          </cell>
          <cell r="K287">
            <v>1104107.7918268379</v>
          </cell>
          <cell r="M287">
            <v>916409.46721627563</v>
          </cell>
          <cell r="N287">
            <v>0.83474576271186396</v>
          </cell>
        </row>
        <row r="288">
          <cell r="A288">
            <v>2028</v>
          </cell>
          <cell r="B288" t="str">
            <v>Copper</v>
          </cell>
          <cell r="C288" t="str">
            <v>Canada Net-zero</v>
          </cell>
          <cell r="D288" t="str">
            <v>Existing production</v>
          </cell>
          <cell r="E288" t="str">
            <v>Current shares</v>
          </cell>
          <cell r="F288" t="str">
            <v>Status Quo</v>
          </cell>
          <cell r="G288">
            <v>916409.46721627563</v>
          </cell>
          <cell r="H288">
            <v>461120</v>
          </cell>
          <cell r="I288">
            <v>242368.67797179901</v>
          </cell>
          <cell r="J288">
            <v>142549.28812989572</v>
          </cell>
          <cell r="K288">
            <v>642987.79182683816</v>
          </cell>
          <cell r="M288">
            <v>531491.5011145809</v>
          </cell>
          <cell r="N288">
            <v>0.83474576271186396</v>
          </cell>
        </row>
        <row r="289">
          <cell r="A289">
            <v>2028</v>
          </cell>
          <cell r="B289" t="str">
            <v>Copper</v>
          </cell>
          <cell r="C289" t="str">
            <v>Canada Net-zero</v>
          </cell>
          <cell r="D289" t="str">
            <v>Production potential</v>
          </cell>
          <cell r="E289" t="str">
            <v>Current shares</v>
          </cell>
          <cell r="F289" t="str">
            <v>Expansion Extractive</v>
          </cell>
          <cell r="G289">
            <v>916409.46721627563</v>
          </cell>
          <cell r="H289">
            <v>621087.14728660951</v>
          </cell>
          <cell r="I289">
            <v>326448.80029738799</v>
          </cell>
          <cell r="J289">
            <v>192001.06417490868</v>
          </cell>
          <cell r="K289">
            <v>483020.64454022859</v>
          </cell>
          <cell r="M289">
            <v>397959.60274397896</v>
          </cell>
          <cell r="N289">
            <v>0.83474576271186396</v>
          </cell>
        </row>
        <row r="290">
          <cell r="A290">
            <v>2028</v>
          </cell>
          <cell r="B290" t="str">
            <v>Copper</v>
          </cell>
          <cell r="C290" t="str">
            <v>Canada Net-zero</v>
          </cell>
          <cell r="D290" t="str">
            <v>Production potential</v>
          </cell>
          <cell r="E290" t="str">
            <v>Current shares</v>
          </cell>
          <cell r="F290" t="str">
            <v>Expansion Extractive+Circularity</v>
          </cell>
          <cell r="G290">
            <v>916409.46721627563</v>
          </cell>
          <cell r="H290">
            <v>621087.14728660951</v>
          </cell>
          <cell r="I290">
            <v>326448.80029738799</v>
          </cell>
          <cell r="J290">
            <v>192001.06417490868</v>
          </cell>
          <cell r="K290">
            <v>483020.64454022859</v>
          </cell>
          <cell r="M290">
            <v>397959.60274397896</v>
          </cell>
          <cell r="N290">
            <v>0.83474576271186396</v>
          </cell>
        </row>
        <row r="291">
          <cell r="A291">
            <v>2028</v>
          </cell>
          <cell r="B291" t="str">
            <v>Copper</v>
          </cell>
          <cell r="C291" t="str">
            <v>Canada Net-zero</v>
          </cell>
          <cell r="D291" t="str">
            <v>Production potential</v>
          </cell>
          <cell r="E291" t="str">
            <v>100% CAN</v>
          </cell>
          <cell r="F291" t="str">
            <v>Integrated</v>
          </cell>
          <cell r="G291">
            <v>916409.46721627563</v>
          </cell>
          <cell r="H291">
            <v>621087.14728660951</v>
          </cell>
          <cell r="I291">
            <v>518449.8644722969</v>
          </cell>
          <cell r="J291">
            <v>0</v>
          </cell>
          <cell r="K291">
            <v>483020.64454022859</v>
          </cell>
          <cell r="M291">
            <v>397959.60274397873</v>
          </cell>
          <cell r="N291">
            <v>0.83474576271186396</v>
          </cell>
        </row>
        <row r="292">
          <cell r="A292">
            <v>2028</v>
          </cell>
          <cell r="B292" t="str">
            <v>Copper</v>
          </cell>
          <cell r="C292" t="str">
            <v>Current Measures</v>
          </cell>
          <cell r="D292" t="str">
            <v>Existing production</v>
          </cell>
          <cell r="E292" t="str">
            <v>Current shares</v>
          </cell>
          <cell r="F292" t="str">
            <v>NIMBY</v>
          </cell>
          <cell r="G292">
            <v>893050.83707050979</v>
          </cell>
          <cell r="H292">
            <v>0</v>
          </cell>
          <cell r="I292">
            <v>0</v>
          </cell>
          <cell r="J292">
            <v>0</v>
          </cell>
          <cell r="K292">
            <v>1075964.8639403731</v>
          </cell>
          <cell r="M292">
            <v>893050.83707050979</v>
          </cell>
          <cell r="N292">
            <v>0.83474576271186396</v>
          </cell>
        </row>
        <row r="293">
          <cell r="A293">
            <v>2028</v>
          </cell>
          <cell r="B293" t="str">
            <v>Copper</v>
          </cell>
          <cell r="C293" t="str">
            <v>Current Measures</v>
          </cell>
          <cell r="D293" t="str">
            <v>Existing production</v>
          </cell>
          <cell r="E293" t="str">
            <v>Current shares</v>
          </cell>
          <cell r="F293" t="str">
            <v>Status Quo</v>
          </cell>
          <cell r="G293">
            <v>893050.83707050979</v>
          </cell>
          <cell r="H293">
            <v>461120</v>
          </cell>
          <cell r="I293">
            <v>242368.67797179901</v>
          </cell>
          <cell r="J293">
            <v>142549.28812989572</v>
          </cell>
          <cell r="K293">
            <v>614844.8639403733</v>
          </cell>
          <cell r="M293">
            <v>508132.87096881506</v>
          </cell>
          <cell r="N293">
            <v>0.83474576271186396</v>
          </cell>
        </row>
        <row r="294">
          <cell r="A294">
            <v>2028</v>
          </cell>
          <cell r="B294" t="str">
            <v>Copper</v>
          </cell>
          <cell r="C294" t="str">
            <v>Current Measures</v>
          </cell>
          <cell r="D294" t="str">
            <v>Production potential</v>
          </cell>
          <cell r="E294" t="str">
            <v>Current shares</v>
          </cell>
          <cell r="F294" t="str">
            <v>Expansion Extractive</v>
          </cell>
          <cell r="G294">
            <v>893050.83707050979</v>
          </cell>
          <cell r="H294">
            <v>621087.14728660951</v>
          </cell>
          <cell r="I294">
            <v>326448.80029738799</v>
          </cell>
          <cell r="J294">
            <v>192001.06417490868</v>
          </cell>
          <cell r="K294">
            <v>454877.71665376378</v>
          </cell>
          <cell r="M294">
            <v>374600.97259821312</v>
          </cell>
          <cell r="N294">
            <v>0.83474576271186396</v>
          </cell>
        </row>
        <row r="295">
          <cell r="A295">
            <v>2028</v>
          </cell>
          <cell r="B295" t="str">
            <v>Copper</v>
          </cell>
          <cell r="C295" t="str">
            <v>Current Measures</v>
          </cell>
          <cell r="D295" t="str">
            <v>Production potential</v>
          </cell>
          <cell r="E295" t="str">
            <v>Current shares</v>
          </cell>
          <cell r="F295" t="str">
            <v>Expansion Extractive+Circularity</v>
          </cell>
          <cell r="G295">
            <v>893050.83707050979</v>
          </cell>
          <cell r="H295">
            <v>621087.14728660951</v>
          </cell>
          <cell r="I295">
            <v>326448.80029738799</v>
          </cell>
          <cell r="J295">
            <v>192001.06417490868</v>
          </cell>
          <cell r="K295">
            <v>454877.71665376378</v>
          </cell>
          <cell r="M295">
            <v>374600.97259821312</v>
          </cell>
          <cell r="N295">
            <v>0.83474576271186396</v>
          </cell>
        </row>
        <row r="296">
          <cell r="A296">
            <v>2028</v>
          </cell>
          <cell r="B296" t="str">
            <v>Copper</v>
          </cell>
          <cell r="C296" t="str">
            <v>Current Measures</v>
          </cell>
          <cell r="D296" t="str">
            <v>Production potential</v>
          </cell>
          <cell r="E296" t="str">
            <v>100% CAN</v>
          </cell>
          <cell r="F296" t="str">
            <v>Integrated</v>
          </cell>
          <cell r="G296">
            <v>893050.83707050979</v>
          </cell>
          <cell r="H296">
            <v>621087.14728660951</v>
          </cell>
          <cell r="I296">
            <v>518449.8644722969</v>
          </cell>
          <cell r="J296">
            <v>0</v>
          </cell>
          <cell r="K296">
            <v>454877.71665376378</v>
          </cell>
          <cell r="M296">
            <v>374600.97259821289</v>
          </cell>
          <cell r="N296">
            <v>0.83474576271186396</v>
          </cell>
        </row>
        <row r="297">
          <cell r="A297">
            <v>2028</v>
          </cell>
          <cell r="B297" t="str">
            <v>Copper</v>
          </cell>
          <cell r="C297" t="str">
            <v>Global Net-zero</v>
          </cell>
          <cell r="D297" t="str">
            <v>Existing production</v>
          </cell>
          <cell r="E297" t="str">
            <v>Current shares</v>
          </cell>
          <cell r="F297" t="str">
            <v>NIMBY</v>
          </cell>
          <cell r="G297">
            <v>898034.66394728445</v>
          </cell>
          <cell r="H297">
            <v>0</v>
          </cell>
          <cell r="I297">
            <v>0</v>
          </cell>
          <cell r="J297">
            <v>0</v>
          </cell>
          <cell r="K297">
            <v>1081969.474635283</v>
          </cell>
          <cell r="M297">
            <v>898034.66394728445</v>
          </cell>
          <cell r="N297">
            <v>0.83474576271186396</v>
          </cell>
        </row>
        <row r="298">
          <cell r="A298">
            <v>2028</v>
          </cell>
          <cell r="B298" t="str">
            <v>Copper</v>
          </cell>
          <cell r="C298" t="str">
            <v>Global Net-zero</v>
          </cell>
          <cell r="D298" t="str">
            <v>Existing production</v>
          </cell>
          <cell r="E298" t="str">
            <v>Current shares</v>
          </cell>
          <cell r="F298" t="str">
            <v>Status Quo</v>
          </cell>
          <cell r="G298">
            <v>898034.66394728445</v>
          </cell>
          <cell r="H298">
            <v>461120</v>
          </cell>
          <cell r="I298">
            <v>242368.67797179901</v>
          </cell>
          <cell r="J298">
            <v>142549.28812989572</v>
          </cell>
          <cell r="K298">
            <v>620849.47463528253</v>
          </cell>
          <cell r="M298">
            <v>513116.69784558972</v>
          </cell>
          <cell r="N298">
            <v>0.83474576271186396</v>
          </cell>
        </row>
        <row r="299">
          <cell r="A299">
            <v>2028</v>
          </cell>
          <cell r="B299" t="str">
            <v>Copper</v>
          </cell>
          <cell r="C299" t="str">
            <v>Global Net-zero</v>
          </cell>
          <cell r="D299" t="str">
            <v>Production potential</v>
          </cell>
          <cell r="E299" t="str">
            <v>Current shares</v>
          </cell>
          <cell r="F299" t="str">
            <v>Expansion Extractive</v>
          </cell>
          <cell r="G299">
            <v>898034.66394728445</v>
          </cell>
          <cell r="H299">
            <v>621087.14728660951</v>
          </cell>
          <cell r="I299">
            <v>326448.80029738799</v>
          </cell>
          <cell r="J299">
            <v>192001.06417490868</v>
          </cell>
          <cell r="K299">
            <v>460882.32734867302</v>
          </cell>
          <cell r="M299">
            <v>379584.79947498778</v>
          </cell>
          <cell r="N299">
            <v>0.83474576271186396</v>
          </cell>
        </row>
        <row r="300">
          <cell r="A300">
            <v>2028</v>
          </cell>
          <cell r="B300" t="str">
            <v>Copper</v>
          </cell>
          <cell r="C300" t="str">
            <v>Global Net-zero</v>
          </cell>
          <cell r="D300" t="str">
            <v>Production potential</v>
          </cell>
          <cell r="E300" t="str">
            <v>Current shares</v>
          </cell>
          <cell r="F300" t="str">
            <v>Expansion Extractive+Circularity</v>
          </cell>
          <cell r="G300">
            <v>898034.66394728445</v>
          </cell>
          <cell r="H300">
            <v>621087.14728660951</v>
          </cell>
          <cell r="I300">
            <v>326448.80029738799</v>
          </cell>
          <cell r="J300">
            <v>192001.06417490868</v>
          </cell>
          <cell r="K300">
            <v>460882.32734867302</v>
          </cell>
          <cell r="M300">
            <v>379584.79947498778</v>
          </cell>
          <cell r="N300">
            <v>0.83474576271186396</v>
          </cell>
        </row>
        <row r="301">
          <cell r="A301">
            <v>2028</v>
          </cell>
          <cell r="B301" t="str">
            <v>Copper</v>
          </cell>
          <cell r="C301" t="str">
            <v>Global Net-zero</v>
          </cell>
          <cell r="D301" t="str">
            <v>Production potential</v>
          </cell>
          <cell r="E301" t="str">
            <v>100% CAN</v>
          </cell>
          <cell r="F301" t="str">
            <v>Integrated</v>
          </cell>
          <cell r="G301">
            <v>898034.66394728445</v>
          </cell>
          <cell r="H301">
            <v>621087.14728660951</v>
          </cell>
          <cell r="I301">
            <v>518449.8644722969</v>
          </cell>
          <cell r="J301">
            <v>0</v>
          </cell>
          <cell r="K301">
            <v>460882.32734867302</v>
          </cell>
          <cell r="M301">
            <v>379584.79947498761</v>
          </cell>
          <cell r="N301">
            <v>0.83474576271186396</v>
          </cell>
        </row>
        <row r="302">
          <cell r="A302">
            <v>2028</v>
          </cell>
          <cell r="B302" t="str">
            <v>Neodymium</v>
          </cell>
          <cell r="C302" t="str">
            <v>Canada Net-zero</v>
          </cell>
          <cell r="D302" t="str">
            <v>Existing production</v>
          </cell>
          <cell r="E302" t="str">
            <v>Current shares</v>
          </cell>
          <cell r="F302" t="str">
            <v>NIMBY</v>
          </cell>
          <cell r="G302">
            <v>1263.9158077811819</v>
          </cell>
          <cell r="H302">
            <v>0</v>
          </cell>
          <cell r="I302">
            <v>0</v>
          </cell>
          <cell r="J302">
            <v>0</v>
          </cell>
          <cell r="K302">
            <v>2106.5263463019701</v>
          </cell>
          <cell r="M302">
            <v>1263.9158077811819</v>
          </cell>
          <cell r="N302">
            <v>1</v>
          </cell>
        </row>
        <row r="303">
          <cell r="A303">
            <v>2028</v>
          </cell>
          <cell r="B303" t="str">
            <v>Neodymium</v>
          </cell>
          <cell r="C303" t="str">
            <v>Canada Net-zero</v>
          </cell>
          <cell r="D303" t="str">
            <v>Existing production</v>
          </cell>
          <cell r="E303" t="str">
            <v>Current shares</v>
          </cell>
          <cell r="F303" t="str">
            <v>Status Quo</v>
          </cell>
          <cell r="G303">
            <v>1263.9158077811819</v>
          </cell>
          <cell r="H303">
            <v>0</v>
          </cell>
          <cell r="I303">
            <v>0</v>
          </cell>
          <cell r="J303">
            <v>0</v>
          </cell>
          <cell r="K303">
            <v>2106.5263463019701</v>
          </cell>
          <cell r="M303">
            <v>1263.9158077811819</v>
          </cell>
          <cell r="N303">
            <v>1</v>
          </cell>
        </row>
        <row r="304">
          <cell r="A304">
            <v>2028</v>
          </cell>
          <cell r="B304" t="str">
            <v>Neodymium</v>
          </cell>
          <cell r="C304" t="str">
            <v>Canada Net-zero</v>
          </cell>
          <cell r="D304" t="str">
            <v>Production potential</v>
          </cell>
          <cell r="E304" t="str">
            <v>Current shares</v>
          </cell>
          <cell r="F304" t="str">
            <v>Expansion Extractive</v>
          </cell>
          <cell r="G304">
            <v>1263.9158077811819</v>
          </cell>
          <cell r="H304">
            <v>7.5582684386625987</v>
          </cell>
          <cell r="I304">
            <v>4.5239555742639546</v>
          </cell>
          <cell r="J304">
            <v>3.0343128643986441</v>
          </cell>
          <cell r="K304">
            <v>2098.9680778633069</v>
          </cell>
          <cell r="M304">
            <v>1256.3575393425194</v>
          </cell>
          <cell r="N304">
            <v>1</v>
          </cell>
        </row>
        <row r="305">
          <cell r="A305">
            <v>2028</v>
          </cell>
          <cell r="B305" t="str">
            <v>Neodymium</v>
          </cell>
          <cell r="C305" t="str">
            <v>Canada Net-zero</v>
          </cell>
          <cell r="D305" t="str">
            <v>Production potential</v>
          </cell>
          <cell r="E305" t="str">
            <v>Current shares</v>
          </cell>
          <cell r="F305" t="str">
            <v>Expansion Extractive+Circularity</v>
          </cell>
          <cell r="G305">
            <v>1263.9158077811819</v>
          </cell>
          <cell r="H305">
            <v>7.5582684386625987</v>
          </cell>
          <cell r="I305">
            <v>4.5239555742639546</v>
          </cell>
          <cell r="J305">
            <v>3.0343128643986441</v>
          </cell>
          <cell r="K305">
            <v>2098.9680778633069</v>
          </cell>
          <cell r="M305">
            <v>1256.3575393425194</v>
          </cell>
          <cell r="N305">
            <v>1</v>
          </cell>
        </row>
        <row r="306">
          <cell r="A306">
            <v>2028</v>
          </cell>
          <cell r="B306" t="str">
            <v>Neodymium</v>
          </cell>
          <cell r="C306" t="str">
            <v>Canada Net-zero</v>
          </cell>
          <cell r="D306" t="str">
            <v>Production potential</v>
          </cell>
          <cell r="E306" t="str">
            <v>100% CAN</v>
          </cell>
          <cell r="F306" t="str">
            <v>Integrated</v>
          </cell>
          <cell r="G306">
            <v>1263.9158077811819</v>
          </cell>
          <cell r="H306">
            <v>7.5582684386625987</v>
          </cell>
          <cell r="I306">
            <v>4.5239555742639546</v>
          </cell>
          <cell r="J306">
            <v>3.0343128643986441</v>
          </cell>
          <cell r="K306">
            <v>2098.9680778633069</v>
          </cell>
          <cell r="M306">
            <v>1256.3575393425194</v>
          </cell>
          <cell r="N306">
            <v>1</v>
          </cell>
        </row>
        <row r="307">
          <cell r="A307">
            <v>2028</v>
          </cell>
          <cell r="B307" t="str">
            <v>Neodymium</v>
          </cell>
          <cell r="C307" t="str">
            <v>Current Measures</v>
          </cell>
          <cell r="D307" t="str">
            <v>Existing production</v>
          </cell>
          <cell r="E307" t="str">
            <v>Current shares</v>
          </cell>
          <cell r="F307" t="str">
            <v>NIMBY</v>
          </cell>
          <cell r="G307">
            <v>617.02318900867328</v>
          </cell>
          <cell r="H307">
            <v>0</v>
          </cell>
          <cell r="I307">
            <v>0</v>
          </cell>
          <cell r="J307">
            <v>0</v>
          </cell>
          <cell r="K307">
            <v>1028.371981681122</v>
          </cell>
          <cell r="M307">
            <v>617.02318900867328</v>
          </cell>
          <cell r="N307">
            <v>1</v>
          </cell>
        </row>
        <row r="308">
          <cell r="A308">
            <v>2028</v>
          </cell>
          <cell r="B308" t="str">
            <v>Neodymium</v>
          </cell>
          <cell r="C308" t="str">
            <v>Current Measures</v>
          </cell>
          <cell r="D308" t="str">
            <v>Existing production</v>
          </cell>
          <cell r="E308" t="str">
            <v>Current shares</v>
          </cell>
          <cell r="F308" t="str">
            <v>Status Quo</v>
          </cell>
          <cell r="G308">
            <v>617.02318900867328</v>
          </cell>
          <cell r="H308">
            <v>0</v>
          </cell>
          <cell r="I308">
            <v>0</v>
          </cell>
          <cell r="J308">
            <v>0</v>
          </cell>
          <cell r="K308">
            <v>1028.371981681122</v>
          </cell>
          <cell r="M308">
            <v>617.02318900867328</v>
          </cell>
          <cell r="N308">
            <v>1</v>
          </cell>
        </row>
        <row r="309">
          <cell r="A309">
            <v>2028</v>
          </cell>
          <cell r="B309" t="str">
            <v>Neodymium</v>
          </cell>
          <cell r="C309" t="str">
            <v>Current Measures</v>
          </cell>
          <cell r="D309" t="str">
            <v>Production potential</v>
          </cell>
          <cell r="E309" t="str">
            <v>Current shares</v>
          </cell>
          <cell r="F309" t="str">
            <v>Expansion Extractive</v>
          </cell>
          <cell r="G309">
            <v>617.02318900867328</v>
          </cell>
          <cell r="H309">
            <v>7.5582684386625987</v>
          </cell>
          <cell r="I309">
            <v>4.5239555742639546</v>
          </cell>
          <cell r="J309">
            <v>3.0343128643986441</v>
          </cell>
          <cell r="K309">
            <v>1020.81371324246</v>
          </cell>
          <cell r="M309">
            <v>609.46492057001069</v>
          </cell>
          <cell r="N309">
            <v>1</v>
          </cell>
        </row>
        <row r="310">
          <cell r="A310">
            <v>2028</v>
          </cell>
          <cell r="B310" t="str">
            <v>Neodymium</v>
          </cell>
          <cell r="C310" t="str">
            <v>Current Measures</v>
          </cell>
          <cell r="D310" t="str">
            <v>Production potential</v>
          </cell>
          <cell r="E310" t="str">
            <v>Current shares</v>
          </cell>
          <cell r="F310" t="str">
            <v>Expansion Extractive+Circularity</v>
          </cell>
          <cell r="G310">
            <v>617.02318900867328</v>
          </cell>
          <cell r="H310">
            <v>7.5582684386625987</v>
          </cell>
          <cell r="I310">
            <v>4.5239555742639546</v>
          </cell>
          <cell r="J310">
            <v>3.0343128643986441</v>
          </cell>
          <cell r="K310">
            <v>1020.81371324246</v>
          </cell>
          <cell r="M310">
            <v>609.46492057001069</v>
          </cell>
          <cell r="N310">
            <v>1</v>
          </cell>
        </row>
        <row r="311">
          <cell r="A311">
            <v>2028</v>
          </cell>
          <cell r="B311" t="str">
            <v>Neodymium</v>
          </cell>
          <cell r="C311" t="str">
            <v>Current Measures</v>
          </cell>
          <cell r="D311" t="str">
            <v>Production potential</v>
          </cell>
          <cell r="E311" t="str">
            <v>100% CAN</v>
          </cell>
          <cell r="F311" t="str">
            <v>Integrated</v>
          </cell>
          <cell r="G311">
            <v>617.02318900867328</v>
          </cell>
          <cell r="H311">
            <v>7.5582684386625987</v>
          </cell>
          <cell r="I311">
            <v>4.5239555742639546</v>
          </cell>
          <cell r="J311">
            <v>3.0343128643986441</v>
          </cell>
          <cell r="K311">
            <v>1020.81371324246</v>
          </cell>
          <cell r="M311">
            <v>609.46492057001069</v>
          </cell>
          <cell r="N311">
            <v>1</v>
          </cell>
        </row>
        <row r="312">
          <cell r="A312">
            <v>2028</v>
          </cell>
          <cell r="B312" t="str">
            <v>Neodymium</v>
          </cell>
          <cell r="C312" t="str">
            <v>Global Net-zero</v>
          </cell>
          <cell r="D312" t="str">
            <v>Existing production</v>
          </cell>
          <cell r="E312" t="str">
            <v>Current shares</v>
          </cell>
          <cell r="F312" t="str">
            <v>NIMBY</v>
          </cell>
          <cell r="G312">
            <v>1228.637478119615</v>
          </cell>
          <cell r="H312">
            <v>0</v>
          </cell>
          <cell r="I312">
            <v>0</v>
          </cell>
          <cell r="J312">
            <v>0</v>
          </cell>
          <cell r="K312">
            <v>2047.729130199358</v>
          </cell>
          <cell r="M312">
            <v>1228.637478119615</v>
          </cell>
          <cell r="N312">
            <v>1</v>
          </cell>
        </row>
        <row r="313">
          <cell r="A313">
            <v>2028</v>
          </cell>
          <cell r="B313" t="str">
            <v>Neodymium</v>
          </cell>
          <cell r="C313" t="str">
            <v>Global Net-zero</v>
          </cell>
          <cell r="D313" t="str">
            <v>Existing production</v>
          </cell>
          <cell r="E313" t="str">
            <v>Current shares</v>
          </cell>
          <cell r="F313" t="str">
            <v>Status Quo</v>
          </cell>
          <cell r="G313">
            <v>1228.637478119615</v>
          </cell>
          <cell r="H313">
            <v>0</v>
          </cell>
          <cell r="I313">
            <v>0</v>
          </cell>
          <cell r="J313">
            <v>0</v>
          </cell>
          <cell r="K313">
            <v>2047.729130199358</v>
          </cell>
          <cell r="M313">
            <v>1228.637478119615</v>
          </cell>
          <cell r="N313">
            <v>1</v>
          </cell>
        </row>
        <row r="314">
          <cell r="A314">
            <v>2028</v>
          </cell>
          <cell r="B314" t="str">
            <v>Neodymium</v>
          </cell>
          <cell r="C314" t="str">
            <v>Global Net-zero</v>
          </cell>
          <cell r="D314" t="str">
            <v>Production potential</v>
          </cell>
          <cell r="E314" t="str">
            <v>Current shares</v>
          </cell>
          <cell r="F314" t="str">
            <v>Expansion Extractive</v>
          </cell>
          <cell r="G314">
            <v>1228.637478119615</v>
          </cell>
          <cell r="H314">
            <v>7.5582684386625987</v>
          </cell>
          <cell r="I314">
            <v>4.5239555742639546</v>
          </cell>
          <cell r="J314">
            <v>3.0343128643986441</v>
          </cell>
          <cell r="K314">
            <v>2040.170861760696</v>
          </cell>
          <cell r="M314">
            <v>1221.0792096809525</v>
          </cell>
          <cell r="N314">
            <v>1</v>
          </cell>
        </row>
        <row r="315">
          <cell r="A315">
            <v>2028</v>
          </cell>
          <cell r="B315" t="str">
            <v>Neodymium</v>
          </cell>
          <cell r="C315" t="str">
            <v>Global Net-zero</v>
          </cell>
          <cell r="D315" t="str">
            <v>Production potential</v>
          </cell>
          <cell r="E315" t="str">
            <v>Current shares</v>
          </cell>
          <cell r="F315" t="str">
            <v>Expansion Extractive+Circularity</v>
          </cell>
          <cell r="G315">
            <v>1228.637478119615</v>
          </cell>
          <cell r="H315">
            <v>7.5582684386625987</v>
          </cell>
          <cell r="I315">
            <v>4.5239555742639546</v>
          </cell>
          <cell r="J315">
            <v>3.0343128643986441</v>
          </cell>
          <cell r="K315">
            <v>2040.170861760696</v>
          </cell>
          <cell r="M315">
            <v>1221.0792096809525</v>
          </cell>
          <cell r="N315">
            <v>1</v>
          </cell>
        </row>
        <row r="316">
          <cell r="A316">
            <v>2028</v>
          </cell>
          <cell r="B316" t="str">
            <v>Neodymium</v>
          </cell>
          <cell r="C316" t="str">
            <v>Global Net-zero</v>
          </cell>
          <cell r="D316" t="str">
            <v>Production potential</v>
          </cell>
          <cell r="E316" t="str">
            <v>100% CAN</v>
          </cell>
          <cell r="F316" t="str">
            <v>Integrated</v>
          </cell>
          <cell r="G316">
            <v>1228.637478119615</v>
          </cell>
          <cell r="H316">
            <v>7.5582684386625987</v>
          </cell>
          <cell r="I316">
            <v>4.5239555742639546</v>
          </cell>
          <cell r="J316">
            <v>3.0343128643986441</v>
          </cell>
          <cell r="K316">
            <v>2040.170861760696</v>
          </cell>
          <cell r="M316">
            <v>1221.0792096809525</v>
          </cell>
          <cell r="N316">
            <v>1</v>
          </cell>
        </row>
        <row r="317">
          <cell r="A317">
            <v>2028</v>
          </cell>
          <cell r="B317" t="str">
            <v>Nickel</v>
          </cell>
          <cell r="C317" t="str">
            <v>Canada Net-zero</v>
          </cell>
          <cell r="D317" t="str">
            <v>Existing production</v>
          </cell>
          <cell r="E317" t="str">
            <v>Current shares</v>
          </cell>
          <cell r="F317" t="str">
            <v>NIMBY</v>
          </cell>
          <cell r="G317">
            <v>51389.307268411161</v>
          </cell>
          <cell r="H317">
            <v>0</v>
          </cell>
          <cell r="I317">
            <v>0</v>
          </cell>
          <cell r="J317">
            <v>0</v>
          </cell>
          <cell r="K317">
            <v>65049.756035963503</v>
          </cell>
          <cell r="M317">
            <v>51389.307268411161</v>
          </cell>
          <cell r="N317">
            <v>0.69917047091553897</v>
          </cell>
        </row>
        <row r="318">
          <cell r="A318">
            <v>2028</v>
          </cell>
          <cell r="B318" t="str">
            <v>Nickel</v>
          </cell>
          <cell r="C318" t="str">
            <v>Canada Net-zero</v>
          </cell>
          <cell r="D318" t="str">
            <v>Existing production</v>
          </cell>
          <cell r="E318" t="str">
            <v>Current shares</v>
          </cell>
          <cell r="F318" t="str">
            <v>Status Quo</v>
          </cell>
          <cell r="G318">
            <v>51389.307268411161</v>
          </cell>
          <cell r="H318">
            <v>154764</v>
          </cell>
          <cell r="I318">
            <v>86804.038957444558</v>
          </cell>
          <cell r="J318">
            <v>21402.379803327916</v>
          </cell>
          <cell r="K318">
            <v>0</v>
          </cell>
          <cell r="M318">
            <v>0</v>
          </cell>
          <cell r="N318">
            <v>0.69917047091553897</v>
          </cell>
        </row>
        <row r="319">
          <cell r="A319">
            <v>2028</v>
          </cell>
          <cell r="B319" t="str">
            <v>Nickel</v>
          </cell>
          <cell r="C319" t="str">
            <v>Canada Net-zero</v>
          </cell>
          <cell r="D319" t="str">
            <v>Production potential</v>
          </cell>
          <cell r="E319" t="str">
            <v>Current shares</v>
          </cell>
          <cell r="F319" t="str">
            <v>Expansion Extractive</v>
          </cell>
          <cell r="G319">
            <v>51389.307268411161</v>
          </cell>
          <cell r="H319">
            <v>210047</v>
          </cell>
          <cell r="I319">
            <v>117811.1703683955</v>
          </cell>
          <cell r="J319">
            <v>29047.489536000721</v>
          </cell>
          <cell r="K319">
            <v>0</v>
          </cell>
          <cell r="M319">
            <v>0</v>
          </cell>
          <cell r="N319">
            <v>0.69917047091553897</v>
          </cell>
        </row>
        <row r="320">
          <cell r="A320">
            <v>2028</v>
          </cell>
          <cell r="B320" t="str">
            <v>Nickel</v>
          </cell>
          <cell r="C320" t="str">
            <v>Canada Net-zero</v>
          </cell>
          <cell r="D320" t="str">
            <v>Production potential</v>
          </cell>
          <cell r="E320" t="str">
            <v>Current shares</v>
          </cell>
          <cell r="F320" t="str">
            <v>Expansion Extractive+Circularity</v>
          </cell>
          <cell r="G320">
            <v>51389.307268411161</v>
          </cell>
          <cell r="H320">
            <v>210047</v>
          </cell>
          <cell r="I320">
            <v>117811.1703683955</v>
          </cell>
          <cell r="J320">
            <v>29047.489536000721</v>
          </cell>
          <cell r="K320">
            <v>0</v>
          </cell>
          <cell r="M320">
            <v>0</v>
          </cell>
          <cell r="N320">
            <v>0.69917047091553897</v>
          </cell>
        </row>
        <row r="321">
          <cell r="A321">
            <v>2028</v>
          </cell>
          <cell r="B321" t="str">
            <v>Nickel</v>
          </cell>
          <cell r="C321" t="str">
            <v>Canada Net-zero</v>
          </cell>
          <cell r="D321" t="str">
            <v>Production potential</v>
          </cell>
          <cell r="E321" t="str">
            <v>100% CAN</v>
          </cell>
          <cell r="F321" t="str">
            <v>Integrated</v>
          </cell>
          <cell r="G321">
            <v>51389.307268411161</v>
          </cell>
          <cell r="H321">
            <v>210047</v>
          </cell>
          <cell r="I321">
            <v>165423.56442489001</v>
          </cell>
          <cell r="J321">
            <v>-18564.904520493787</v>
          </cell>
          <cell r="K321">
            <v>0</v>
          </cell>
          <cell r="M321">
            <v>18564.904520493787</v>
          </cell>
          <cell r="N321">
            <v>0.69917047091553897</v>
          </cell>
        </row>
        <row r="322">
          <cell r="A322">
            <v>2028</v>
          </cell>
          <cell r="B322" t="str">
            <v>Nickel</v>
          </cell>
          <cell r="C322" t="str">
            <v>Current Measures</v>
          </cell>
          <cell r="D322" t="str">
            <v>Existing production</v>
          </cell>
          <cell r="E322" t="str">
            <v>Current shares</v>
          </cell>
          <cell r="F322" t="str">
            <v>NIMBY</v>
          </cell>
          <cell r="G322">
            <v>32884.415205425117</v>
          </cell>
          <cell r="H322">
            <v>0</v>
          </cell>
          <cell r="I322">
            <v>0</v>
          </cell>
          <cell r="J322">
            <v>0</v>
          </cell>
          <cell r="K322">
            <v>41625.842032183689</v>
          </cell>
          <cell r="M322">
            <v>32884.415205425117</v>
          </cell>
          <cell r="N322">
            <v>0.69917047091553897</v>
          </cell>
        </row>
        <row r="323">
          <cell r="A323">
            <v>2028</v>
          </cell>
          <cell r="B323" t="str">
            <v>Nickel</v>
          </cell>
          <cell r="C323" t="str">
            <v>Current Measures</v>
          </cell>
          <cell r="D323" t="str">
            <v>Existing production</v>
          </cell>
          <cell r="E323" t="str">
            <v>Current shares</v>
          </cell>
          <cell r="F323" t="str">
            <v>Status Quo</v>
          </cell>
          <cell r="G323">
            <v>32884.415205425117</v>
          </cell>
          <cell r="H323">
            <v>154764</v>
          </cell>
          <cell r="I323">
            <v>86804.038957444558</v>
          </cell>
          <cell r="J323">
            <v>21402.379803327916</v>
          </cell>
          <cell r="K323">
            <v>0</v>
          </cell>
          <cell r="M323">
            <v>0</v>
          </cell>
          <cell r="N323">
            <v>0.69917047091553897</v>
          </cell>
        </row>
        <row r="324">
          <cell r="A324">
            <v>2028</v>
          </cell>
          <cell r="B324" t="str">
            <v>Nickel</v>
          </cell>
          <cell r="C324" t="str">
            <v>Current Measures</v>
          </cell>
          <cell r="D324" t="str">
            <v>Production potential</v>
          </cell>
          <cell r="E324" t="str">
            <v>Current shares</v>
          </cell>
          <cell r="F324" t="str">
            <v>Expansion Extractive</v>
          </cell>
          <cell r="G324">
            <v>32884.415205425117</v>
          </cell>
          <cell r="H324">
            <v>210047</v>
          </cell>
          <cell r="I324">
            <v>117811.1703683955</v>
          </cell>
          <cell r="J324">
            <v>29047.489536000721</v>
          </cell>
          <cell r="K324">
            <v>0</v>
          </cell>
          <cell r="M324">
            <v>0</v>
          </cell>
          <cell r="N324">
            <v>0.69917047091553897</v>
          </cell>
        </row>
        <row r="325">
          <cell r="A325">
            <v>2028</v>
          </cell>
          <cell r="B325" t="str">
            <v>Nickel</v>
          </cell>
          <cell r="C325" t="str">
            <v>Current Measures</v>
          </cell>
          <cell r="D325" t="str">
            <v>Production potential</v>
          </cell>
          <cell r="E325" t="str">
            <v>Current shares</v>
          </cell>
          <cell r="F325" t="str">
            <v>Expansion Extractive+Circularity</v>
          </cell>
          <cell r="G325">
            <v>32884.415205425117</v>
          </cell>
          <cell r="H325">
            <v>210047</v>
          </cell>
          <cell r="I325">
            <v>117811.1703683955</v>
          </cell>
          <cell r="J325">
            <v>29047.489536000721</v>
          </cell>
          <cell r="K325">
            <v>0</v>
          </cell>
          <cell r="M325">
            <v>0</v>
          </cell>
          <cell r="N325">
            <v>0.69917047091553897</v>
          </cell>
        </row>
        <row r="326">
          <cell r="A326">
            <v>2028</v>
          </cell>
          <cell r="B326" t="str">
            <v>Nickel</v>
          </cell>
          <cell r="C326" t="str">
            <v>Current Measures</v>
          </cell>
          <cell r="D326" t="str">
            <v>Production potential</v>
          </cell>
          <cell r="E326" t="str">
            <v>100% CAN</v>
          </cell>
          <cell r="F326" t="str">
            <v>Integrated</v>
          </cell>
          <cell r="G326">
            <v>32884.415205425117</v>
          </cell>
          <cell r="H326">
            <v>210047</v>
          </cell>
          <cell r="I326">
            <v>165423.56442489001</v>
          </cell>
          <cell r="J326">
            <v>-18564.904520493787</v>
          </cell>
          <cell r="K326">
            <v>0</v>
          </cell>
          <cell r="M326">
            <v>18564.904520493787</v>
          </cell>
          <cell r="N326">
            <v>0.69917047091553897</v>
          </cell>
        </row>
        <row r="327">
          <cell r="A327">
            <v>2028</v>
          </cell>
          <cell r="B327" t="str">
            <v>Nickel</v>
          </cell>
          <cell r="C327" t="str">
            <v>Global Net-zero</v>
          </cell>
          <cell r="D327" t="str">
            <v>Existing production</v>
          </cell>
          <cell r="E327" t="str">
            <v>Current shares</v>
          </cell>
          <cell r="F327" t="str">
            <v>NIMBY</v>
          </cell>
          <cell r="G327">
            <v>49184.449113354851</v>
          </cell>
          <cell r="H327">
            <v>0</v>
          </cell>
          <cell r="I327">
            <v>0</v>
          </cell>
          <cell r="J327">
            <v>0</v>
          </cell>
          <cell r="K327">
            <v>62258.796346018797</v>
          </cell>
          <cell r="M327">
            <v>49184.449113354851</v>
          </cell>
          <cell r="N327">
            <v>0.69917047091553897</v>
          </cell>
        </row>
        <row r="328">
          <cell r="A328">
            <v>2028</v>
          </cell>
          <cell r="B328" t="str">
            <v>Nickel</v>
          </cell>
          <cell r="C328" t="str">
            <v>Global Net-zero</v>
          </cell>
          <cell r="D328" t="str">
            <v>Existing production</v>
          </cell>
          <cell r="E328" t="str">
            <v>Current shares</v>
          </cell>
          <cell r="F328" t="str">
            <v>Status Quo</v>
          </cell>
          <cell r="G328">
            <v>49184.449113354851</v>
          </cell>
          <cell r="H328">
            <v>154764</v>
          </cell>
          <cell r="I328">
            <v>86804.038957444558</v>
          </cell>
          <cell r="J328">
            <v>21402.379803327916</v>
          </cell>
          <cell r="K328">
            <v>0</v>
          </cell>
          <cell r="M328">
            <v>0</v>
          </cell>
          <cell r="N328">
            <v>0.69917047091553897</v>
          </cell>
        </row>
        <row r="329">
          <cell r="A329">
            <v>2028</v>
          </cell>
          <cell r="B329" t="str">
            <v>Nickel</v>
          </cell>
          <cell r="C329" t="str">
            <v>Global Net-zero</v>
          </cell>
          <cell r="D329" t="str">
            <v>Production potential</v>
          </cell>
          <cell r="E329" t="str">
            <v>Current shares</v>
          </cell>
          <cell r="F329" t="str">
            <v>Expansion Extractive</v>
          </cell>
          <cell r="G329">
            <v>49184.449113354851</v>
          </cell>
          <cell r="H329">
            <v>210047</v>
          </cell>
          <cell r="I329">
            <v>117811.1703683955</v>
          </cell>
          <cell r="J329">
            <v>29047.489536000721</v>
          </cell>
          <cell r="K329">
            <v>0</v>
          </cell>
          <cell r="M329">
            <v>0</v>
          </cell>
          <cell r="N329">
            <v>0.69917047091553897</v>
          </cell>
        </row>
        <row r="330">
          <cell r="A330">
            <v>2028</v>
          </cell>
          <cell r="B330" t="str">
            <v>Nickel</v>
          </cell>
          <cell r="C330" t="str">
            <v>Global Net-zero</v>
          </cell>
          <cell r="D330" t="str">
            <v>Production potential</v>
          </cell>
          <cell r="E330" t="str">
            <v>Current shares</v>
          </cell>
          <cell r="F330" t="str">
            <v>Expansion Extractive+Circularity</v>
          </cell>
          <cell r="G330">
            <v>49184.449113354851</v>
          </cell>
          <cell r="H330">
            <v>210047</v>
          </cell>
          <cell r="I330">
            <v>117811.1703683955</v>
          </cell>
          <cell r="J330">
            <v>29047.489536000721</v>
          </cell>
          <cell r="K330">
            <v>0</v>
          </cell>
          <cell r="M330">
            <v>0</v>
          </cell>
          <cell r="N330">
            <v>0.69917047091553897</v>
          </cell>
        </row>
        <row r="331">
          <cell r="A331">
            <v>2028</v>
          </cell>
          <cell r="B331" t="str">
            <v>Nickel</v>
          </cell>
          <cell r="C331" t="str">
            <v>Global Net-zero</v>
          </cell>
          <cell r="D331" t="str">
            <v>Production potential</v>
          </cell>
          <cell r="E331" t="str">
            <v>100% CAN</v>
          </cell>
          <cell r="F331" t="str">
            <v>Integrated</v>
          </cell>
          <cell r="G331">
            <v>49184.449113354851</v>
          </cell>
          <cell r="H331">
            <v>210047</v>
          </cell>
          <cell r="I331">
            <v>165423.56442489001</v>
          </cell>
          <cell r="J331">
            <v>-18564.904520493787</v>
          </cell>
          <cell r="K331">
            <v>0</v>
          </cell>
          <cell r="M331">
            <v>18564.904520493787</v>
          </cell>
          <cell r="N331">
            <v>0.69917047091553897</v>
          </cell>
        </row>
        <row r="332">
          <cell r="A332">
            <v>2028</v>
          </cell>
          <cell r="B332" t="str">
            <v>Graphite</v>
          </cell>
          <cell r="C332" t="str">
            <v>Canada Net-zero</v>
          </cell>
          <cell r="D332" t="str">
            <v>Existing production</v>
          </cell>
          <cell r="E332" t="str">
            <v>Current shares</v>
          </cell>
          <cell r="F332" t="str">
            <v>NIMBY</v>
          </cell>
          <cell r="G332">
            <v>1182.9561420443069</v>
          </cell>
          <cell r="H332">
            <v>0</v>
          </cell>
          <cell r="I332">
            <v>0</v>
          </cell>
          <cell r="J332">
            <v>0</v>
          </cell>
          <cell r="K332">
            <v>1182.9561420443069</v>
          </cell>
          <cell r="M332">
            <v>1182.9561420443069</v>
          </cell>
          <cell r="N332">
            <v>0.59854391398996798</v>
          </cell>
        </row>
        <row r="333">
          <cell r="A333">
            <v>2028</v>
          </cell>
          <cell r="B333" t="str">
            <v>Graphite</v>
          </cell>
          <cell r="C333" t="str">
            <v>Canada Net-zero</v>
          </cell>
          <cell r="D333" t="str">
            <v>Existing production</v>
          </cell>
          <cell r="E333" t="str">
            <v>Current shares</v>
          </cell>
          <cell r="F333" t="str">
            <v>Status Quo</v>
          </cell>
          <cell r="G333">
            <v>1182.9561420443069</v>
          </cell>
          <cell r="H333">
            <v>0</v>
          </cell>
          <cell r="I333">
            <v>0</v>
          </cell>
          <cell r="J333">
            <v>0</v>
          </cell>
          <cell r="K333">
            <v>1182.9561420443069</v>
          </cell>
          <cell r="M333">
            <v>1182.9561420443069</v>
          </cell>
          <cell r="N333">
            <v>0.59854391398996798</v>
          </cell>
        </row>
        <row r="334">
          <cell r="A334">
            <v>2028</v>
          </cell>
          <cell r="B334" t="str">
            <v>Graphite</v>
          </cell>
          <cell r="C334" t="str">
            <v>Canada Net-zero</v>
          </cell>
          <cell r="D334" t="str">
            <v>Production potential</v>
          </cell>
          <cell r="E334" t="str">
            <v>Current shares</v>
          </cell>
          <cell r="F334" t="str">
            <v>Expansion Extractive</v>
          </cell>
          <cell r="G334">
            <v>1182.9561420443069</v>
          </cell>
          <cell r="H334">
            <v>99735</v>
          </cell>
          <cell r="I334">
            <v>32912.550000000003</v>
          </cell>
          <cell r="J334">
            <v>26783.227261789456</v>
          </cell>
          <cell r="K334">
            <v>0</v>
          </cell>
          <cell r="M334">
            <v>0</v>
          </cell>
          <cell r="N334">
            <v>0.59854391398996798</v>
          </cell>
        </row>
        <row r="335">
          <cell r="A335">
            <v>2028</v>
          </cell>
          <cell r="B335" t="str">
            <v>Graphite</v>
          </cell>
          <cell r="C335" t="str">
            <v>Canada Net-zero</v>
          </cell>
          <cell r="D335" t="str">
            <v>Production potential</v>
          </cell>
          <cell r="E335" t="str">
            <v>Current shares</v>
          </cell>
          <cell r="F335" t="str">
            <v>Expansion Extractive+Circularity</v>
          </cell>
          <cell r="G335">
            <v>1182.9561420443069</v>
          </cell>
          <cell r="H335">
            <v>99735</v>
          </cell>
          <cell r="I335">
            <v>32912.550000000003</v>
          </cell>
          <cell r="J335">
            <v>26783.227261789456</v>
          </cell>
          <cell r="K335">
            <v>0</v>
          </cell>
          <cell r="M335">
            <v>0</v>
          </cell>
          <cell r="N335">
            <v>0.59854391398996798</v>
          </cell>
        </row>
        <row r="336">
          <cell r="A336">
            <v>2028</v>
          </cell>
          <cell r="B336" t="str">
            <v>Graphite</v>
          </cell>
          <cell r="C336" t="str">
            <v>Canada Net-zero</v>
          </cell>
          <cell r="D336" t="str">
            <v>Production potential</v>
          </cell>
          <cell r="E336" t="str">
            <v>100% CAN</v>
          </cell>
          <cell r="F336" t="str">
            <v>Integrated</v>
          </cell>
          <cell r="G336">
            <v>1182.9561420443069</v>
          </cell>
          <cell r="H336">
            <v>99735</v>
          </cell>
          <cell r="I336">
            <v>32912.550000000003</v>
          </cell>
          <cell r="J336">
            <v>26783.227261789456</v>
          </cell>
          <cell r="K336">
            <v>0</v>
          </cell>
          <cell r="M336">
            <v>0</v>
          </cell>
          <cell r="N336">
            <v>0.59854391398996798</v>
          </cell>
        </row>
        <row r="337">
          <cell r="A337">
            <v>2028</v>
          </cell>
          <cell r="B337" t="str">
            <v>Graphite</v>
          </cell>
          <cell r="C337" t="str">
            <v>Current Measures</v>
          </cell>
          <cell r="D337" t="str">
            <v>Existing production</v>
          </cell>
          <cell r="E337" t="str">
            <v>Current shares</v>
          </cell>
          <cell r="F337" t="str">
            <v>NIMBY</v>
          </cell>
          <cell r="G337">
            <v>671.91452613806371</v>
          </cell>
          <cell r="H337">
            <v>0</v>
          </cell>
          <cell r="I337">
            <v>0</v>
          </cell>
          <cell r="J337">
            <v>0</v>
          </cell>
          <cell r="K337">
            <v>671.91452613806371</v>
          </cell>
          <cell r="M337">
            <v>671.91452613806371</v>
          </cell>
          <cell r="N337">
            <v>0.59854391398996798</v>
          </cell>
        </row>
        <row r="338">
          <cell r="A338">
            <v>2028</v>
          </cell>
          <cell r="B338" t="str">
            <v>Graphite</v>
          </cell>
          <cell r="C338" t="str">
            <v>Current Measures</v>
          </cell>
          <cell r="D338" t="str">
            <v>Existing production</v>
          </cell>
          <cell r="E338" t="str">
            <v>Current shares</v>
          </cell>
          <cell r="F338" t="str">
            <v>Status Quo</v>
          </cell>
          <cell r="G338">
            <v>671.91452613806371</v>
          </cell>
          <cell r="H338">
            <v>0</v>
          </cell>
          <cell r="I338">
            <v>0</v>
          </cell>
          <cell r="J338">
            <v>0</v>
          </cell>
          <cell r="K338">
            <v>671.91452613806371</v>
          </cell>
          <cell r="M338">
            <v>671.91452613806371</v>
          </cell>
          <cell r="N338">
            <v>0.59854391398996798</v>
          </cell>
        </row>
        <row r="339">
          <cell r="A339">
            <v>2028</v>
          </cell>
          <cell r="B339" t="str">
            <v>Graphite</v>
          </cell>
          <cell r="C339" t="str">
            <v>Current Measures</v>
          </cell>
          <cell r="D339" t="str">
            <v>Production potential</v>
          </cell>
          <cell r="E339" t="str">
            <v>Current shares</v>
          </cell>
          <cell r="F339" t="str">
            <v>Expansion Extractive</v>
          </cell>
          <cell r="G339">
            <v>671.91452613806371</v>
          </cell>
          <cell r="H339">
            <v>99735</v>
          </cell>
          <cell r="I339">
            <v>32912.550000000003</v>
          </cell>
          <cell r="J339">
            <v>26783.227261789456</v>
          </cell>
          <cell r="K339">
            <v>0</v>
          </cell>
          <cell r="M339">
            <v>0</v>
          </cell>
          <cell r="N339">
            <v>0.59854391398996798</v>
          </cell>
        </row>
        <row r="340">
          <cell r="A340">
            <v>2028</v>
          </cell>
          <cell r="B340" t="str">
            <v>Graphite</v>
          </cell>
          <cell r="C340" t="str">
            <v>Current Measures</v>
          </cell>
          <cell r="D340" t="str">
            <v>Production potential</v>
          </cell>
          <cell r="E340" t="str">
            <v>Current shares</v>
          </cell>
          <cell r="F340" t="str">
            <v>Expansion Extractive+Circularity</v>
          </cell>
          <cell r="G340">
            <v>671.91452613806371</v>
          </cell>
          <cell r="H340">
            <v>99735</v>
          </cell>
          <cell r="I340">
            <v>32912.550000000003</v>
          </cell>
          <cell r="J340">
            <v>26783.227261789456</v>
          </cell>
          <cell r="K340">
            <v>0</v>
          </cell>
          <cell r="M340">
            <v>0</v>
          </cell>
          <cell r="N340">
            <v>0.59854391398996798</v>
          </cell>
        </row>
        <row r="341">
          <cell r="A341">
            <v>2028</v>
          </cell>
          <cell r="B341" t="str">
            <v>Graphite</v>
          </cell>
          <cell r="C341" t="str">
            <v>Current Measures</v>
          </cell>
          <cell r="D341" t="str">
            <v>Production potential</v>
          </cell>
          <cell r="E341" t="str">
            <v>100% CAN</v>
          </cell>
          <cell r="F341" t="str">
            <v>Integrated</v>
          </cell>
          <cell r="G341">
            <v>671.91452613806371</v>
          </cell>
          <cell r="H341">
            <v>99735</v>
          </cell>
          <cell r="I341">
            <v>32912.550000000003</v>
          </cell>
          <cell r="J341">
            <v>26783.227261789456</v>
          </cell>
          <cell r="K341">
            <v>0</v>
          </cell>
          <cell r="M341">
            <v>0</v>
          </cell>
          <cell r="N341">
            <v>0.59854391398996798</v>
          </cell>
        </row>
        <row r="342">
          <cell r="A342">
            <v>2028</v>
          </cell>
          <cell r="B342" t="str">
            <v>Graphite</v>
          </cell>
          <cell r="C342" t="str">
            <v>Global Net-zero</v>
          </cell>
          <cell r="D342" t="str">
            <v>Existing production</v>
          </cell>
          <cell r="E342" t="str">
            <v>Current shares</v>
          </cell>
          <cell r="F342" t="str">
            <v>NIMBY</v>
          </cell>
          <cell r="G342">
            <v>1144.5393976176119</v>
          </cell>
          <cell r="H342">
            <v>0</v>
          </cell>
          <cell r="I342">
            <v>0</v>
          </cell>
          <cell r="J342">
            <v>0</v>
          </cell>
          <cell r="K342">
            <v>1144.5393976176119</v>
          </cell>
          <cell r="M342">
            <v>1144.5393976176119</v>
          </cell>
          <cell r="N342">
            <v>0.59854391398996798</v>
          </cell>
        </row>
        <row r="343">
          <cell r="A343">
            <v>2028</v>
          </cell>
          <cell r="B343" t="str">
            <v>Graphite</v>
          </cell>
          <cell r="C343" t="str">
            <v>Global Net-zero</v>
          </cell>
          <cell r="D343" t="str">
            <v>Existing production</v>
          </cell>
          <cell r="E343" t="str">
            <v>Current shares</v>
          </cell>
          <cell r="F343" t="str">
            <v>Status Quo</v>
          </cell>
          <cell r="G343">
            <v>1144.5393976176119</v>
          </cell>
          <cell r="H343">
            <v>0</v>
          </cell>
          <cell r="I343">
            <v>0</v>
          </cell>
          <cell r="J343">
            <v>0</v>
          </cell>
          <cell r="K343">
            <v>1144.5393976176119</v>
          </cell>
          <cell r="M343">
            <v>1144.5393976176119</v>
          </cell>
          <cell r="N343">
            <v>0.59854391398996798</v>
          </cell>
        </row>
        <row r="344">
          <cell r="A344">
            <v>2028</v>
          </cell>
          <cell r="B344" t="str">
            <v>Graphite</v>
          </cell>
          <cell r="C344" t="str">
            <v>Global Net-zero</v>
          </cell>
          <cell r="D344" t="str">
            <v>Production potential</v>
          </cell>
          <cell r="E344" t="str">
            <v>Current shares</v>
          </cell>
          <cell r="F344" t="str">
            <v>Expansion Extractive</v>
          </cell>
          <cell r="G344">
            <v>1144.5393976176119</v>
          </cell>
          <cell r="H344">
            <v>99735</v>
          </cell>
          <cell r="I344">
            <v>32912.550000000003</v>
          </cell>
          <cell r="J344">
            <v>26783.227261789456</v>
          </cell>
          <cell r="K344">
            <v>0</v>
          </cell>
          <cell r="M344">
            <v>0</v>
          </cell>
          <cell r="N344">
            <v>0.59854391398996798</v>
          </cell>
        </row>
        <row r="345">
          <cell r="A345">
            <v>2028</v>
          </cell>
          <cell r="B345" t="str">
            <v>Graphite</v>
          </cell>
          <cell r="C345" t="str">
            <v>Global Net-zero</v>
          </cell>
          <cell r="D345" t="str">
            <v>Production potential</v>
          </cell>
          <cell r="E345" t="str">
            <v>Current shares</v>
          </cell>
          <cell r="F345" t="str">
            <v>Expansion Extractive+Circularity</v>
          </cell>
          <cell r="G345">
            <v>1144.5393976176119</v>
          </cell>
          <cell r="H345">
            <v>99735</v>
          </cell>
          <cell r="I345">
            <v>32912.550000000003</v>
          </cell>
          <cell r="J345">
            <v>26783.227261789456</v>
          </cell>
          <cell r="K345">
            <v>0</v>
          </cell>
          <cell r="M345">
            <v>0</v>
          </cell>
          <cell r="N345">
            <v>0.59854391398996798</v>
          </cell>
        </row>
        <row r="346">
          <cell r="A346">
            <v>2028</v>
          </cell>
          <cell r="B346" t="str">
            <v>Graphite</v>
          </cell>
          <cell r="C346" t="str">
            <v>Global Net-zero</v>
          </cell>
          <cell r="D346" t="str">
            <v>Production potential</v>
          </cell>
          <cell r="E346" t="str">
            <v>100% CAN</v>
          </cell>
          <cell r="F346" t="str">
            <v>Integrated</v>
          </cell>
          <cell r="G346">
            <v>1144.5393976176119</v>
          </cell>
          <cell r="H346">
            <v>99735</v>
          </cell>
          <cell r="I346">
            <v>32912.550000000003</v>
          </cell>
          <cell r="J346">
            <v>26783.227261789456</v>
          </cell>
          <cell r="K346">
            <v>0</v>
          </cell>
          <cell r="M346">
            <v>0</v>
          </cell>
          <cell r="N346">
            <v>0.59854391398996798</v>
          </cell>
        </row>
        <row r="347">
          <cell r="A347">
            <v>2028</v>
          </cell>
          <cell r="B347" t="str">
            <v>Lithium</v>
          </cell>
          <cell r="C347" t="str">
            <v>Canada Net-zero</v>
          </cell>
          <cell r="D347" t="str">
            <v>Existing production</v>
          </cell>
          <cell r="E347" t="str">
            <v>Current shares</v>
          </cell>
          <cell r="F347" t="str">
            <v>NIMBY</v>
          </cell>
          <cell r="G347">
            <v>18935.44383590906</v>
          </cell>
          <cell r="H347">
            <v>0</v>
          </cell>
          <cell r="I347">
            <v>0</v>
          </cell>
          <cell r="J347">
            <v>0</v>
          </cell>
          <cell r="K347">
            <v>27050.634051298661</v>
          </cell>
          <cell r="M347">
            <v>18935.44383590906</v>
          </cell>
          <cell r="N347">
            <v>0.787554996857322</v>
          </cell>
        </row>
        <row r="348">
          <cell r="A348">
            <v>2028</v>
          </cell>
          <cell r="B348" t="str">
            <v>Lithium</v>
          </cell>
          <cell r="C348" t="str">
            <v>Canada Net-zero</v>
          </cell>
          <cell r="D348" t="str">
            <v>Existing production</v>
          </cell>
          <cell r="E348" t="str">
            <v>Current shares</v>
          </cell>
          <cell r="F348" t="str">
            <v>Status Quo</v>
          </cell>
          <cell r="G348">
            <v>18935.44383590906</v>
          </cell>
          <cell r="H348">
            <v>40292</v>
          </cell>
          <cell r="I348">
            <v>28170.9766141289</v>
          </cell>
          <cell r="J348">
            <v>3561.1893192463176</v>
          </cell>
          <cell r="K348">
            <v>0</v>
          </cell>
          <cell r="M348">
            <v>0</v>
          </cell>
          <cell r="N348">
            <v>0.787554996857322</v>
          </cell>
        </row>
        <row r="349">
          <cell r="A349">
            <v>2028</v>
          </cell>
          <cell r="B349" t="str">
            <v>Lithium</v>
          </cell>
          <cell r="C349" t="str">
            <v>Canada Net-zero</v>
          </cell>
          <cell r="D349" t="str">
            <v>Production potential</v>
          </cell>
          <cell r="E349" t="str">
            <v>Current shares</v>
          </cell>
          <cell r="F349" t="str">
            <v>Expansion Extractive</v>
          </cell>
          <cell r="G349">
            <v>18935.44383590906</v>
          </cell>
          <cell r="H349">
            <v>162581</v>
          </cell>
          <cell r="I349">
            <v>113671.83433191929</v>
          </cell>
          <cell r="J349">
            <v>14369.644612140968</v>
          </cell>
          <cell r="K349">
            <v>0</v>
          </cell>
          <cell r="M349">
            <v>0</v>
          </cell>
          <cell r="N349">
            <v>0.787554996857322</v>
          </cell>
        </row>
        <row r="350">
          <cell r="A350">
            <v>2028</v>
          </cell>
          <cell r="B350" t="str">
            <v>Lithium</v>
          </cell>
          <cell r="C350" t="str">
            <v>Canada Net-zero</v>
          </cell>
          <cell r="D350" t="str">
            <v>Production potential</v>
          </cell>
          <cell r="E350" t="str">
            <v>Current shares</v>
          </cell>
          <cell r="F350" t="str">
            <v>Expansion Extractive+Circularity</v>
          </cell>
          <cell r="G350">
            <v>18935.44383590906</v>
          </cell>
          <cell r="H350">
            <v>162581</v>
          </cell>
          <cell r="I350">
            <v>113671.83433191929</v>
          </cell>
          <cell r="J350">
            <v>14369.644612140968</v>
          </cell>
          <cell r="K350">
            <v>0</v>
          </cell>
          <cell r="M350">
            <v>0</v>
          </cell>
          <cell r="N350">
            <v>0.787554996857322</v>
          </cell>
        </row>
        <row r="351">
          <cell r="A351">
            <v>2028</v>
          </cell>
          <cell r="B351" t="str">
            <v>Lithium</v>
          </cell>
          <cell r="C351" t="str">
            <v>Canada Net-zero</v>
          </cell>
          <cell r="D351" t="str">
            <v>Production potential</v>
          </cell>
          <cell r="E351" t="str">
            <v>100% CAN</v>
          </cell>
          <cell r="F351" t="str">
            <v>Integrated</v>
          </cell>
          <cell r="G351">
            <v>18935.44383590906</v>
          </cell>
          <cell r="H351">
            <v>162581</v>
          </cell>
          <cell r="I351">
            <v>113671.83433191929</v>
          </cell>
          <cell r="J351">
            <v>14369.644612140968</v>
          </cell>
          <cell r="K351">
            <v>0</v>
          </cell>
          <cell r="M351">
            <v>0</v>
          </cell>
          <cell r="N351">
            <v>0.787554996857322</v>
          </cell>
        </row>
        <row r="352">
          <cell r="A352">
            <v>2028</v>
          </cell>
          <cell r="B352" t="str">
            <v>Lithium</v>
          </cell>
          <cell r="C352" t="str">
            <v>Current Measures</v>
          </cell>
          <cell r="D352" t="str">
            <v>Existing production</v>
          </cell>
          <cell r="E352" t="str">
            <v>Current shares</v>
          </cell>
          <cell r="F352" t="str">
            <v>NIMBY</v>
          </cell>
          <cell r="G352">
            <v>10755.25906669006</v>
          </cell>
          <cell r="H352">
            <v>0</v>
          </cell>
          <cell r="I352">
            <v>0</v>
          </cell>
          <cell r="J352">
            <v>0</v>
          </cell>
          <cell r="K352">
            <v>15364.655809557231</v>
          </cell>
          <cell r="M352">
            <v>10755.25906669006</v>
          </cell>
          <cell r="N352">
            <v>0.787554996857322</v>
          </cell>
        </row>
        <row r="353">
          <cell r="A353">
            <v>2028</v>
          </cell>
          <cell r="B353" t="str">
            <v>Lithium</v>
          </cell>
          <cell r="C353" t="str">
            <v>Current Measures</v>
          </cell>
          <cell r="D353" t="str">
            <v>Existing production</v>
          </cell>
          <cell r="E353" t="str">
            <v>Current shares</v>
          </cell>
          <cell r="F353" t="str">
            <v>Status Quo</v>
          </cell>
          <cell r="G353">
            <v>10755.25906669006</v>
          </cell>
          <cell r="H353">
            <v>40292</v>
          </cell>
          <cell r="I353">
            <v>28170.9766141289</v>
          </cell>
          <cell r="J353">
            <v>3561.1893192463176</v>
          </cell>
          <cell r="K353">
            <v>0</v>
          </cell>
          <cell r="M353">
            <v>0</v>
          </cell>
          <cell r="N353">
            <v>0.787554996857322</v>
          </cell>
        </row>
        <row r="354">
          <cell r="A354">
            <v>2028</v>
          </cell>
          <cell r="B354" t="str">
            <v>Lithium</v>
          </cell>
          <cell r="C354" t="str">
            <v>Current Measures</v>
          </cell>
          <cell r="D354" t="str">
            <v>Production potential</v>
          </cell>
          <cell r="E354" t="str">
            <v>Current shares</v>
          </cell>
          <cell r="F354" t="str">
            <v>Expansion Extractive</v>
          </cell>
          <cell r="G354">
            <v>10755.25906669006</v>
          </cell>
          <cell r="H354">
            <v>162581</v>
          </cell>
          <cell r="I354">
            <v>113671.83433191929</v>
          </cell>
          <cell r="J354">
            <v>14369.644612140968</v>
          </cell>
          <cell r="K354">
            <v>0</v>
          </cell>
          <cell r="M354">
            <v>0</v>
          </cell>
          <cell r="N354">
            <v>0.787554996857322</v>
          </cell>
        </row>
        <row r="355">
          <cell r="A355">
            <v>2028</v>
          </cell>
          <cell r="B355" t="str">
            <v>Lithium</v>
          </cell>
          <cell r="C355" t="str">
            <v>Current Measures</v>
          </cell>
          <cell r="D355" t="str">
            <v>Production potential</v>
          </cell>
          <cell r="E355" t="str">
            <v>Current shares</v>
          </cell>
          <cell r="F355" t="str">
            <v>Expansion Extractive+Circularity</v>
          </cell>
          <cell r="G355">
            <v>10755.25906669006</v>
          </cell>
          <cell r="H355">
            <v>162581</v>
          </cell>
          <cell r="I355">
            <v>113671.83433191929</v>
          </cell>
          <cell r="J355">
            <v>14369.644612140968</v>
          </cell>
          <cell r="K355">
            <v>0</v>
          </cell>
          <cell r="M355">
            <v>0</v>
          </cell>
          <cell r="N355">
            <v>0.787554996857322</v>
          </cell>
        </row>
        <row r="356">
          <cell r="A356">
            <v>2028</v>
          </cell>
          <cell r="B356" t="str">
            <v>Lithium</v>
          </cell>
          <cell r="C356" t="str">
            <v>Current Measures</v>
          </cell>
          <cell r="D356" t="str">
            <v>Production potential</v>
          </cell>
          <cell r="E356" t="str">
            <v>100% CAN</v>
          </cell>
          <cell r="F356" t="str">
            <v>Integrated</v>
          </cell>
          <cell r="G356">
            <v>10755.25906669006</v>
          </cell>
          <cell r="H356">
            <v>162581</v>
          </cell>
          <cell r="I356">
            <v>113671.83433191929</v>
          </cell>
          <cell r="J356">
            <v>14369.644612140968</v>
          </cell>
          <cell r="K356">
            <v>0</v>
          </cell>
          <cell r="M356">
            <v>0</v>
          </cell>
          <cell r="N356">
            <v>0.787554996857322</v>
          </cell>
        </row>
        <row r="357">
          <cell r="A357">
            <v>2028</v>
          </cell>
          <cell r="B357" t="str">
            <v>Lithium</v>
          </cell>
          <cell r="C357" t="str">
            <v>Global Net-zero</v>
          </cell>
          <cell r="D357" t="str">
            <v>Existing production</v>
          </cell>
          <cell r="E357" t="str">
            <v>Current shares</v>
          </cell>
          <cell r="F357" t="str">
            <v>NIMBY</v>
          </cell>
          <cell r="G357">
            <v>18320.51139623878</v>
          </cell>
          <cell r="H357">
            <v>0</v>
          </cell>
          <cell r="I357">
            <v>0</v>
          </cell>
          <cell r="J357">
            <v>0</v>
          </cell>
          <cell r="K357">
            <v>26172.15913748397</v>
          </cell>
          <cell r="M357">
            <v>18320.51139623878</v>
          </cell>
          <cell r="N357">
            <v>0.787554996857322</v>
          </cell>
        </row>
        <row r="358">
          <cell r="A358">
            <v>2028</v>
          </cell>
          <cell r="B358" t="str">
            <v>Lithium</v>
          </cell>
          <cell r="C358" t="str">
            <v>Global Net-zero</v>
          </cell>
          <cell r="D358" t="str">
            <v>Existing production</v>
          </cell>
          <cell r="E358" t="str">
            <v>Current shares</v>
          </cell>
          <cell r="F358" t="str">
            <v>Status Quo</v>
          </cell>
          <cell r="G358">
            <v>18320.51139623878</v>
          </cell>
          <cell r="H358">
            <v>40292</v>
          </cell>
          <cell r="I358">
            <v>28170.9766141289</v>
          </cell>
          <cell r="J358">
            <v>3561.1893192463176</v>
          </cell>
          <cell r="K358">
            <v>0</v>
          </cell>
          <cell r="M358">
            <v>0</v>
          </cell>
          <cell r="N358">
            <v>0.787554996857322</v>
          </cell>
        </row>
        <row r="359">
          <cell r="A359">
            <v>2028</v>
          </cell>
          <cell r="B359" t="str">
            <v>Lithium</v>
          </cell>
          <cell r="C359" t="str">
            <v>Global Net-zero</v>
          </cell>
          <cell r="D359" t="str">
            <v>Production potential</v>
          </cell>
          <cell r="E359" t="str">
            <v>Current shares</v>
          </cell>
          <cell r="F359" t="str">
            <v>Expansion Extractive</v>
          </cell>
          <cell r="G359">
            <v>18320.51139623878</v>
          </cell>
          <cell r="H359">
            <v>162581</v>
          </cell>
          <cell r="I359">
            <v>113671.83433191929</v>
          </cell>
          <cell r="J359">
            <v>14369.644612140968</v>
          </cell>
          <cell r="K359">
            <v>0</v>
          </cell>
          <cell r="M359">
            <v>0</v>
          </cell>
          <cell r="N359">
            <v>0.787554996857322</v>
          </cell>
        </row>
        <row r="360">
          <cell r="A360">
            <v>2028</v>
          </cell>
          <cell r="B360" t="str">
            <v>Lithium</v>
          </cell>
          <cell r="C360" t="str">
            <v>Global Net-zero</v>
          </cell>
          <cell r="D360" t="str">
            <v>Production potential</v>
          </cell>
          <cell r="E360" t="str">
            <v>Current shares</v>
          </cell>
          <cell r="F360" t="str">
            <v>Expansion Extractive+Circularity</v>
          </cell>
          <cell r="G360">
            <v>18320.51139623878</v>
          </cell>
          <cell r="H360">
            <v>162581</v>
          </cell>
          <cell r="I360">
            <v>113671.83433191929</v>
          </cell>
          <cell r="J360">
            <v>14369.644612140968</v>
          </cell>
          <cell r="K360">
            <v>0</v>
          </cell>
          <cell r="M360">
            <v>0</v>
          </cell>
          <cell r="N360">
            <v>0.787554996857322</v>
          </cell>
        </row>
        <row r="361">
          <cell r="A361">
            <v>2028</v>
          </cell>
          <cell r="B361" t="str">
            <v>Lithium</v>
          </cell>
          <cell r="C361" t="str">
            <v>Global Net-zero</v>
          </cell>
          <cell r="D361" t="str">
            <v>Production potential</v>
          </cell>
          <cell r="E361" t="str">
            <v>100% CAN</v>
          </cell>
          <cell r="F361" t="str">
            <v>Integrated</v>
          </cell>
          <cell r="G361">
            <v>18320.51139623878</v>
          </cell>
          <cell r="H361">
            <v>162581</v>
          </cell>
          <cell r="I361">
            <v>113671.83433191929</v>
          </cell>
          <cell r="J361">
            <v>14369.644612140968</v>
          </cell>
          <cell r="K361">
            <v>0</v>
          </cell>
          <cell r="M361">
            <v>0</v>
          </cell>
          <cell r="N361">
            <v>0.787554996857322</v>
          </cell>
        </row>
        <row r="362">
          <cell r="A362">
            <v>2029</v>
          </cell>
          <cell r="B362" t="str">
            <v>Cobalt</v>
          </cell>
          <cell r="C362" t="str">
            <v>Canada Net-zero</v>
          </cell>
          <cell r="D362" t="str">
            <v>Existing production</v>
          </cell>
          <cell r="E362" t="str">
            <v>Current shares</v>
          </cell>
          <cell r="F362" t="str">
            <v>NIMBY</v>
          </cell>
          <cell r="G362">
            <v>45543.6522807039</v>
          </cell>
          <cell r="H362">
            <v>0</v>
          </cell>
          <cell r="I362">
            <v>0</v>
          </cell>
          <cell r="J362">
            <v>0</v>
          </cell>
          <cell r="K362">
            <v>103508.3006379634</v>
          </cell>
          <cell r="M362">
            <v>45543.6522807039</v>
          </cell>
          <cell r="N362">
            <v>0.439346565686978</v>
          </cell>
        </row>
        <row r="363">
          <cell r="A363">
            <v>2029</v>
          </cell>
          <cell r="B363" t="str">
            <v>Cobalt</v>
          </cell>
          <cell r="C363" t="str">
            <v>Canada Net-zero</v>
          </cell>
          <cell r="D363" t="str">
            <v>Existing production</v>
          </cell>
          <cell r="E363" t="str">
            <v>Current shares</v>
          </cell>
          <cell r="F363" t="str">
            <v>Status Quo</v>
          </cell>
          <cell r="G363">
            <v>45543.6522807039</v>
          </cell>
          <cell r="H363">
            <v>3861</v>
          </cell>
          <cell r="I363">
            <v>1637.7660393504759</v>
          </cell>
          <cell r="J363">
            <v>58.551050766946219</v>
          </cell>
          <cell r="K363">
            <v>99647.300637963403</v>
          </cell>
          <cell r="M363">
            <v>43847.335190586477</v>
          </cell>
          <cell r="N363">
            <v>0.439346565686978</v>
          </cell>
        </row>
        <row r="364">
          <cell r="A364">
            <v>2029</v>
          </cell>
          <cell r="B364" t="str">
            <v>Cobalt</v>
          </cell>
          <cell r="C364" t="str">
            <v>Canada Net-zero</v>
          </cell>
          <cell r="D364" t="str">
            <v>Production potential</v>
          </cell>
          <cell r="E364" t="str">
            <v>Current shares</v>
          </cell>
          <cell r="F364" t="str">
            <v>Expansion Extractive</v>
          </cell>
          <cell r="G364">
            <v>45543.6522807039</v>
          </cell>
          <cell r="H364">
            <v>6719.1794773198644</v>
          </cell>
          <cell r="I364">
            <v>2850.1538358599209</v>
          </cell>
          <cell r="J364">
            <v>101.89459173498517</v>
          </cell>
          <cell r="K364">
            <v>96789.121160643539</v>
          </cell>
          <cell r="M364">
            <v>42591.603853108994</v>
          </cell>
          <cell r="N364">
            <v>0.439346565686978</v>
          </cell>
        </row>
        <row r="365">
          <cell r="A365">
            <v>2029</v>
          </cell>
          <cell r="B365" t="str">
            <v>Cobalt</v>
          </cell>
          <cell r="C365" t="str">
            <v>Canada Net-zero</v>
          </cell>
          <cell r="D365" t="str">
            <v>Production potential</v>
          </cell>
          <cell r="E365" t="str">
            <v>Current shares</v>
          </cell>
          <cell r="F365" t="str">
            <v>Expansion Extractive+Circularity</v>
          </cell>
          <cell r="G365">
            <v>45543.6522807039</v>
          </cell>
          <cell r="H365">
            <v>6719.1794773198644</v>
          </cell>
          <cell r="I365">
            <v>2850.1538358599209</v>
          </cell>
          <cell r="J365">
            <v>101.89459173498517</v>
          </cell>
          <cell r="K365">
            <v>96789.121160643539</v>
          </cell>
          <cell r="M365">
            <v>42591.603853108994</v>
          </cell>
          <cell r="N365">
            <v>0.439346565686978</v>
          </cell>
        </row>
        <row r="366">
          <cell r="A366">
            <v>2029</v>
          </cell>
          <cell r="B366" t="str">
            <v>Cobalt</v>
          </cell>
          <cell r="C366" t="str">
            <v>Canada Net-zero</v>
          </cell>
          <cell r="D366" t="str">
            <v>Production potential</v>
          </cell>
          <cell r="E366" t="str">
            <v>100% CAN</v>
          </cell>
          <cell r="F366" t="str">
            <v>Integrated</v>
          </cell>
          <cell r="G366">
            <v>45543.6522807039</v>
          </cell>
          <cell r="H366">
            <v>6719.1794773198644</v>
          </cell>
          <cell r="I366">
            <v>2952.0484275949088</v>
          </cell>
          <cell r="J366">
            <v>0</v>
          </cell>
          <cell r="K366">
            <v>96789.121160643539</v>
          </cell>
          <cell r="M366">
            <v>42591.603853108987</v>
          </cell>
          <cell r="N366">
            <v>0.439346565686978</v>
          </cell>
        </row>
        <row r="367">
          <cell r="A367">
            <v>2029</v>
          </cell>
          <cell r="B367" t="str">
            <v>Cobalt</v>
          </cell>
          <cell r="C367" t="str">
            <v>Current Measures</v>
          </cell>
          <cell r="D367" t="str">
            <v>Existing production</v>
          </cell>
          <cell r="E367" t="str">
            <v>Current shares</v>
          </cell>
          <cell r="F367" t="str">
            <v>NIMBY</v>
          </cell>
          <cell r="G367">
            <v>23796.365693498821</v>
          </cell>
          <cell r="H367">
            <v>0</v>
          </cell>
          <cell r="I367">
            <v>0</v>
          </cell>
          <cell r="J367">
            <v>0</v>
          </cell>
          <cell r="K367">
            <v>54082.649303406411</v>
          </cell>
          <cell r="M367">
            <v>23796.365693498821</v>
          </cell>
          <cell r="N367">
            <v>0.439346565686978</v>
          </cell>
        </row>
        <row r="368">
          <cell r="A368">
            <v>2029</v>
          </cell>
          <cell r="B368" t="str">
            <v>Cobalt</v>
          </cell>
          <cell r="C368" t="str">
            <v>Current Measures</v>
          </cell>
          <cell r="D368" t="str">
            <v>Existing production</v>
          </cell>
          <cell r="E368" t="str">
            <v>Current shares</v>
          </cell>
          <cell r="F368" t="str">
            <v>Status Quo</v>
          </cell>
          <cell r="G368">
            <v>23796.365693498821</v>
          </cell>
          <cell r="H368">
            <v>3861</v>
          </cell>
          <cell r="I368">
            <v>1637.7660393504759</v>
          </cell>
          <cell r="J368">
            <v>58.551050766946219</v>
          </cell>
          <cell r="K368">
            <v>50221.649303406411</v>
          </cell>
          <cell r="M368">
            <v>22100.048603381394</v>
          </cell>
          <cell r="N368">
            <v>0.439346565686978</v>
          </cell>
        </row>
        <row r="369">
          <cell r="A369">
            <v>2029</v>
          </cell>
          <cell r="B369" t="str">
            <v>Cobalt</v>
          </cell>
          <cell r="C369" t="str">
            <v>Current Measures</v>
          </cell>
          <cell r="D369" t="str">
            <v>Production potential</v>
          </cell>
          <cell r="E369" t="str">
            <v>Current shares</v>
          </cell>
          <cell r="F369" t="str">
            <v>Expansion Extractive</v>
          </cell>
          <cell r="G369">
            <v>23796.365693498821</v>
          </cell>
          <cell r="H369">
            <v>6719.1794773198644</v>
          </cell>
          <cell r="I369">
            <v>2850.1538358599209</v>
          </cell>
          <cell r="J369">
            <v>101.89459173498517</v>
          </cell>
          <cell r="K369">
            <v>47363.469826086548</v>
          </cell>
          <cell r="M369">
            <v>20844.317265903916</v>
          </cell>
          <cell r="N369">
            <v>0.439346565686978</v>
          </cell>
        </row>
        <row r="370">
          <cell r="A370">
            <v>2029</v>
          </cell>
          <cell r="B370" t="str">
            <v>Cobalt</v>
          </cell>
          <cell r="C370" t="str">
            <v>Current Measures</v>
          </cell>
          <cell r="D370" t="str">
            <v>Production potential</v>
          </cell>
          <cell r="E370" t="str">
            <v>Current shares</v>
          </cell>
          <cell r="F370" t="str">
            <v>Expansion Extractive+Circularity</v>
          </cell>
          <cell r="G370">
            <v>23796.365693498821</v>
          </cell>
          <cell r="H370">
            <v>6719.1794773198644</v>
          </cell>
          <cell r="I370">
            <v>2850.1538358599209</v>
          </cell>
          <cell r="J370">
            <v>101.89459173498517</v>
          </cell>
          <cell r="K370">
            <v>47363.469826086548</v>
          </cell>
          <cell r="M370">
            <v>20844.317265903916</v>
          </cell>
          <cell r="N370">
            <v>0.439346565686978</v>
          </cell>
        </row>
        <row r="371">
          <cell r="A371">
            <v>2029</v>
          </cell>
          <cell r="B371" t="str">
            <v>Cobalt</v>
          </cell>
          <cell r="C371" t="str">
            <v>Current Measures</v>
          </cell>
          <cell r="D371" t="str">
            <v>Production potential</v>
          </cell>
          <cell r="E371" t="str">
            <v>100% CAN</v>
          </cell>
          <cell r="F371" t="str">
            <v>Integrated</v>
          </cell>
          <cell r="G371">
            <v>23796.365693498821</v>
          </cell>
          <cell r="H371">
            <v>6719.1794773198644</v>
          </cell>
          <cell r="I371">
            <v>2952.0484275949088</v>
          </cell>
          <cell r="J371">
            <v>0</v>
          </cell>
          <cell r="K371">
            <v>47363.469826086548</v>
          </cell>
          <cell r="M371">
            <v>20844.317265903908</v>
          </cell>
          <cell r="N371">
            <v>0.439346565686978</v>
          </cell>
        </row>
        <row r="372">
          <cell r="A372">
            <v>2029</v>
          </cell>
          <cell r="B372" t="str">
            <v>Cobalt</v>
          </cell>
          <cell r="C372" t="str">
            <v>Global Net-zero</v>
          </cell>
          <cell r="D372" t="str">
            <v>Existing production</v>
          </cell>
          <cell r="E372" t="str">
            <v>Current shares</v>
          </cell>
          <cell r="F372" t="str">
            <v>NIMBY</v>
          </cell>
          <cell r="G372">
            <v>43478.079891306123</v>
          </cell>
          <cell r="H372">
            <v>0</v>
          </cell>
          <cell r="I372">
            <v>0</v>
          </cell>
          <cell r="J372">
            <v>0</v>
          </cell>
          <cell r="K372">
            <v>98813.817934786639</v>
          </cell>
          <cell r="M372">
            <v>43478.079891306123</v>
          </cell>
          <cell r="N372">
            <v>0.439346565686978</v>
          </cell>
        </row>
        <row r="373">
          <cell r="A373">
            <v>2029</v>
          </cell>
          <cell r="B373" t="str">
            <v>Cobalt</v>
          </cell>
          <cell r="C373" t="str">
            <v>Global Net-zero</v>
          </cell>
          <cell r="D373" t="str">
            <v>Existing production</v>
          </cell>
          <cell r="E373" t="str">
            <v>Current shares</v>
          </cell>
          <cell r="F373" t="str">
            <v>Status Quo</v>
          </cell>
          <cell r="G373">
            <v>43478.079891306123</v>
          </cell>
          <cell r="H373">
            <v>3861</v>
          </cell>
          <cell r="I373">
            <v>1637.7660393504759</v>
          </cell>
          <cell r="J373">
            <v>58.551050766946219</v>
          </cell>
          <cell r="K373">
            <v>94952.817934786639</v>
          </cell>
          <cell r="M373">
            <v>41781.762801188706</v>
          </cell>
          <cell r="N373">
            <v>0.439346565686978</v>
          </cell>
        </row>
        <row r="374">
          <cell r="A374">
            <v>2029</v>
          </cell>
          <cell r="B374" t="str">
            <v>Cobalt</v>
          </cell>
          <cell r="C374" t="str">
            <v>Global Net-zero</v>
          </cell>
          <cell r="D374" t="str">
            <v>Production potential</v>
          </cell>
          <cell r="E374" t="str">
            <v>Current shares</v>
          </cell>
          <cell r="F374" t="str">
            <v>Expansion Extractive</v>
          </cell>
          <cell r="G374">
            <v>43478.079891306123</v>
          </cell>
          <cell r="H374">
            <v>6719.1794773198644</v>
          </cell>
          <cell r="I374">
            <v>2850.1538358599209</v>
          </cell>
          <cell r="J374">
            <v>101.89459173498517</v>
          </cell>
          <cell r="K374">
            <v>92094.638457466775</v>
          </cell>
          <cell r="M374">
            <v>40526.031463711217</v>
          </cell>
          <cell r="N374">
            <v>0.439346565686978</v>
          </cell>
        </row>
        <row r="375">
          <cell r="A375">
            <v>2029</v>
          </cell>
          <cell r="B375" t="str">
            <v>Cobalt</v>
          </cell>
          <cell r="C375" t="str">
            <v>Global Net-zero</v>
          </cell>
          <cell r="D375" t="str">
            <v>Production potential</v>
          </cell>
          <cell r="E375" t="str">
            <v>Current shares</v>
          </cell>
          <cell r="F375" t="str">
            <v>Expansion Extractive+Circularity</v>
          </cell>
          <cell r="G375">
            <v>43478.079891306123</v>
          </cell>
          <cell r="H375">
            <v>6719.1794773198644</v>
          </cell>
          <cell r="I375">
            <v>2850.1538358599209</v>
          </cell>
          <cell r="J375">
            <v>101.89459173498517</v>
          </cell>
          <cell r="K375">
            <v>92094.638457466775</v>
          </cell>
          <cell r="M375">
            <v>40526.031463711217</v>
          </cell>
          <cell r="N375">
            <v>0.439346565686978</v>
          </cell>
        </row>
        <row r="376">
          <cell r="A376">
            <v>2029</v>
          </cell>
          <cell r="B376" t="str">
            <v>Cobalt</v>
          </cell>
          <cell r="C376" t="str">
            <v>Global Net-zero</v>
          </cell>
          <cell r="D376" t="str">
            <v>Production potential</v>
          </cell>
          <cell r="E376" t="str">
            <v>100% CAN</v>
          </cell>
          <cell r="F376" t="str">
            <v>Integrated</v>
          </cell>
          <cell r="G376">
            <v>43478.079891306123</v>
          </cell>
          <cell r="H376">
            <v>6719.1794773198644</v>
          </cell>
          <cell r="I376">
            <v>2952.0484275949088</v>
          </cell>
          <cell r="J376">
            <v>0</v>
          </cell>
          <cell r="K376">
            <v>92094.638457466775</v>
          </cell>
          <cell r="M376">
            <v>40526.031463711217</v>
          </cell>
          <cell r="N376">
            <v>0.439346565686978</v>
          </cell>
        </row>
        <row r="377">
          <cell r="A377">
            <v>2029</v>
          </cell>
          <cell r="B377" t="str">
            <v>Copper</v>
          </cell>
          <cell r="C377" t="str">
            <v>Canada Net-zero</v>
          </cell>
          <cell r="D377" t="str">
            <v>Existing production</v>
          </cell>
          <cell r="E377" t="str">
            <v>Current shares</v>
          </cell>
          <cell r="F377" t="str">
            <v>NIMBY</v>
          </cell>
          <cell r="G377">
            <v>955177.18715425662</v>
          </cell>
          <cell r="H377">
            <v>0</v>
          </cell>
          <cell r="I377">
            <v>0</v>
          </cell>
          <cell r="J377">
            <v>0</v>
          </cell>
          <cell r="K377">
            <v>1150815.8881376591</v>
          </cell>
          <cell r="M377">
            <v>955177.18715425662</v>
          </cell>
          <cell r="N377">
            <v>0.83474576271186396</v>
          </cell>
        </row>
        <row r="378">
          <cell r="A378">
            <v>2029</v>
          </cell>
          <cell r="B378" t="str">
            <v>Copper</v>
          </cell>
          <cell r="C378" t="str">
            <v>Canada Net-zero</v>
          </cell>
          <cell r="D378" t="str">
            <v>Existing production</v>
          </cell>
          <cell r="E378" t="str">
            <v>Current shares</v>
          </cell>
          <cell r="F378" t="str">
            <v>Status Quo</v>
          </cell>
          <cell r="G378">
            <v>955177.18715425662</v>
          </cell>
          <cell r="H378">
            <v>348255</v>
          </cell>
          <cell r="I378">
            <v>183045.85345911881</v>
          </cell>
          <cell r="J378">
            <v>107658.53213410138</v>
          </cell>
          <cell r="K378">
            <v>802560.88813765859</v>
          </cell>
          <cell r="M378">
            <v>664472.8015610365</v>
          </cell>
          <cell r="N378">
            <v>0.83474576271186396</v>
          </cell>
        </row>
        <row r="379">
          <cell r="A379">
            <v>2029</v>
          </cell>
          <cell r="B379" t="str">
            <v>Copper</v>
          </cell>
          <cell r="C379" t="str">
            <v>Canada Net-zero</v>
          </cell>
          <cell r="D379" t="str">
            <v>Production potential</v>
          </cell>
          <cell r="E379" t="str">
            <v>Current shares</v>
          </cell>
          <cell r="F379" t="str">
            <v>Expansion Extractive</v>
          </cell>
          <cell r="G379">
            <v>955177.18715425662</v>
          </cell>
          <cell r="H379">
            <v>652859.49048100598</v>
          </cell>
          <cell r="I379">
            <v>343148.61990202928</v>
          </cell>
          <cell r="J379">
            <v>201823.07342321693</v>
          </cell>
          <cell r="K379">
            <v>497956.39765665261</v>
          </cell>
          <cell r="M379">
            <v>410205.4938290104</v>
          </cell>
          <cell r="N379">
            <v>0.83474576271186396</v>
          </cell>
        </row>
        <row r="380">
          <cell r="A380">
            <v>2029</v>
          </cell>
          <cell r="B380" t="str">
            <v>Copper</v>
          </cell>
          <cell r="C380" t="str">
            <v>Canada Net-zero</v>
          </cell>
          <cell r="D380" t="str">
            <v>Production potential</v>
          </cell>
          <cell r="E380" t="str">
            <v>Current shares</v>
          </cell>
          <cell r="F380" t="str">
            <v>Expansion Extractive+Circularity</v>
          </cell>
          <cell r="G380">
            <v>955177.18715425662</v>
          </cell>
          <cell r="H380">
            <v>652859.49048100598</v>
          </cell>
          <cell r="I380">
            <v>343148.61990202928</v>
          </cell>
          <cell r="J380">
            <v>201823.07342321693</v>
          </cell>
          <cell r="K380">
            <v>497956.39765665261</v>
          </cell>
          <cell r="M380">
            <v>410205.4938290104</v>
          </cell>
          <cell r="N380">
            <v>0.83474576271186396</v>
          </cell>
        </row>
        <row r="381">
          <cell r="A381">
            <v>2029</v>
          </cell>
          <cell r="B381" t="str">
            <v>Copper</v>
          </cell>
          <cell r="C381" t="str">
            <v>Canada Net-zero</v>
          </cell>
          <cell r="D381" t="str">
            <v>Production potential</v>
          </cell>
          <cell r="E381" t="str">
            <v>100% CAN</v>
          </cell>
          <cell r="F381" t="str">
            <v>Integrated</v>
          </cell>
          <cell r="G381">
            <v>955177.18715425662</v>
          </cell>
          <cell r="H381">
            <v>652859.49048100598</v>
          </cell>
          <cell r="I381">
            <v>544971.69332524657</v>
          </cell>
          <cell r="J381">
            <v>0</v>
          </cell>
          <cell r="K381">
            <v>497956.39765665261</v>
          </cell>
          <cell r="M381">
            <v>410205.49382901011</v>
          </cell>
          <cell r="N381">
            <v>0.83474576271186396</v>
          </cell>
        </row>
        <row r="382">
          <cell r="A382">
            <v>2029</v>
          </cell>
          <cell r="B382" t="str">
            <v>Copper</v>
          </cell>
          <cell r="C382" t="str">
            <v>Current Measures</v>
          </cell>
          <cell r="D382" t="str">
            <v>Existing production</v>
          </cell>
          <cell r="E382" t="str">
            <v>Current shares</v>
          </cell>
          <cell r="F382" t="str">
            <v>NIMBY</v>
          </cell>
          <cell r="G382">
            <v>914284.5211047167</v>
          </cell>
          <cell r="H382">
            <v>0</v>
          </cell>
          <cell r="I382">
            <v>0</v>
          </cell>
          <cell r="J382">
            <v>0</v>
          </cell>
          <cell r="K382">
            <v>1101547.6157888151</v>
          </cell>
          <cell r="M382">
            <v>914284.5211047167</v>
          </cell>
          <cell r="N382">
            <v>0.83474576271186396</v>
          </cell>
        </row>
        <row r="383">
          <cell r="A383">
            <v>2029</v>
          </cell>
          <cell r="B383" t="str">
            <v>Copper</v>
          </cell>
          <cell r="C383" t="str">
            <v>Current Measures</v>
          </cell>
          <cell r="D383" t="str">
            <v>Existing production</v>
          </cell>
          <cell r="E383" t="str">
            <v>Current shares</v>
          </cell>
          <cell r="F383" t="str">
            <v>Status Quo</v>
          </cell>
          <cell r="G383">
            <v>914284.5211047167</v>
          </cell>
          <cell r="H383">
            <v>348255</v>
          </cell>
          <cell r="I383">
            <v>183045.85345911881</v>
          </cell>
          <cell r="J383">
            <v>107658.53213410138</v>
          </cell>
          <cell r="K383">
            <v>753292.61578881531</v>
          </cell>
          <cell r="M383">
            <v>623580.13551149645</v>
          </cell>
          <cell r="N383">
            <v>0.83474576271186396</v>
          </cell>
        </row>
        <row r="384">
          <cell r="A384">
            <v>2029</v>
          </cell>
          <cell r="B384" t="str">
            <v>Copper</v>
          </cell>
          <cell r="C384" t="str">
            <v>Current Measures</v>
          </cell>
          <cell r="D384" t="str">
            <v>Production potential</v>
          </cell>
          <cell r="E384" t="str">
            <v>Current shares</v>
          </cell>
          <cell r="F384" t="str">
            <v>Expansion Extractive</v>
          </cell>
          <cell r="G384">
            <v>914284.5211047167</v>
          </cell>
          <cell r="H384">
            <v>652859.49048100598</v>
          </cell>
          <cell r="I384">
            <v>343148.61990202928</v>
          </cell>
          <cell r="J384">
            <v>201823.07342321693</v>
          </cell>
          <cell r="K384">
            <v>448688.12530780933</v>
          </cell>
          <cell r="M384">
            <v>369312.82777947048</v>
          </cell>
          <cell r="N384">
            <v>0.83474576271186396</v>
          </cell>
        </row>
        <row r="385">
          <cell r="A385">
            <v>2029</v>
          </cell>
          <cell r="B385" t="str">
            <v>Copper</v>
          </cell>
          <cell r="C385" t="str">
            <v>Current Measures</v>
          </cell>
          <cell r="D385" t="str">
            <v>Production potential</v>
          </cell>
          <cell r="E385" t="str">
            <v>Current shares</v>
          </cell>
          <cell r="F385" t="str">
            <v>Expansion Extractive+Circularity</v>
          </cell>
          <cell r="G385">
            <v>914284.5211047167</v>
          </cell>
          <cell r="H385">
            <v>652859.49048100598</v>
          </cell>
          <cell r="I385">
            <v>343148.61990202928</v>
          </cell>
          <cell r="J385">
            <v>201823.07342321693</v>
          </cell>
          <cell r="K385">
            <v>448688.12530780933</v>
          </cell>
          <cell r="M385">
            <v>369312.82777947048</v>
          </cell>
          <cell r="N385">
            <v>0.83474576271186396</v>
          </cell>
        </row>
        <row r="386">
          <cell r="A386">
            <v>2029</v>
          </cell>
          <cell r="B386" t="str">
            <v>Copper</v>
          </cell>
          <cell r="C386" t="str">
            <v>Current Measures</v>
          </cell>
          <cell r="D386" t="str">
            <v>Production potential</v>
          </cell>
          <cell r="E386" t="str">
            <v>100% CAN</v>
          </cell>
          <cell r="F386" t="str">
            <v>Integrated</v>
          </cell>
          <cell r="G386">
            <v>914284.5211047167</v>
          </cell>
          <cell r="H386">
            <v>652859.49048100598</v>
          </cell>
          <cell r="I386">
            <v>544971.69332524657</v>
          </cell>
          <cell r="J386">
            <v>0</v>
          </cell>
          <cell r="K386">
            <v>448688.12530780933</v>
          </cell>
          <cell r="M386">
            <v>369312.82777947013</v>
          </cell>
          <cell r="N386">
            <v>0.83474576271186396</v>
          </cell>
        </row>
        <row r="387">
          <cell r="A387">
            <v>2029</v>
          </cell>
          <cell r="B387" t="str">
            <v>Copper</v>
          </cell>
          <cell r="C387" t="str">
            <v>Global Net-zero</v>
          </cell>
          <cell r="D387" t="str">
            <v>Existing production</v>
          </cell>
          <cell r="E387" t="str">
            <v>Current shares</v>
          </cell>
          <cell r="F387" t="str">
            <v>NIMBY</v>
          </cell>
          <cell r="G387">
            <v>930438.48177642538</v>
          </cell>
          <cell r="H387">
            <v>0</v>
          </cell>
          <cell r="I387">
            <v>0</v>
          </cell>
          <cell r="J387">
            <v>0</v>
          </cell>
          <cell r="K387">
            <v>1121010.219007741</v>
          </cell>
          <cell r="M387">
            <v>930438.48177642538</v>
          </cell>
          <cell r="N387">
            <v>0.83474576271186396</v>
          </cell>
        </row>
        <row r="388">
          <cell r="A388">
            <v>2029</v>
          </cell>
          <cell r="B388" t="str">
            <v>Copper</v>
          </cell>
          <cell r="C388" t="str">
            <v>Global Net-zero</v>
          </cell>
          <cell r="D388" t="str">
            <v>Existing production</v>
          </cell>
          <cell r="E388" t="str">
            <v>Current shares</v>
          </cell>
          <cell r="F388" t="str">
            <v>Status Quo</v>
          </cell>
          <cell r="G388">
            <v>930438.48177642538</v>
          </cell>
          <cell r="H388">
            <v>348255</v>
          </cell>
          <cell r="I388">
            <v>183045.85345911881</v>
          </cell>
          <cell r="J388">
            <v>107658.53213410138</v>
          </cell>
          <cell r="K388">
            <v>772755.21900774143</v>
          </cell>
          <cell r="M388">
            <v>639734.09618320514</v>
          </cell>
          <cell r="N388">
            <v>0.83474576271186396</v>
          </cell>
        </row>
        <row r="389">
          <cell r="A389">
            <v>2029</v>
          </cell>
          <cell r="B389" t="str">
            <v>Copper</v>
          </cell>
          <cell r="C389" t="str">
            <v>Global Net-zero</v>
          </cell>
          <cell r="D389" t="str">
            <v>Production potential</v>
          </cell>
          <cell r="E389" t="str">
            <v>Current shares</v>
          </cell>
          <cell r="F389" t="str">
            <v>Expansion Extractive</v>
          </cell>
          <cell r="G389">
            <v>930438.48177642538</v>
          </cell>
          <cell r="H389">
            <v>652859.49048100598</v>
          </cell>
          <cell r="I389">
            <v>343148.61990202928</v>
          </cell>
          <cell r="J389">
            <v>201823.07342321693</v>
          </cell>
          <cell r="K389">
            <v>468150.72852673539</v>
          </cell>
          <cell r="M389">
            <v>385466.78845117916</v>
          </cell>
          <cell r="N389">
            <v>0.83474576271186396</v>
          </cell>
        </row>
        <row r="390">
          <cell r="A390">
            <v>2029</v>
          </cell>
          <cell r="B390" t="str">
            <v>Copper</v>
          </cell>
          <cell r="C390" t="str">
            <v>Global Net-zero</v>
          </cell>
          <cell r="D390" t="str">
            <v>Production potential</v>
          </cell>
          <cell r="E390" t="str">
            <v>Current shares</v>
          </cell>
          <cell r="F390" t="str">
            <v>Expansion Extractive+Circularity</v>
          </cell>
          <cell r="G390">
            <v>930438.48177642538</v>
          </cell>
          <cell r="H390">
            <v>652859.49048100598</v>
          </cell>
          <cell r="I390">
            <v>343148.61990202928</v>
          </cell>
          <cell r="J390">
            <v>201823.07342321693</v>
          </cell>
          <cell r="K390">
            <v>468150.72852673539</v>
          </cell>
          <cell r="M390">
            <v>385466.78845117916</v>
          </cell>
          <cell r="N390">
            <v>0.83474576271186396</v>
          </cell>
        </row>
        <row r="391">
          <cell r="A391">
            <v>2029</v>
          </cell>
          <cell r="B391" t="str">
            <v>Copper</v>
          </cell>
          <cell r="C391" t="str">
            <v>Global Net-zero</v>
          </cell>
          <cell r="D391" t="str">
            <v>Production potential</v>
          </cell>
          <cell r="E391" t="str">
            <v>100% CAN</v>
          </cell>
          <cell r="F391" t="str">
            <v>Integrated</v>
          </cell>
          <cell r="G391">
            <v>930438.48177642538</v>
          </cell>
          <cell r="H391">
            <v>652859.49048100598</v>
          </cell>
          <cell r="I391">
            <v>544971.69332524657</v>
          </cell>
          <cell r="J391">
            <v>0</v>
          </cell>
          <cell r="K391">
            <v>468150.72852673539</v>
          </cell>
          <cell r="M391">
            <v>385466.78845117881</v>
          </cell>
          <cell r="N391">
            <v>0.83474576271186396</v>
          </cell>
        </row>
        <row r="392">
          <cell r="A392">
            <v>2029</v>
          </cell>
          <cell r="B392" t="str">
            <v>Neodymium</v>
          </cell>
          <cell r="C392" t="str">
            <v>Canada Net-zero</v>
          </cell>
          <cell r="D392" t="str">
            <v>Existing production</v>
          </cell>
          <cell r="E392" t="str">
            <v>Current shares</v>
          </cell>
          <cell r="F392" t="str">
            <v>NIMBY</v>
          </cell>
          <cell r="G392">
            <v>1697.8123851929049</v>
          </cell>
          <cell r="H392">
            <v>0</v>
          </cell>
          <cell r="I392">
            <v>0</v>
          </cell>
          <cell r="J392">
            <v>0</v>
          </cell>
          <cell r="K392">
            <v>2829.6873086548421</v>
          </cell>
          <cell r="M392">
            <v>1697.8123851929049</v>
          </cell>
          <cell r="N392">
            <v>1</v>
          </cell>
        </row>
        <row r="393">
          <cell r="A393">
            <v>2029</v>
          </cell>
          <cell r="B393" t="str">
            <v>Neodymium</v>
          </cell>
          <cell r="C393" t="str">
            <v>Canada Net-zero</v>
          </cell>
          <cell r="D393" t="str">
            <v>Existing production</v>
          </cell>
          <cell r="E393" t="str">
            <v>Current shares</v>
          </cell>
          <cell r="F393" t="str">
            <v>Status Quo</v>
          </cell>
          <cell r="G393">
            <v>1697.8123851929049</v>
          </cell>
          <cell r="H393">
            <v>0</v>
          </cell>
          <cell r="I393">
            <v>0</v>
          </cell>
          <cell r="J393">
            <v>0</v>
          </cell>
          <cell r="K393">
            <v>2829.6873086548421</v>
          </cell>
          <cell r="M393">
            <v>1697.8123851929049</v>
          </cell>
          <cell r="N393">
            <v>1</v>
          </cell>
        </row>
        <row r="394">
          <cell r="A394">
            <v>2029</v>
          </cell>
          <cell r="B394" t="str">
            <v>Neodymium</v>
          </cell>
          <cell r="C394" t="str">
            <v>Canada Net-zero</v>
          </cell>
          <cell r="D394" t="str">
            <v>Production potential</v>
          </cell>
          <cell r="E394" t="str">
            <v>Current shares</v>
          </cell>
          <cell r="F394" t="str">
            <v>Expansion Extractive</v>
          </cell>
          <cell r="G394">
            <v>1697.8123851929049</v>
          </cell>
          <cell r="H394">
            <v>10.588294957512471</v>
          </cell>
          <cell r="I394">
            <v>6.3375595063497547</v>
          </cell>
          <cell r="J394">
            <v>4.2507354511627158</v>
          </cell>
          <cell r="K394">
            <v>2819.0990136973292</v>
          </cell>
          <cell r="M394">
            <v>1687.2240902353924</v>
          </cell>
          <cell r="N394">
            <v>1</v>
          </cell>
        </row>
        <row r="395">
          <cell r="A395">
            <v>2029</v>
          </cell>
          <cell r="B395" t="str">
            <v>Neodymium</v>
          </cell>
          <cell r="C395" t="str">
            <v>Canada Net-zero</v>
          </cell>
          <cell r="D395" t="str">
            <v>Production potential</v>
          </cell>
          <cell r="E395" t="str">
            <v>Current shares</v>
          </cell>
          <cell r="F395" t="str">
            <v>Expansion Extractive+Circularity</v>
          </cell>
          <cell r="G395">
            <v>1697.8123851929049</v>
          </cell>
          <cell r="H395">
            <v>10.588294957512471</v>
          </cell>
          <cell r="I395">
            <v>6.3375595063497547</v>
          </cell>
          <cell r="J395">
            <v>4.2507354511627158</v>
          </cell>
          <cell r="K395">
            <v>2819.0990136973292</v>
          </cell>
          <cell r="M395">
            <v>1687.2240902353924</v>
          </cell>
          <cell r="N395">
            <v>1</v>
          </cell>
        </row>
        <row r="396">
          <cell r="A396">
            <v>2029</v>
          </cell>
          <cell r="B396" t="str">
            <v>Neodymium</v>
          </cell>
          <cell r="C396" t="str">
            <v>Canada Net-zero</v>
          </cell>
          <cell r="D396" t="str">
            <v>Production potential</v>
          </cell>
          <cell r="E396" t="str">
            <v>100% CAN</v>
          </cell>
          <cell r="F396" t="str">
            <v>Integrated</v>
          </cell>
          <cell r="G396">
            <v>1697.8123851929049</v>
          </cell>
          <cell r="H396">
            <v>10.588294957512471</v>
          </cell>
          <cell r="I396">
            <v>6.3375595063497547</v>
          </cell>
          <cell r="J396">
            <v>4.2507354511627158</v>
          </cell>
          <cell r="K396">
            <v>2819.0990136973292</v>
          </cell>
          <cell r="M396">
            <v>1687.2240902353924</v>
          </cell>
          <cell r="N396">
            <v>1</v>
          </cell>
        </row>
        <row r="397">
          <cell r="A397">
            <v>2029</v>
          </cell>
          <cell r="B397" t="str">
            <v>Neodymium</v>
          </cell>
          <cell r="C397" t="str">
            <v>Current Measures</v>
          </cell>
          <cell r="D397" t="str">
            <v>Existing production</v>
          </cell>
          <cell r="E397" t="str">
            <v>Current shares</v>
          </cell>
          <cell r="F397" t="str">
            <v>NIMBY</v>
          </cell>
          <cell r="G397">
            <v>741.81027247215718</v>
          </cell>
          <cell r="H397">
            <v>0</v>
          </cell>
          <cell r="I397">
            <v>0</v>
          </cell>
          <cell r="J397">
            <v>0</v>
          </cell>
          <cell r="K397">
            <v>1236.3504541202619</v>
          </cell>
          <cell r="M397">
            <v>741.81027247215718</v>
          </cell>
          <cell r="N397">
            <v>1</v>
          </cell>
        </row>
        <row r="398">
          <cell r="A398">
            <v>2029</v>
          </cell>
          <cell r="B398" t="str">
            <v>Neodymium</v>
          </cell>
          <cell r="C398" t="str">
            <v>Current Measures</v>
          </cell>
          <cell r="D398" t="str">
            <v>Existing production</v>
          </cell>
          <cell r="E398" t="str">
            <v>Current shares</v>
          </cell>
          <cell r="F398" t="str">
            <v>Status Quo</v>
          </cell>
          <cell r="G398">
            <v>741.81027247215718</v>
          </cell>
          <cell r="H398">
            <v>0</v>
          </cell>
          <cell r="I398">
            <v>0</v>
          </cell>
          <cell r="J398">
            <v>0</v>
          </cell>
          <cell r="K398">
            <v>1236.3504541202619</v>
          </cell>
          <cell r="M398">
            <v>741.81027247215718</v>
          </cell>
          <cell r="N398">
            <v>1</v>
          </cell>
        </row>
        <row r="399">
          <cell r="A399">
            <v>2029</v>
          </cell>
          <cell r="B399" t="str">
            <v>Neodymium</v>
          </cell>
          <cell r="C399" t="str">
            <v>Current Measures</v>
          </cell>
          <cell r="D399" t="str">
            <v>Production potential</v>
          </cell>
          <cell r="E399" t="str">
            <v>Current shares</v>
          </cell>
          <cell r="F399" t="str">
            <v>Expansion Extractive</v>
          </cell>
          <cell r="G399">
            <v>741.81027247215718</v>
          </cell>
          <cell r="H399">
            <v>10.588294957512471</v>
          </cell>
          <cell r="I399">
            <v>6.3375595063497547</v>
          </cell>
          <cell r="J399">
            <v>4.2507354511627158</v>
          </cell>
          <cell r="K399">
            <v>1225.762159162749</v>
          </cell>
          <cell r="M399">
            <v>731.22197751464466</v>
          </cell>
          <cell r="N399">
            <v>1</v>
          </cell>
        </row>
        <row r="400">
          <cell r="A400">
            <v>2029</v>
          </cell>
          <cell r="B400" t="str">
            <v>Neodymium</v>
          </cell>
          <cell r="C400" t="str">
            <v>Current Measures</v>
          </cell>
          <cell r="D400" t="str">
            <v>Production potential</v>
          </cell>
          <cell r="E400" t="str">
            <v>Current shares</v>
          </cell>
          <cell r="F400" t="str">
            <v>Expansion Extractive+Circularity</v>
          </cell>
          <cell r="G400">
            <v>741.81027247215718</v>
          </cell>
          <cell r="H400">
            <v>10.588294957512471</v>
          </cell>
          <cell r="I400">
            <v>6.3375595063497547</v>
          </cell>
          <cell r="J400">
            <v>4.2507354511627158</v>
          </cell>
          <cell r="K400">
            <v>1225.762159162749</v>
          </cell>
          <cell r="M400">
            <v>731.22197751464466</v>
          </cell>
          <cell r="N400">
            <v>1</v>
          </cell>
        </row>
        <row r="401">
          <cell r="A401">
            <v>2029</v>
          </cell>
          <cell r="B401" t="str">
            <v>Neodymium</v>
          </cell>
          <cell r="C401" t="str">
            <v>Current Measures</v>
          </cell>
          <cell r="D401" t="str">
            <v>Production potential</v>
          </cell>
          <cell r="E401" t="str">
            <v>100% CAN</v>
          </cell>
          <cell r="F401" t="str">
            <v>Integrated</v>
          </cell>
          <cell r="G401">
            <v>741.81027247215718</v>
          </cell>
          <cell r="H401">
            <v>10.588294957512471</v>
          </cell>
          <cell r="I401">
            <v>6.3375595063497547</v>
          </cell>
          <cell r="J401">
            <v>4.2507354511627158</v>
          </cell>
          <cell r="K401">
            <v>1225.762159162749</v>
          </cell>
          <cell r="M401">
            <v>731.22197751464466</v>
          </cell>
          <cell r="N401">
            <v>1</v>
          </cell>
        </row>
        <row r="402">
          <cell r="A402">
            <v>2029</v>
          </cell>
          <cell r="B402" t="str">
            <v>Neodymium</v>
          </cell>
          <cell r="C402" t="str">
            <v>Global Net-zero</v>
          </cell>
          <cell r="D402" t="str">
            <v>Existing production</v>
          </cell>
          <cell r="E402" t="str">
            <v>Current shares</v>
          </cell>
          <cell r="F402" t="str">
            <v>NIMBY</v>
          </cell>
          <cell r="G402">
            <v>1635.953671845974</v>
          </cell>
          <cell r="H402">
            <v>0</v>
          </cell>
          <cell r="I402">
            <v>0</v>
          </cell>
          <cell r="J402">
            <v>0</v>
          </cell>
          <cell r="K402">
            <v>2726.5894530766241</v>
          </cell>
          <cell r="M402">
            <v>1635.953671845974</v>
          </cell>
          <cell r="N402">
            <v>1</v>
          </cell>
        </row>
        <row r="403">
          <cell r="A403">
            <v>2029</v>
          </cell>
          <cell r="B403" t="str">
            <v>Neodymium</v>
          </cell>
          <cell r="C403" t="str">
            <v>Global Net-zero</v>
          </cell>
          <cell r="D403" t="str">
            <v>Existing production</v>
          </cell>
          <cell r="E403" t="str">
            <v>Current shares</v>
          </cell>
          <cell r="F403" t="str">
            <v>Status Quo</v>
          </cell>
          <cell r="G403">
            <v>1635.953671845974</v>
          </cell>
          <cell r="H403">
            <v>0</v>
          </cell>
          <cell r="I403">
            <v>0</v>
          </cell>
          <cell r="J403">
            <v>0</v>
          </cell>
          <cell r="K403">
            <v>2726.5894530766241</v>
          </cell>
          <cell r="M403">
            <v>1635.953671845974</v>
          </cell>
          <cell r="N403">
            <v>1</v>
          </cell>
        </row>
        <row r="404">
          <cell r="A404">
            <v>2029</v>
          </cell>
          <cell r="B404" t="str">
            <v>Neodymium</v>
          </cell>
          <cell r="C404" t="str">
            <v>Global Net-zero</v>
          </cell>
          <cell r="D404" t="str">
            <v>Production potential</v>
          </cell>
          <cell r="E404" t="str">
            <v>Current shares</v>
          </cell>
          <cell r="F404" t="str">
            <v>Expansion Extractive</v>
          </cell>
          <cell r="G404">
            <v>1635.953671845974</v>
          </cell>
          <cell r="H404">
            <v>10.588294957512471</v>
          </cell>
          <cell r="I404">
            <v>6.3375595063497547</v>
          </cell>
          <cell r="J404">
            <v>4.2507354511627158</v>
          </cell>
          <cell r="K404">
            <v>2716.0011581191111</v>
          </cell>
          <cell r="M404">
            <v>1625.3653768884612</v>
          </cell>
          <cell r="N404">
            <v>1</v>
          </cell>
        </row>
        <row r="405">
          <cell r="A405">
            <v>2029</v>
          </cell>
          <cell r="B405" t="str">
            <v>Neodymium</v>
          </cell>
          <cell r="C405" t="str">
            <v>Global Net-zero</v>
          </cell>
          <cell r="D405" t="str">
            <v>Production potential</v>
          </cell>
          <cell r="E405" t="str">
            <v>Current shares</v>
          </cell>
          <cell r="F405" t="str">
            <v>Expansion Extractive+Circularity</v>
          </cell>
          <cell r="G405">
            <v>1635.953671845974</v>
          </cell>
          <cell r="H405">
            <v>10.588294957512471</v>
          </cell>
          <cell r="I405">
            <v>6.3375595063497547</v>
          </cell>
          <cell r="J405">
            <v>4.2507354511627158</v>
          </cell>
          <cell r="K405">
            <v>2716.0011581191111</v>
          </cell>
          <cell r="M405">
            <v>1625.3653768884612</v>
          </cell>
          <cell r="N405">
            <v>1</v>
          </cell>
        </row>
        <row r="406">
          <cell r="A406">
            <v>2029</v>
          </cell>
          <cell r="B406" t="str">
            <v>Neodymium</v>
          </cell>
          <cell r="C406" t="str">
            <v>Global Net-zero</v>
          </cell>
          <cell r="D406" t="str">
            <v>Production potential</v>
          </cell>
          <cell r="E406" t="str">
            <v>100% CAN</v>
          </cell>
          <cell r="F406" t="str">
            <v>Integrated</v>
          </cell>
          <cell r="G406">
            <v>1635.953671845974</v>
          </cell>
          <cell r="H406">
            <v>10.588294957512471</v>
          </cell>
          <cell r="I406">
            <v>6.3375595063497547</v>
          </cell>
          <cell r="J406">
            <v>4.2507354511627158</v>
          </cell>
          <cell r="K406">
            <v>2716.0011581191111</v>
          </cell>
          <cell r="M406">
            <v>1625.3653768884612</v>
          </cell>
          <cell r="N406">
            <v>1</v>
          </cell>
        </row>
        <row r="407">
          <cell r="A407">
            <v>2029</v>
          </cell>
          <cell r="B407" t="str">
            <v>Nickel</v>
          </cell>
          <cell r="C407" t="str">
            <v>Canada Net-zero</v>
          </cell>
          <cell r="D407" t="str">
            <v>Existing production</v>
          </cell>
          <cell r="E407" t="str">
            <v>Current shares</v>
          </cell>
          <cell r="F407" t="str">
            <v>NIMBY</v>
          </cell>
          <cell r="G407">
            <v>64370.502916696467</v>
          </cell>
          <cell r="H407">
            <v>0</v>
          </cell>
          <cell r="I407">
            <v>0</v>
          </cell>
          <cell r="J407">
            <v>0</v>
          </cell>
          <cell r="K407">
            <v>81481.649261641098</v>
          </cell>
          <cell r="M407">
            <v>64370.502916696467</v>
          </cell>
          <cell r="N407">
            <v>0.69917047091553897</v>
          </cell>
        </row>
        <row r="408">
          <cell r="A408">
            <v>2029</v>
          </cell>
          <cell r="B408" t="str">
            <v>Nickel</v>
          </cell>
          <cell r="C408" t="str">
            <v>Canada Net-zero</v>
          </cell>
          <cell r="D408" t="str">
            <v>Existing production</v>
          </cell>
          <cell r="E408" t="str">
            <v>Current shares</v>
          </cell>
          <cell r="F408" t="str">
            <v>Status Quo</v>
          </cell>
          <cell r="G408">
            <v>64370.502916696467</v>
          </cell>
          <cell r="H408">
            <v>152074</v>
          </cell>
          <cell r="I408">
            <v>85295.271642077118</v>
          </cell>
          <cell r="J408">
            <v>21030.378551932561</v>
          </cell>
          <cell r="K408">
            <v>0</v>
          </cell>
          <cell r="M408">
            <v>0</v>
          </cell>
          <cell r="N408">
            <v>0.69917047091553897</v>
          </cell>
        </row>
        <row r="409">
          <cell r="A409">
            <v>2029</v>
          </cell>
          <cell r="B409" t="str">
            <v>Nickel</v>
          </cell>
          <cell r="C409" t="str">
            <v>Canada Net-zero</v>
          </cell>
          <cell r="D409" t="str">
            <v>Production potential</v>
          </cell>
          <cell r="E409" t="str">
            <v>Current shares</v>
          </cell>
          <cell r="F409" t="str">
            <v>Expansion Extractive</v>
          </cell>
          <cell r="G409">
            <v>64370.502916696467</v>
          </cell>
          <cell r="H409">
            <v>190724</v>
          </cell>
          <cell r="I409">
            <v>106973.2852996799</v>
          </cell>
          <cell r="J409">
            <v>26375.303595215344</v>
          </cell>
          <cell r="K409">
            <v>0</v>
          </cell>
          <cell r="M409">
            <v>0</v>
          </cell>
          <cell r="N409">
            <v>0.69917047091553897</v>
          </cell>
        </row>
        <row r="410">
          <cell r="A410">
            <v>2029</v>
          </cell>
          <cell r="B410" t="str">
            <v>Nickel</v>
          </cell>
          <cell r="C410" t="str">
            <v>Canada Net-zero</v>
          </cell>
          <cell r="D410" t="str">
            <v>Production potential</v>
          </cell>
          <cell r="E410" t="str">
            <v>Current shares</v>
          </cell>
          <cell r="F410" t="str">
            <v>Expansion Extractive+Circularity</v>
          </cell>
          <cell r="G410">
            <v>64370.502916696467</v>
          </cell>
          <cell r="H410">
            <v>190724</v>
          </cell>
          <cell r="I410">
            <v>106973.2852996799</v>
          </cell>
          <cell r="J410">
            <v>26375.303595215344</v>
          </cell>
          <cell r="K410">
            <v>0</v>
          </cell>
          <cell r="M410">
            <v>0</v>
          </cell>
          <cell r="N410">
            <v>0.69917047091553897</v>
          </cell>
        </row>
        <row r="411">
          <cell r="A411">
            <v>2029</v>
          </cell>
          <cell r="B411" t="str">
            <v>Nickel</v>
          </cell>
          <cell r="C411" t="str">
            <v>Canada Net-zero</v>
          </cell>
          <cell r="D411" t="str">
            <v>Production potential</v>
          </cell>
          <cell r="E411" t="str">
            <v>100% CAN</v>
          </cell>
          <cell r="F411" t="str">
            <v>Integrated</v>
          </cell>
          <cell r="G411">
            <v>64370.502916696467</v>
          </cell>
          <cell r="H411">
            <v>190724</v>
          </cell>
          <cell r="I411">
            <v>150205.63922061599</v>
          </cell>
          <cell r="J411">
            <v>-16857.050325720746</v>
          </cell>
          <cell r="K411">
            <v>0</v>
          </cell>
          <cell r="M411">
            <v>16857.050325720746</v>
          </cell>
          <cell r="N411">
            <v>0.69917047091553897</v>
          </cell>
        </row>
        <row r="412">
          <cell r="A412">
            <v>2029</v>
          </cell>
          <cell r="B412" t="str">
            <v>Nickel</v>
          </cell>
          <cell r="C412" t="str">
            <v>Current Measures</v>
          </cell>
          <cell r="D412" t="str">
            <v>Existing production</v>
          </cell>
          <cell r="E412" t="str">
            <v>Current shares</v>
          </cell>
          <cell r="F412" t="str">
            <v>NIMBY</v>
          </cell>
          <cell r="G412">
            <v>37163.881136711549</v>
          </cell>
          <cell r="H412">
            <v>0</v>
          </cell>
          <cell r="I412">
            <v>0</v>
          </cell>
          <cell r="J412">
            <v>0</v>
          </cell>
          <cell r="K412">
            <v>47042.887514824753</v>
          </cell>
          <cell r="M412">
            <v>37163.881136711549</v>
          </cell>
          <cell r="N412">
            <v>0.69917047091553897</v>
          </cell>
        </row>
        <row r="413">
          <cell r="A413">
            <v>2029</v>
          </cell>
          <cell r="B413" t="str">
            <v>Nickel</v>
          </cell>
          <cell r="C413" t="str">
            <v>Current Measures</v>
          </cell>
          <cell r="D413" t="str">
            <v>Existing production</v>
          </cell>
          <cell r="E413" t="str">
            <v>Current shares</v>
          </cell>
          <cell r="F413" t="str">
            <v>Status Quo</v>
          </cell>
          <cell r="G413">
            <v>37163.881136711549</v>
          </cell>
          <cell r="H413">
            <v>152074</v>
          </cell>
          <cell r="I413">
            <v>85295.271642077118</v>
          </cell>
          <cell r="J413">
            <v>21030.378551932561</v>
          </cell>
          <cell r="K413">
            <v>0</v>
          </cell>
          <cell r="M413">
            <v>0</v>
          </cell>
          <cell r="N413">
            <v>0.69917047091553897</v>
          </cell>
        </row>
        <row r="414">
          <cell r="A414">
            <v>2029</v>
          </cell>
          <cell r="B414" t="str">
            <v>Nickel</v>
          </cell>
          <cell r="C414" t="str">
            <v>Current Measures</v>
          </cell>
          <cell r="D414" t="str">
            <v>Production potential</v>
          </cell>
          <cell r="E414" t="str">
            <v>Current shares</v>
          </cell>
          <cell r="F414" t="str">
            <v>Expansion Extractive</v>
          </cell>
          <cell r="G414">
            <v>37163.881136711549</v>
          </cell>
          <cell r="H414">
            <v>190724</v>
          </cell>
          <cell r="I414">
            <v>106973.2852996799</v>
          </cell>
          <cell r="J414">
            <v>26375.303595215344</v>
          </cell>
          <cell r="K414">
            <v>0</v>
          </cell>
          <cell r="M414">
            <v>0</v>
          </cell>
          <cell r="N414">
            <v>0.69917047091553897</v>
          </cell>
        </row>
        <row r="415">
          <cell r="A415">
            <v>2029</v>
          </cell>
          <cell r="B415" t="str">
            <v>Nickel</v>
          </cell>
          <cell r="C415" t="str">
            <v>Current Measures</v>
          </cell>
          <cell r="D415" t="str">
            <v>Production potential</v>
          </cell>
          <cell r="E415" t="str">
            <v>Current shares</v>
          </cell>
          <cell r="F415" t="str">
            <v>Expansion Extractive+Circularity</v>
          </cell>
          <cell r="G415">
            <v>37163.881136711549</v>
          </cell>
          <cell r="H415">
            <v>190724</v>
          </cell>
          <cell r="I415">
            <v>106973.2852996799</v>
          </cell>
          <cell r="J415">
            <v>26375.303595215344</v>
          </cell>
          <cell r="K415">
            <v>0</v>
          </cell>
          <cell r="M415">
            <v>0</v>
          </cell>
          <cell r="N415">
            <v>0.69917047091553897</v>
          </cell>
        </row>
        <row r="416">
          <cell r="A416">
            <v>2029</v>
          </cell>
          <cell r="B416" t="str">
            <v>Nickel</v>
          </cell>
          <cell r="C416" t="str">
            <v>Current Measures</v>
          </cell>
          <cell r="D416" t="str">
            <v>Production potential</v>
          </cell>
          <cell r="E416" t="str">
            <v>100% CAN</v>
          </cell>
          <cell r="F416" t="str">
            <v>Integrated</v>
          </cell>
          <cell r="G416">
            <v>37163.881136711549</v>
          </cell>
          <cell r="H416">
            <v>190724</v>
          </cell>
          <cell r="I416">
            <v>150205.63922061599</v>
          </cell>
          <cell r="J416">
            <v>-16857.050325720746</v>
          </cell>
          <cell r="K416">
            <v>0</v>
          </cell>
          <cell r="M416">
            <v>16857.050325720746</v>
          </cell>
          <cell r="N416">
            <v>0.69917047091553897</v>
          </cell>
        </row>
        <row r="417">
          <cell r="A417">
            <v>2029</v>
          </cell>
          <cell r="B417" t="str">
            <v>Nickel</v>
          </cell>
          <cell r="C417" t="str">
            <v>Global Net-zero</v>
          </cell>
          <cell r="D417" t="str">
            <v>Existing production</v>
          </cell>
          <cell r="E417" t="str">
            <v>Current shares</v>
          </cell>
          <cell r="F417" t="str">
            <v>NIMBY</v>
          </cell>
          <cell r="G417">
            <v>61092.529648571137</v>
          </cell>
          <cell r="H417">
            <v>0</v>
          </cell>
          <cell r="I417">
            <v>0</v>
          </cell>
          <cell r="J417">
            <v>0</v>
          </cell>
          <cell r="K417">
            <v>77332.316010849536</v>
          </cell>
          <cell r="M417">
            <v>61092.529648571137</v>
          </cell>
          <cell r="N417">
            <v>0.69917047091553897</v>
          </cell>
        </row>
        <row r="418">
          <cell r="A418">
            <v>2029</v>
          </cell>
          <cell r="B418" t="str">
            <v>Nickel</v>
          </cell>
          <cell r="C418" t="str">
            <v>Global Net-zero</v>
          </cell>
          <cell r="D418" t="str">
            <v>Existing production</v>
          </cell>
          <cell r="E418" t="str">
            <v>Current shares</v>
          </cell>
          <cell r="F418" t="str">
            <v>Status Quo</v>
          </cell>
          <cell r="G418">
            <v>61092.529648571137</v>
          </cell>
          <cell r="H418">
            <v>152074</v>
          </cell>
          <cell r="I418">
            <v>85295.271642077118</v>
          </cell>
          <cell r="J418">
            <v>21030.378551932561</v>
          </cell>
          <cell r="K418">
            <v>0</v>
          </cell>
          <cell r="M418">
            <v>0</v>
          </cell>
          <cell r="N418">
            <v>0.69917047091553897</v>
          </cell>
        </row>
        <row r="419">
          <cell r="A419">
            <v>2029</v>
          </cell>
          <cell r="B419" t="str">
            <v>Nickel</v>
          </cell>
          <cell r="C419" t="str">
            <v>Global Net-zero</v>
          </cell>
          <cell r="D419" t="str">
            <v>Production potential</v>
          </cell>
          <cell r="E419" t="str">
            <v>Current shares</v>
          </cell>
          <cell r="F419" t="str">
            <v>Expansion Extractive</v>
          </cell>
          <cell r="G419">
            <v>61092.529648571137</v>
          </cell>
          <cell r="H419">
            <v>190724</v>
          </cell>
          <cell r="I419">
            <v>106973.2852996799</v>
          </cell>
          <cell r="J419">
            <v>26375.303595215344</v>
          </cell>
          <cell r="K419">
            <v>0</v>
          </cell>
          <cell r="M419">
            <v>0</v>
          </cell>
          <cell r="N419">
            <v>0.69917047091553897</v>
          </cell>
        </row>
        <row r="420">
          <cell r="A420">
            <v>2029</v>
          </cell>
          <cell r="B420" t="str">
            <v>Nickel</v>
          </cell>
          <cell r="C420" t="str">
            <v>Global Net-zero</v>
          </cell>
          <cell r="D420" t="str">
            <v>Production potential</v>
          </cell>
          <cell r="E420" t="str">
            <v>Current shares</v>
          </cell>
          <cell r="F420" t="str">
            <v>Expansion Extractive+Circularity</v>
          </cell>
          <cell r="G420">
            <v>61092.529648571137</v>
          </cell>
          <cell r="H420">
            <v>190724</v>
          </cell>
          <cell r="I420">
            <v>106973.2852996799</v>
          </cell>
          <cell r="J420">
            <v>26375.303595215344</v>
          </cell>
          <cell r="K420">
            <v>0</v>
          </cell>
          <cell r="M420">
            <v>0</v>
          </cell>
          <cell r="N420">
            <v>0.69917047091553897</v>
          </cell>
        </row>
        <row r="421">
          <cell r="A421">
            <v>2029</v>
          </cell>
          <cell r="B421" t="str">
            <v>Nickel</v>
          </cell>
          <cell r="C421" t="str">
            <v>Global Net-zero</v>
          </cell>
          <cell r="D421" t="str">
            <v>Production potential</v>
          </cell>
          <cell r="E421" t="str">
            <v>100% CAN</v>
          </cell>
          <cell r="F421" t="str">
            <v>Integrated</v>
          </cell>
          <cell r="G421">
            <v>61092.529648571137</v>
          </cell>
          <cell r="H421">
            <v>190724</v>
          </cell>
          <cell r="I421">
            <v>150205.63922061599</v>
          </cell>
          <cell r="J421">
            <v>-16857.050325720746</v>
          </cell>
          <cell r="K421">
            <v>0</v>
          </cell>
          <cell r="M421">
            <v>16857.050325720746</v>
          </cell>
          <cell r="N421">
            <v>0.69917047091553897</v>
          </cell>
        </row>
        <row r="422">
          <cell r="A422">
            <v>2029</v>
          </cell>
          <cell r="B422" t="str">
            <v>Graphite</v>
          </cell>
          <cell r="C422" t="str">
            <v>Canada Net-zero</v>
          </cell>
          <cell r="D422" t="str">
            <v>Existing production</v>
          </cell>
          <cell r="E422" t="str">
            <v>Current shares</v>
          </cell>
          <cell r="F422" t="str">
            <v>NIMBY</v>
          </cell>
          <cell r="G422">
            <v>1524.695210353849</v>
          </cell>
          <cell r="H422">
            <v>0</v>
          </cell>
          <cell r="I422">
            <v>0</v>
          </cell>
          <cell r="J422">
            <v>0</v>
          </cell>
          <cell r="K422">
            <v>1524.695210353849</v>
          </cell>
          <cell r="M422">
            <v>1524.695210353849</v>
          </cell>
          <cell r="N422">
            <v>0.59854391398996798</v>
          </cell>
        </row>
        <row r="423">
          <cell r="A423">
            <v>2029</v>
          </cell>
          <cell r="B423" t="str">
            <v>Graphite</v>
          </cell>
          <cell r="C423" t="str">
            <v>Canada Net-zero</v>
          </cell>
          <cell r="D423" t="str">
            <v>Existing production</v>
          </cell>
          <cell r="E423" t="str">
            <v>Current shares</v>
          </cell>
          <cell r="F423" t="str">
            <v>Status Quo</v>
          </cell>
          <cell r="G423">
            <v>1524.695210353849</v>
          </cell>
          <cell r="H423">
            <v>0</v>
          </cell>
          <cell r="I423">
            <v>0</v>
          </cell>
          <cell r="J423">
            <v>0</v>
          </cell>
          <cell r="K423">
            <v>1524.695210353849</v>
          </cell>
          <cell r="M423">
            <v>1524.695210353849</v>
          </cell>
          <cell r="N423">
            <v>0.59854391398996798</v>
          </cell>
        </row>
        <row r="424">
          <cell r="A424">
            <v>2029</v>
          </cell>
          <cell r="B424" t="str">
            <v>Graphite</v>
          </cell>
          <cell r="C424" t="str">
            <v>Canada Net-zero</v>
          </cell>
          <cell r="D424" t="str">
            <v>Production potential</v>
          </cell>
          <cell r="E424" t="str">
            <v>Current shares</v>
          </cell>
          <cell r="F424" t="str">
            <v>Expansion Extractive</v>
          </cell>
          <cell r="G424">
            <v>1524.695210353849</v>
          </cell>
          <cell r="H424">
            <v>99514</v>
          </cell>
          <cell r="I424">
            <v>32839.620000000003</v>
          </cell>
          <cell r="J424">
            <v>26723.879056797668</v>
          </cell>
          <cell r="K424">
            <v>0</v>
          </cell>
          <cell r="M424">
            <v>0</v>
          </cell>
          <cell r="N424">
            <v>0.59854391398996798</v>
          </cell>
        </row>
        <row r="425">
          <cell r="A425">
            <v>2029</v>
          </cell>
          <cell r="B425" t="str">
            <v>Graphite</v>
          </cell>
          <cell r="C425" t="str">
            <v>Canada Net-zero</v>
          </cell>
          <cell r="D425" t="str">
            <v>Production potential</v>
          </cell>
          <cell r="E425" t="str">
            <v>Current shares</v>
          </cell>
          <cell r="F425" t="str">
            <v>Expansion Extractive+Circularity</v>
          </cell>
          <cell r="G425">
            <v>1524.695210353849</v>
          </cell>
          <cell r="H425">
            <v>99514</v>
          </cell>
          <cell r="I425">
            <v>32839.620000000003</v>
          </cell>
          <cell r="J425">
            <v>26723.879056797668</v>
          </cell>
          <cell r="K425">
            <v>0</v>
          </cell>
          <cell r="M425">
            <v>0</v>
          </cell>
          <cell r="N425">
            <v>0.59854391398996798</v>
          </cell>
        </row>
        <row r="426">
          <cell r="A426">
            <v>2029</v>
          </cell>
          <cell r="B426" t="str">
            <v>Graphite</v>
          </cell>
          <cell r="C426" t="str">
            <v>Canada Net-zero</v>
          </cell>
          <cell r="D426" t="str">
            <v>Production potential</v>
          </cell>
          <cell r="E426" t="str">
            <v>100% CAN</v>
          </cell>
          <cell r="F426" t="str">
            <v>Integrated</v>
          </cell>
          <cell r="G426">
            <v>1524.695210353849</v>
          </cell>
          <cell r="H426">
            <v>99514</v>
          </cell>
          <cell r="I426">
            <v>32839.620000000003</v>
          </cell>
          <cell r="J426">
            <v>26723.879056797668</v>
          </cell>
          <cell r="K426">
            <v>0</v>
          </cell>
          <cell r="M426">
            <v>0</v>
          </cell>
          <cell r="N426">
            <v>0.59854391398996798</v>
          </cell>
        </row>
        <row r="427">
          <cell r="A427">
            <v>2029</v>
          </cell>
          <cell r="B427" t="str">
            <v>Graphite</v>
          </cell>
          <cell r="C427" t="str">
            <v>Current Measures</v>
          </cell>
          <cell r="D427" t="str">
            <v>Existing production</v>
          </cell>
          <cell r="E427" t="str">
            <v>Current shares</v>
          </cell>
          <cell r="F427" t="str">
            <v>NIMBY</v>
          </cell>
          <cell r="G427">
            <v>774.14440896765586</v>
          </cell>
          <cell r="H427">
            <v>0</v>
          </cell>
          <cell r="I427">
            <v>0</v>
          </cell>
          <cell r="J427">
            <v>0</v>
          </cell>
          <cell r="K427">
            <v>774.14440896765586</v>
          </cell>
          <cell r="M427">
            <v>774.14440896765586</v>
          </cell>
          <cell r="N427">
            <v>0.59854391398996798</v>
          </cell>
        </row>
        <row r="428">
          <cell r="A428">
            <v>2029</v>
          </cell>
          <cell r="B428" t="str">
            <v>Graphite</v>
          </cell>
          <cell r="C428" t="str">
            <v>Current Measures</v>
          </cell>
          <cell r="D428" t="str">
            <v>Existing production</v>
          </cell>
          <cell r="E428" t="str">
            <v>Current shares</v>
          </cell>
          <cell r="F428" t="str">
            <v>Status Quo</v>
          </cell>
          <cell r="G428">
            <v>774.14440896765586</v>
          </cell>
          <cell r="H428">
            <v>0</v>
          </cell>
          <cell r="I428">
            <v>0</v>
          </cell>
          <cell r="J428">
            <v>0</v>
          </cell>
          <cell r="K428">
            <v>774.14440896765586</v>
          </cell>
          <cell r="M428">
            <v>774.14440896765586</v>
          </cell>
          <cell r="N428">
            <v>0.59854391398996798</v>
          </cell>
        </row>
        <row r="429">
          <cell r="A429">
            <v>2029</v>
          </cell>
          <cell r="B429" t="str">
            <v>Graphite</v>
          </cell>
          <cell r="C429" t="str">
            <v>Current Measures</v>
          </cell>
          <cell r="D429" t="str">
            <v>Production potential</v>
          </cell>
          <cell r="E429" t="str">
            <v>Current shares</v>
          </cell>
          <cell r="F429" t="str">
            <v>Expansion Extractive</v>
          </cell>
          <cell r="G429">
            <v>774.14440896765586</v>
          </cell>
          <cell r="H429">
            <v>99514</v>
          </cell>
          <cell r="I429">
            <v>32839.620000000003</v>
          </cell>
          <cell r="J429">
            <v>26723.879056797668</v>
          </cell>
          <cell r="K429">
            <v>0</v>
          </cell>
          <cell r="M429">
            <v>0</v>
          </cell>
          <cell r="N429">
            <v>0.59854391398996798</v>
          </cell>
        </row>
        <row r="430">
          <cell r="A430">
            <v>2029</v>
          </cell>
          <cell r="B430" t="str">
            <v>Graphite</v>
          </cell>
          <cell r="C430" t="str">
            <v>Current Measures</v>
          </cell>
          <cell r="D430" t="str">
            <v>Production potential</v>
          </cell>
          <cell r="E430" t="str">
            <v>Current shares</v>
          </cell>
          <cell r="F430" t="str">
            <v>Expansion Extractive+Circularity</v>
          </cell>
          <cell r="G430">
            <v>774.14440896765586</v>
          </cell>
          <cell r="H430">
            <v>99514</v>
          </cell>
          <cell r="I430">
            <v>32839.620000000003</v>
          </cell>
          <cell r="J430">
            <v>26723.879056797668</v>
          </cell>
          <cell r="K430">
            <v>0</v>
          </cell>
          <cell r="M430">
            <v>0</v>
          </cell>
          <cell r="N430">
            <v>0.59854391398996798</v>
          </cell>
        </row>
        <row r="431">
          <cell r="A431">
            <v>2029</v>
          </cell>
          <cell r="B431" t="str">
            <v>Graphite</v>
          </cell>
          <cell r="C431" t="str">
            <v>Current Measures</v>
          </cell>
          <cell r="D431" t="str">
            <v>Production potential</v>
          </cell>
          <cell r="E431" t="str">
            <v>100% CAN</v>
          </cell>
          <cell r="F431" t="str">
            <v>Integrated</v>
          </cell>
          <cell r="G431">
            <v>774.14440896765586</v>
          </cell>
          <cell r="H431">
            <v>99514</v>
          </cell>
          <cell r="I431">
            <v>32839.620000000003</v>
          </cell>
          <cell r="J431">
            <v>26723.879056797668</v>
          </cell>
          <cell r="K431">
            <v>0</v>
          </cell>
          <cell r="M431">
            <v>0</v>
          </cell>
          <cell r="N431">
            <v>0.59854391398996798</v>
          </cell>
        </row>
        <row r="432">
          <cell r="A432">
            <v>2029</v>
          </cell>
          <cell r="B432" t="str">
            <v>Graphite</v>
          </cell>
          <cell r="C432" t="str">
            <v>Global Net-zero</v>
          </cell>
          <cell r="D432" t="str">
            <v>Existing production</v>
          </cell>
          <cell r="E432" t="str">
            <v>Current shares</v>
          </cell>
          <cell r="F432" t="str">
            <v>NIMBY</v>
          </cell>
          <cell r="G432">
            <v>1460.140190208509</v>
          </cell>
          <cell r="H432">
            <v>0</v>
          </cell>
          <cell r="I432">
            <v>0</v>
          </cell>
          <cell r="J432">
            <v>0</v>
          </cell>
          <cell r="K432">
            <v>1460.140190208509</v>
          </cell>
          <cell r="M432">
            <v>1460.140190208509</v>
          </cell>
          <cell r="N432">
            <v>0.59854391398996798</v>
          </cell>
        </row>
        <row r="433">
          <cell r="A433">
            <v>2029</v>
          </cell>
          <cell r="B433" t="str">
            <v>Graphite</v>
          </cell>
          <cell r="C433" t="str">
            <v>Global Net-zero</v>
          </cell>
          <cell r="D433" t="str">
            <v>Existing production</v>
          </cell>
          <cell r="E433" t="str">
            <v>Current shares</v>
          </cell>
          <cell r="F433" t="str">
            <v>Status Quo</v>
          </cell>
          <cell r="G433">
            <v>1460.140190208509</v>
          </cell>
          <cell r="H433">
            <v>0</v>
          </cell>
          <cell r="I433">
            <v>0</v>
          </cell>
          <cell r="J433">
            <v>0</v>
          </cell>
          <cell r="K433">
            <v>1460.140190208509</v>
          </cell>
          <cell r="M433">
            <v>1460.140190208509</v>
          </cell>
          <cell r="N433">
            <v>0.59854391398996798</v>
          </cell>
        </row>
        <row r="434">
          <cell r="A434">
            <v>2029</v>
          </cell>
          <cell r="B434" t="str">
            <v>Graphite</v>
          </cell>
          <cell r="C434" t="str">
            <v>Global Net-zero</v>
          </cell>
          <cell r="D434" t="str">
            <v>Production potential</v>
          </cell>
          <cell r="E434" t="str">
            <v>Current shares</v>
          </cell>
          <cell r="F434" t="str">
            <v>Expansion Extractive</v>
          </cell>
          <cell r="G434">
            <v>1460.140190208509</v>
          </cell>
          <cell r="H434">
            <v>99514</v>
          </cell>
          <cell r="I434">
            <v>32839.620000000003</v>
          </cell>
          <cell r="J434">
            <v>26723.879056797668</v>
          </cell>
          <cell r="K434">
            <v>0</v>
          </cell>
          <cell r="M434">
            <v>0</v>
          </cell>
          <cell r="N434">
            <v>0.59854391398996798</v>
          </cell>
        </row>
        <row r="435">
          <cell r="A435">
            <v>2029</v>
          </cell>
          <cell r="B435" t="str">
            <v>Graphite</v>
          </cell>
          <cell r="C435" t="str">
            <v>Global Net-zero</v>
          </cell>
          <cell r="D435" t="str">
            <v>Production potential</v>
          </cell>
          <cell r="E435" t="str">
            <v>Current shares</v>
          </cell>
          <cell r="F435" t="str">
            <v>Expansion Extractive+Circularity</v>
          </cell>
          <cell r="G435">
            <v>1460.140190208509</v>
          </cell>
          <cell r="H435">
            <v>99514</v>
          </cell>
          <cell r="I435">
            <v>32839.620000000003</v>
          </cell>
          <cell r="J435">
            <v>26723.879056797668</v>
          </cell>
          <cell r="K435">
            <v>0</v>
          </cell>
          <cell r="M435">
            <v>0</v>
          </cell>
          <cell r="N435">
            <v>0.59854391398996798</v>
          </cell>
        </row>
        <row r="436">
          <cell r="A436">
            <v>2029</v>
          </cell>
          <cell r="B436" t="str">
            <v>Graphite</v>
          </cell>
          <cell r="C436" t="str">
            <v>Global Net-zero</v>
          </cell>
          <cell r="D436" t="str">
            <v>Production potential</v>
          </cell>
          <cell r="E436" t="str">
            <v>100% CAN</v>
          </cell>
          <cell r="F436" t="str">
            <v>Integrated</v>
          </cell>
          <cell r="G436">
            <v>1460.140190208509</v>
          </cell>
          <cell r="H436">
            <v>99514</v>
          </cell>
          <cell r="I436">
            <v>32839.620000000003</v>
          </cell>
          <cell r="J436">
            <v>26723.879056797668</v>
          </cell>
          <cell r="K436">
            <v>0</v>
          </cell>
          <cell r="M436">
            <v>0</v>
          </cell>
          <cell r="N436">
            <v>0.59854391398996798</v>
          </cell>
        </row>
        <row r="437">
          <cell r="A437">
            <v>2029</v>
          </cell>
          <cell r="B437" t="str">
            <v>Lithium</v>
          </cell>
          <cell r="C437" t="str">
            <v>Canada Net-zero</v>
          </cell>
          <cell r="D437" t="str">
            <v>Existing production</v>
          </cell>
          <cell r="E437" t="str">
            <v>Current shares</v>
          </cell>
          <cell r="F437" t="str">
            <v>NIMBY</v>
          </cell>
          <cell r="G437">
            <v>24655.859039949839</v>
          </cell>
          <cell r="H437">
            <v>0</v>
          </cell>
          <cell r="I437">
            <v>0</v>
          </cell>
          <cell r="J437">
            <v>0</v>
          </cell>
          <cell r="K437">
            <v>35222.655771356913</v>
          </cell>
          <cell r="M437">
            <v>24655.859039949839</v>
          </cell>
          <cell r="N437">
            <v>0.787554996857322</v>
          </cell>
        </row>
        <row r="438">
          <cell r="A438">
            <v>2029</v>
          </cell>
          <cell r="B438" t="str">
            <v>Lithium</v>
          </cell>
          <cell r="C438" t="str">
            <v>Canada Net-zero</v>
          </cell>
          <cell r="D438" t="str">
            <v>Existing production</v>
          </cell>
          <cell r="E438" t="str">
            <v>Current shares</v>
          </cell>
          <cell r="F438" t="str">
            <v>Status Quo</v>
          </cell>
          <cell r="G438">
            <v>24655.859039949839</v>
          </cell>
          <cell r="H438">
            <v>37907</v>
          </cell>
          <cell r="I438">
            <v>26503.455040995341</v>
          </cell>
          <cell r="J438">
            <v>3350.3922248751624</v>
          </cell>
          <cell r="K438">
            <v>0</v>
          </cell>
          <cell r="M438">
            <v>0</v>
          </cell>
          <cell r="N438">
            <v>0.787554996857322</v>
          </cell>
        </row>
        <row r="439">
          <cell r="A439">
            <v>2029</v>
          </cell>
          <cell r="B439" t="str">
            <v>Lithium</v>
          </cell>
          <cell r="C439" t="str">
            <v>Canada Net-zero</v>
          </cell>
          <cell r="D439" t="str">
            <v>Production potential</v>
          </cell>
          <cell r="E439" t="str">
            <v>Current shares</v>
          </cell>
          <cell r="F439" t="str">
            <v>Expansion Extractive</v>
          </cell>
          <cell r="G439">
            <v>24655.859039949839</v>
          </cell>
          <cell r="H439">
            <v>152814</v>
          </cell>
          <cell r="I439">
            <v>106843.0363424872</v>
          </cell>
          <cell r="J439">
            <v>13506.392947267595</v>
          </cell>
          <cell r="K439">
            <v>0</v>
          </cell>
          <cell r="M439">
            <v>0</v>
          </cell>
          <cell r="N439">
            <v>0.787554996857322</v>
          </cell>
        </row>
        <row r="440">
          <cell r="A440">
            <v>2029</v>
          </cell>
          <cell r="B440" t="str">
            <v>Lithium</v>
          </cell>
          <cell r="C440" t="str">
            <v>Canada Net-zero</v>
          </cell>
          <cell r="D440" t="str">
            <v>Production potential</v>
          </cell>
          <cell r="E440" t="str">
            <v>Current shares</v>
          </cell>
          <cell r="F440" t="str">
            <v>Expansion Extractive+Circularity</v>
          </cell>
          <cell r="G440">
            <v>24655.859039949839</v>
          </cell>
          <cell r="H440">
            <v>152814</v>
          </cell>
          <cell r="I440">
            <v>106843.0363424872</v>
          </cell>
          <cell r="J440">
            <v>13506.392947267595</v>
          </cell>
          <cell r="K440">
            <v>0</v>
          </cell>
          <cell r="M440">
            <v>0</v>
          </cell>
          <cell r="N440">
            <v>0.787554996857322</v>
          </cell>
        </row>
        <row r="441">
          <cell r="A441">
            <v>2029</v>
          </cell>
          <cell r="B441" t="str">
            <v>Lithium</v>
          </cell>
          <cell r="C441" t="str">
            <v>Canada Net-zero</v>
          </cell>
          <cell r="D441" t="str">
            <v>Production potential</v>
          </cell>
          <cell r="E441" t="str">
            <v>100% CAN</v>
          </cell>
          <cell r="F441" t="str">
            <v>Integrated</v>
          </cell>
          <cell r="G441">
            <v>24655.859039949839</v>
          </cell>
          <cell r="H441">
            <v>152814</v>
          </cell>
          <cell r="I441">
            <v>106843.0363424872</v>
          </cell>
          <cell r="J441">
            <v>13506.392947267595</v>
          </cell>
          <cell r="K441">
            <v>0</v>
          </cell>
          <cell r="M441">
            <v>0</v>
          </cell>
          <cell r="N441">
            <v>0.787554996857322</v>
          </cell>
        </row>
        <row r="442">
          <cell r="A442">
            <v>2029</v>
          </cell>
          <cell r="B442" t="str">
            <v>Lithium</v>
          </cell>
          <cell r="C442" t="str">
            <v>Current Measures</v>
          </cell>
          <cell r="D442" t="str">
            <v>Existing production</v>
          </cell>
          <cell r="E442" t="str">
            <v>Current shares</v>
          </cell>
          <cell r="F442" t="str">
            <v>NIMBY</v>
          </cell>
          <cell r="G442">
            <v>12518.69573305871</v>
          </cell>
          <cell r="H442">
            <v>0</v>
          </cell>
          <cell r="I442">
            <v>0</v>
          </cell>
          <cell r="J442">
            <v>0</v>
          </cell>
          <cell r="K442">
            <v>17883.85104722673</v>
          </cell>
          <cell r="M442">
            <v>12518.69573305871</v>
          </cell>
          <cell r="N442">
            <v>0.787554996857322</v>
          </cell>
        </row>
        <row r="443">
          <cell r="A443">
            <v>2029</v>
          </cell>
          <cell r="B443" t="str">
            <v>Lithium</v>
          </cell>
          <cell r="C443" t="str">
            <v>Current Measures</v>
          </cell>
          <cell r="D443" t="str">
            <v>Existing production</v>
          </cell>
          <cell r="E443" t="str">
            <v>Current shares</v>
          </cell>
          <cell r="F443" t="str">
            <v>Status Quo</v>
          </cell>
          <cell r="G443">
            <v>12518.69573305871</v>
          </cell>
          <cell r="H443">
            <v>37907</v>
          </cell>
          <cell r="I443">
            <v>26503.455040995341</v>
          </cell>
          <cell r="J443">
            <v>3350.3922248751624</v>
          </cell>
          <cell r="K443">
            <v>0</v>
          </cell>
          <cell r="M443">
            <v>0</v>
          </cell>
          <cell r="N443">
            <v>0.787554996857322</v>
          </cell>
        </row>
        <row r="444">
          <cell r="A444">
            <v>2029</v>
          </cell>
          <cell r="B444" t="str">
            <v>Lithium</v>
          </cell>
          <cell r="C444" t="str">
            <v>Current Measures</v>
          </cell>
          <cell r="D444" t="str">
            <v>Production potential</v>
          </cell>
          <cell r="E444" t="str">
            <v>Current shares</v>
          </cell>
          <cell r="F444" t="str">
            <v>Expansion Extractive</v>
          </cell>
          <cell r="G444">
            <v>12518.69573305871</v>
          </cell>
          <cell r="H444">
            <v>152814</v>
          </cell>
          <cell r="I444">
            <v>106843.0363424872</v>
          </cell>
          <cell r="J444">
            <v>13506.392947267595</v>
          </cell>
          <cell r="K444">
            <v>0</v>
          </cell>
          <cell r="M444">
            <v>0</v>
          </cell>
          <cell r="N444">
            <v>0.787554996857322</v>
          </cell>
        </row>
        <row r="445">
          <cell r="A445">
            <v>2029</v>
          </cell>
          <cell r="B445" t="str">
            <v>Lithium</v>
          </cell>
          <cell r="C445" t="str">
            <v>Current Measures</v>
          </cell>
          <cell r="D445" t="str">
            <v>Production potential</v>
          </cell>
          <cell r="E445" t="str">
            <v>Current shares</v>
          </cell>
          <cell r="F445" t="str">
            <v>Expansion Extractive+Circularity</v>
          </cell>
          <cell r="G445">
            <v>12518.69573305871</v>
          </cell>
          <cell r="H445">
            <v>152814</v>
          </cell>
          <cell r="I445">
            <v>106843.0363424872</v>
          </cell>
          <cell r="J445">
            <v>13506.392947267595</v>
          </cell>
          <cell r="K445">
            <v>0</v>
          </cell>
          <cell r="M445">
            <v>0</v>
          </cell>
          <cell r="N445">
            <v>0.787554996857322</v>
          </cell>
        </row>
        <row r="446">
          <cell r="A446">
            <v>2029</v>
          </cell>
          <cell r="B446" t="str">
            <v>Lithium</v>
          </cell>
          <cell r="C446" t="str">
            <v>Current Measures</v>
          </cell>
          <cell r="D446" t="str">
            <v>Production potential</v>
          </cell>
          <cell r="E446" t="str">
            <v>100% CAN</v>
          </cell>
          <cell r="F446" t="str">
            <v>Integrated</v>
          </cell>
          <cell r="G446">
            <v>12518.69573305871</v>
          </cell>
          <cell r="H446">
            <v>152814</v>
          </cell>
          <cell r="I446">
            <v>106843.0363424872</v>
          </cell>
          <cell r="J446">
            <v>13506.392947267595</v>
          </cell>
          <cell r="K446">
            <v>0</v>
          </cell>
          <cell r="M446">
            <v>0</v>
          </cell>
          <cell r="N446">
            <v>0.787554996857322</v>
          </cell>
        </row>
        <row r="447">
          <cell r="A447">
            <v>2029</v>
          </cell>
          <cell r="B447" t="str">
            <v>Lithium</v>
          </cell>
          <cell r="C447" t="str">
            <v>Global Net-zero</v>
          </cell>
          <cell r="D447" t="str">
            <v>Existing production</v>
          </cell>
          <cell r="E447" t="str">
            <v>Current shares</v>
          </cell>
          <cell r="F447" t="str">
            <v>NIMBY</v>
          </cell>
          <cell r="G447">
            <v>23611.939267515339</v>
          </cell>
          <cell r="H447">
            <v>0</v>
          </cell>
          <cell r="I447">
            <v>0</v>
          </cell>
          <cell r="J447">
            <v>0</v>
          </cell>
          <cell r="K447">
            <v>33731.341810736201</v>
          </cell>
          <cell r="M447">
            <v>23611.939267515339</v>
          </cell>
          <cell r="N447">
            <v>0.787554996857322</v>
          </cell>
        </row>
        <row r="448">
          <cell r="A448">
            <v>2029</v>
          </cell>
          <cell r="B448" t="str">
            <v>Lithium</v>
          </cell>
          <cell r="C448" t="str">
            <v>Global Net-zero</v>
          </cell>
          <cell r="D448" t="str">
            <v>Existing production</v>
          </cell>
          <cell r="E448" t="str">
            <v>Current shares</v>
          </cell>
          <cell r="F448" t="str">
            <v>Status Quo</v>
          </cell>
          <cell r="G448">
            <v>23611.939267515339</v>
          </cell>
          <cell r="H448">
            <v>37907</v>
          </cell>
          <cell r="I448">
            <v>26503.455040995341</v>
          </cell>
          <cell r="J448">
            <v>3350.3922248751624</v>
          </cell>
          <cell r="K448">
            <v>0</v>
          </cell>
          <cell r="M448">
            <v>0</v>
          </cell>
          <cell r="N448">
            <v>0.787554996857322</v>
          </cell>
        </row>
        <row r="449">
          <cell r="A449">
            <v>2029</v>
          </cell>
          <cell r="B449" t="str">
            <v>Lithium</v>
          </cell>
          <cell r="C449" t="str">
            <v>Global Net-zero</v>
          </cell>
          <cell r="D449" t="str">
            <v>Production potential</v>
          </cell>
          <cell r="E449" t="str">
            <v>Current shares</v>
          </cell>
          <cell r="F449" t="str">
            <v>Expansion Extractive</v>
          </cell>
          <cell r="G449">
            <v>23611.939267515339</v>
          </cell>
          <cell r="H449">
            <v>152814</v>
          </cell>
          <cell r="I449">
            <v>106843.0363424872</v>
          </cell>
          <cell r="J449">
            <v>13506.392947267595</v>
          </cell>
          <cell r="K449">
            <v>0</v>
          </cell>
          <cell r="M449">
            <v>0</v>
          </cell>
          <cell r="N449">
            <v>0.787554996857322</v>
          </cell>
        </row>
        <row r="450">
          <cell r="A450">
            <v>2029</v>
          </cell>
          <cell r="B450" t="str">
            <v>Lithium</v>
          </cell>
          <cell r="C450" t="str">
            <v>Global Net-zero</v>
          </cell>
          <cell r="D450" t="str">
            <v>Production potential</v>
          </cell>
          <cell r="E450" t="str">
            <v>Current shares</v>
          </cell>
          <cell r="F450" t="str">
            <v>Expansion Extractive+Circularity</v>
          </cell>
          <cell r="G450">
            <v>23611.939267515339</v>
          </cell>
          <cell r="H450">
            <v>152814</v>
          </cell>
          <cell r="I450">
            <v>106843.0363424872</v>
          </cell>
          <cell r="J450">
            <v>13506.392947267595</v>
          </cell>
          <cell r="K450">
            <v>0</v>
          </cell>
          <cell r="M450">
            <v>0</v>
          </cell>
          <cell r="N450">
            <v>0.787554996857322</v>
          </cell>
        </row>
        <row r="451">
          <cell r="A451">
            <v>2029</v>
          </cell>
          <cell r="B451" t="str">
            <v>Lithium</v>
          </cell>
          <cell r="C451" t="str">
            <v>Global Net-zero</v>
          </cell>
          <cell r="D451" t="str">
            <v>Production potential</v>
          </cell>
          <cell r="E451" t="str">
            <v>100% CAN</v>
          </cell>
          <cell r="F451" t="str">
            <v>Integrated</v>
          </cell>
          <cell r="G451">
            <v>23611.939267515339</v>
          </cell>
          <cell r="H451">
            <v>152814</v>
          </cell>
          <cell r="I451">
            <v>106843.0363424872</v>
          </cell>
          <cell r="J451">
            <v>13506.392947267595</v>
          </cell>
          <cell r="K451">
            <v>0</v>
          </cell>
          <cell r="M451">
            <v>0</v>
          </cell>
          <cell r="N451">
            <v>0.787554996857322</v>
          </cell>
        </row>
        <row r="452">
          <cell r="A452">
            <v>2030</v>
          </cell>
          <cell r="B452" t="str">
            <v>Cobalt</v>
          </cell>
          <cell r="C452" t="str">
            <v>Canada Net-zero</v>
          </cell>
          <cell r="D452" t="str">
            <v>Existing production</v>
          </cell>
          <cell r="E452" t="str">
            <v>Current shares</v>
          </cell>
          <cell r="F452" t="str">
            <v>NIMBY</v>
          </cell>
          <cell r="G452">
            <v>58753.881043988476</v>
          </cell>
          <cell r="H452">
            <v>0</v>
          </cell>
          <cell r="I452">
            <v>0</v>
          </cell>
          <cell r="J452">
            <v>0</v>
          </cell>
          <cell r="K452">
            <v>133531.54782724651</v>
          </cell>
          <cell r="M452">
            <v>58753.881043988476</v>
          </cell>
          <cell r="N452">
            <v>0.439346565686978</v>
          </cell>
        </row>
        <row r="453">
          <cell r="A453">
            <v>2030</v>
          </cell>
          <cell r="B453" t="str">
            <v>Cobalt</v>
          </cell>
          <cell r="C453" t="str">
            <v>Canada Net-zero</v>
          </cell>
          <cell r="D453" t="str">
            <v>Existing production</v>
          </cell>
          <cell r="E453" t="str">
            <v>Current shares</v>
          </cell>
          <cell r="F453" t="str">
            <v>Status Quo</v>
          </cell>
          <cell r="G453">
            <v>58753.881043988476</v>
          </cell>
          <cell r="H453">
            <v>3861</v>
          </cell>
          <cell r="I453">
            <v>1637.7660393504759</v>
          </cell>
          <cell r="J453">
            <v>58.551050766946219</v>
          </cell>
          <cell r="K453">
            <v>129670.5478272465</v>
          </cell>
          <cell r="M453">
            <v>57057.563953871053</v>
          </cell>
          <cell r="N453">
            <v>0.439346565686978</v>
          </cell>
        </row>
        <row r="454">
          <cell r="A454">
            <v>2030</v>
          </cell>
          <cell r="B454" t="str">
            <v>Cobalt</v>
          </cell>
          <cell r="C454" t="str">
            <v>Canada Net-zero</v>
          </cell>
          <cell r="D454" t="str">
            <v>Production potential</v>
          </cell>
          <cell r="E454" t="str">
            <v>Current shares</v>
          </cell>
          <cell r="F454" t="str">
            <v>Expansion Extractive</v>
          </cell>
          <cell r="G454">
            <v>58753.881043988476</v>
          </cell>
          <cell r="H454">
            <v>7722.69119676847</v>
          </cell>
          <cell r="I454">
            <v>3275.825271809967</v>
          </cell>
          <cell r="J454">
            <v>117.11258335131834</v>
          </cell>
          <cell r="K454">
            <v>125808.8566304781</v>
          </cell>
          <cell r="M454">
            <v>55360.943188827187</v>
          </cell>
          <cell r="N454">
            <v>0.439346565686978</v>
          </cell>
        </row>
        <row r="455">
          <cell r="A455">
            <v>2030</v>
          </cell>
          <cell r="B455" t="str">
            <v>Cobalt</v>
          </cell>
          <cell r="C455" t="str">
            <v>Canada Net-zero</v>
          </cell>
          <cell r="D455" t="str">
            <v>Production potential</v>
          </cell>
          <cell r="E455" t="str">
            <v>Current shares</v>
          </cell>
          <cell r="F455" t="str">
            <v>Expansion Extractive+Circularity</v>
          </cell>
          <cell r="G455">
            <v>58753.881043988476</v>
          </cell>
          <cell r="H455">
            <v>7722.69119676847</v>
          </cell>
          <cell r="I455">
            <v>3275.825271809967</v>
          </cell>
          <cell r="J455">
            <v>117.11258335131834</v>
          </cell>
          <cell r="K455">
            <v>125808.8566304781</v>
          </cell>
          <cell r="M455">
            <v>55360.943188827187</v>
          </cell>
          <cell r="N455">
            <v>0.439346565686978</v>
          </cell>
        </row>
        <row r="456">
          <cell r="A456">
            <v>2030</v>
          </cell>
          <cell r="B456" t="str">
            <v>Cobalt</v>
          </cell>
          <cell r="C456" t="str">
            <v>Canada Net-zero</v>
          </cell>
          <cell r="D456" t="str">
            <v>Production potential</v>
          </cell>
          <cell r="E456" t="str">
            <v>100% CAN</v>
          </cell>
          <cell r="F456" t="str">
            <v>Integrated</v>
          </cell>
          <cell r="G456">
            <v>58753.881043988476</v>
          </cell>
          <cell r="H456">
            <v>7722.69119676847</v>
          </cell>
          <cell r="I456">
            <v>3392.937855161289</v>
          </cell>
          <cell r="J456">
            <v>-3.637978807091713E-12</v>
          </cell>
          <cell r="K456">
            <v>125808.8566304781</v>
          </cell>
          <cell r="M456">
            <v>55360.943188827194</v>
          </cell>
          <cell r="N456">
            <v>0.439346565686978</v>
          </cell>
        </row>
        <row r="457">
          <cell r="A457">
            <v>2030</v>
          </cell>
          <cell r="B457" t="str">
            <v>Cobalt</v>
          </cell>
          <cell r="C457" t="str">
            <v>Current Measures</v>
          </cell>
          <cell r="D457" t="str">
            <v>Existing production</v>
          </cell>
          <cell r="E457" t="str">
            <v>Current shares</v>
          </cell>
          <cell r="F457" t="str">
            <v>NIMBY</v>
          </cell>
          <cell r="G457">
            <v>28359.41743748487</v>
          </cell>
          <cell r="H457">
            <v>0</v>
          </cell>
          <cell r="I457">
            <v>0</v>
          </cell>
          <cell r="J457">
            <v>0</v>
          </cell>
          <cell r="K457">
            <v>64453.221448829252</v>
          </cell>
          <cell r="M457">
            <v>28359.41743748487</v>
          </cell>
          <cell r="N457">
            <v>0.439346565686978</v>
          </cell>
        </row>
        <row r="458">
          <cell r="A458">
            <v>2030</v>
          </cell>
          <cell r="B458" t="str">
            <v>Cobalt</v>
          </cell>
          <cell r="C458" t="str">
            <v>Current Measures</v>
          </cell>
          <cell r="D458" t="str">
            <v>Existing production</v>
          </cell>
          <cell r="E458" t="str">
            <v>Current shares</v>
          </cell>
          <cell r="F458" t="str">
            <v>Status Quo</v>
          </cell>
          <cell r="G458">
            <v>28359.41743748487</v>
          </cell>
          <cell r="H458">
            <v>3861</v>
          </cell>
          <cell r="I458">
            <v>1637.7660393504759</v>
          </cell>
          <cell r="J458">
            <v>58.551050766946219</v>
          </cell>
          <cell r="K458">
            <v>60592.221448829252</v>
          </cell>
          <cell r="M458">
            <v>26663.100347367443</v>
          </cell>
          <cell r="N458">
            <v>0.439346565686978</v>
          </cell>
        </row>
        <row r="459">
          <cell r="A459">
            <v>2030</v>
          </cell>
          <cell r="B459" t="str">
            <v>Cobalt</v>
          </cell>
          <cell r="C459" t="str">
            <v>Current Measures</v>
          </cell>
          <cell r="D459" t="str">
            <v>Production potential</v>
          </cell>
          <cell r="E459" t="str">
            <v>Current shares</v>
          </cell>
          <cell r="F459" t="str">
            <v>Expansion Extractive</v>
          </cell>
          <cell r="G459">
            <v>28359.41743748487</v>
          </cell>
          <cell r="H459">
            <v>7722.69119676847</v>
          </cell>
          <cell r="I459">
            <v>3275.825271809967</v>
          </cell>
          <cell r="J459">
            <v>117.11258335131834</v>
          </cell>
          <cell r="K459">
            <v>56730.53025206078</v>
          </cell>
          <cell r="M459">
            <v>24966.479582323584</v>
          </cell>
          <cell r="N459">
            <v>0.439346565686978</v>
          </cell>
        </row>
        <row r="460">
          <cell r="A460">
            <v>2030</v>
          </cell>
          <cell r="B460" t="str">
            <v>Cobalt</v>
          </cell>
          <cell r="C460" t="str">
            <v>Current Measures</v>
          </cell>
          <cell r="D460" t="str">
            <v>Production potential</v>
          </cell>
          <cell r="E460" t="str">
            <v>Current shares</v>
          </cell>
          <cell r="F460" t="str">
            <v>Expansion Extractive+Circularity</v>
          </cell>
          <cell r="G460">
            <v>28359.41743748487</v>
          </cell>
          <cell r="H460">
            <v>7722.69119676847</v>
          </cell>
          <cell r="I460">
            <v>3275.825271809967</v>
          </cell>
          <cell r="J460">
            <v>117.11258335131834</v>
          </cell>
          <cell r="K460">
            <v>56730.53025206078</v>
          </cell>
          <cell r="M460">
            <v>24966.479582323584</v>
          </cell>
          <cell r="N460">
            <v>0.439346565686978</v>
          </cell>
        </row>
        <row r="461">
          <cell r="A461">
            <v>2030</v>
          </cell>
          <cell r="B461" t="str">
            <v>Cobalt</v>
          </cell>
          <cell r="C461" t="str">
            <v>Current Measures</v>
          </cell>
          <cell r="D461" t="str">
            <v>Production potential</v>
          </cell>
          <cell r="E461" t="str">
            <v>100% CAN</v>
          </cell>
          <cell r="F461" t="str">
            <v>Integrated</v>
          </cell>
          <cell r="G461">
            <v>28359.41743748487</v>
          </cell>
          <cell r="H461">
            <v>7722.69119676847</v>
          </cell>
          <cell r="I461">
            <v>3392.937855161289</v>
          </cell>
          <cell r="J461">
            <v>-3.637978807091713E-12</v>
          </cell>
          <cell r="K461">
            <v>56730.53025206078</v>
          </cell>
          <cell r="M461">
            <v>24966.479582323584</v>
          </cell>
          <cell r="N461">
            <v>0.439346565686978</v>
          </cell>
        </row>
        <row r="462">
          <cell r="A462">
            <v>2030</v>
          </cell>
          <cell r="B462" t="str">
            <v>Cobalt</v>
          </cell>
          <cell r="C462" t="str">
            <v>Global Net-zero</v>
          </cell>
          <cell r="D462" t="str">
            <v>Existing production</v>
          </cell>
          <cell r="E462" t="str">
            <v>Current shares</v>
          </cell>
          <cell r="F462" t="str">
            <v>NIMBY</v>
          </cell>
          <cell r="G462">
            <v>55644.976100679487</v>
          </cell>
          <cell r="H462">
            <v>0</v>
          </cell>
          <cell r="I462">
            <v>0</v>
          </cell>
          <cell r="J462">
            <v>0</v>
          </cell>
          <cell r="K462">
            <v>126465.8547742716</v>
          </cell>
          <cell r="M462">
            <v>55644.976100679487</v>
          </cell>
          <cell r="N462">
            <v>0.439346565686978</v>
          </cell>
        </row>
        <row r="463">
          <cell r="A463">
            <v>2030</v>
          </cell>
          <cell r="B463" t="str">
            <v>Cobalt</v>
          </cell>
          <cell r="C463" t="str">
            <v>Global Net-zero</v>
          </cell>
          <cell r="D463" t="str">
            <v>Existing production</v>
          </cell>
          <cell r="E463" t="str">
            <v>Current shares</v>
          </cell>
          <cell r="F463" t="str">
            <v>Status Quo</v>
          </cell>
          <cell r="G463">
            <v>55644.976100679487</v>
          </cell>
          <cell r="H463">
            <v>3861</v>
          </cell>
          <cell r="I463">
            <v>1637.7660393504759</v>
          </cell>
          <cell r="J463">
            <v>58.551050766946219</v>
          </cell>
          <cell r="K463">
            <v>122604.8547742716</v>
          </cell>
          <cell r="M463">
            <v>53948.659010562063</v>
          </cell>
          <cell r="N463">
            <v>0.439346565686978</v>
          </cell>
        </row>
        <row r="464">
          <cell r="A464">
            <v>2030</v>
          </cell>
          <cell r="B464" t="str">
            <v>Cobalt</v>
          </cell>
          <cell r="C464" t="str">
            <v>Global Net-zero</v>
          </cell>
          <cell r="D464" t="str">
            <v>Production potential</v>
          </cell>
          <cell r="E464" t="str">
            <v>Current shares</v>
          </cell>
          <cell r="F464" t="str">
            <v>Expansion Extractive</v>
          </cell>
          <cell r="G464">
            <v>55644.976100679487</v>
          </cell>
          <cell r="H464">
            <v>7722.69119676847</v>
          </cell>
          <cell r="I464">
            <v>3275.825271809967</v>
          </cell>
          <cell r="J464">
            <v>117.11258335131834</v>
          </cell>
          <cell r="K464">
            <v>118743.1635775031</v>
          </cell>
          <cell r="M464">
            <v>52252.038245518197</v>
          </cell>
          <cell r="N464">
            <v>0.439346565686978</v>
          </cell>
        </row>
        <row r="465">
          <cell r="A465">
            <v>2030</v>
          </cell>
          <cell r="B465" t="str">
            <v>Cobalt</v>
          </cell>
          <cell r="C465" t="str">
            <v>Global Net-zero</v>
          </cell>
          <cell r="D465" t="str">
            <v>Production potential</v>
          </cell>
          <cell r="E465" t="str">
            <v>Current shares</v>
          </cell>
          <cell r="F465" t="str">
            <v>Expansion Extractive+Circularity</v>
          </cell>
          <cell r="G465">
            <v>55644.976100679487</v>
          </cell>
          <cell r="H465">
            <v>7722.69119676847</v>
          </cell>
          <cell r="I465">
            <v>3275.825271809967</v>
          </cell>
          <cell r="J465">
            <v>117.11258335131834</v>
          </cell>
          <cell r="K465">
            <v>118743.1635775031</v>
          </cell>
          <cell r="M465">
            <v>52252.038245518197</v>
          </cell>
          <cell r="N465">
            <v>0.439346565686978</v>
          </cell>
        </row>
        <row r="466">
          <cell r="A466">
            <v>2030</v>
          </cell>
          <cell r="B466" t="str">
            <v>Cobalt</v>
          </cell>
          <cell r="C466" t="str">
            <v>Global Net-zero</v>
          </cell>
          <cell r="D466" t="str">
            <v>Production potential</v>
          </cell>
          <cell r="E466" t="str">
            <v>100% CAN</v>
          </cell>
          <cell r="F466" t="str">
            <v>Integrated</v>
          </cell>
          <cell r="G466">
            <v>55644.976100679487</v>
          </cell>
          <cell r="H466">
            <v>7722.69119676847</v>
          </cell>
          <cell r="I466">
            <v>3392.937855161289</v>
          </cell>
          <cell r="J466">
            <v>-3.637978807091713E-12</v>
          </cell>
          <cell r="K466">
            <v>118743.1635775031</v>
          </cell>
          <cell r="M466">
            <v>52252.038245518197</v>
          </cell>
          <cell r="N466">
            <v>0.439346565686978</v>
          </cell>
        </row>
        <row r="467">
          <cell r="A467">
            <v>2030</v>
          </cell>
          <cell r="B467" t="str">
            <v>Copper</v>
          </cell>
          <cell r="C467" t="str">
            <v>Canada Net-zero</v>
          </cell>
          <cell r="D467" t="str">
            <v>Existing production</v>
          </cell>
          <cell r="E467" t="str">
            <v>Current shares</v>
          </cell>
          <cell r="F467" t="str">
            <v>NIMBY</v>
          </cell>
          <cell r="G467">
            <v>999788.1668806962</v>
          </cell>
          <cell r="H467">
            <v>0</v>
          </cell>
          <cell r="I467">
            <v>0</v>
          </cell>
          <cell r="J467">
            <v>0</v>
          </cell>
          <cell r="K467">
            <v>1204564.056482767</v>
          </cell>
          <cell r="M467">
            <v>999788.1668806962</v>
          </cell>
          <cell r="N467">
            <v>0.83474576271186396</v>
          </cell>
        </row>
        <row r="468">
          <cell r="A468">
            <v>2030</v>
          </cell>
          <cell r="B468" t="str">
            <v>Copper</v>
          </cell>
          <cell r="C468" t="str">
            <v>Canada Net-zero</v>
          </cell>
          <cell r="D468" t="str">
            <v>Existing production</v>
          </cell>
          <cell r="E468" t="str">
            <v>Current shares</v>
          </cell>
          <cell r="F468" t="str">
            <v>Status Quo</v>
          </cell>
          <cell r="G468">
            <v>999788.1668806962</v>
          </cell>
          <cell r="H468">
            <v>331738</v>
          </cell>
          <cell r="I468">
            <v>174364.3747679751</v>
          </cell>
          <cell r="J468">
            <v>102552.51506253323</v>
          </cell>
          <cell r="K468">
            <v>872826.05648276652</v>
          </cell>
          <cell r="M468">
            <v>722871.27705018793</v>
          </cell>
          <cell r="N468">
            <v>0.83474576271186396</v>
          </cell>
        </row>
        <row r="469">
          <cell r="A469">
            <v>2030</v>
          </cell>
          <cell r="B469" t="str">
            <v>Copper</v>
          </cell>
          <cell r="C469" t="str">
            <v>Canada Net-zero</v>
          </cell>
          <cell r="D469" t="str">
            <v>Production potential</v>
          </cell>
          <cell r="E469" t="str">
            <v>Current shares</v>
          </cell>
          <cell r="F469" t="str">
            <v>Expansion Extractive</v>
          </cell>
          <cell r="G469">
            <v>999788.1668806962</v>
          </cell>
          <cell r="H469">
            <v>686257.18012875051</v>
          </cell>
          <cell r="I469">
            <v>360702.73572271859</v>
          </cell>
          <cell r="J469">
            <v>212147.53752034827</v>
          </cell>
          <cell r="K469">
            <v>518306.87635401601</v>
          </cell>
          <cell r="M469">
            <v>426937.89363762928</v>
          </cell>
          <cell r="N469">
            <v>0.83474576271186396</v>
          </cell>
        </row>
        <row r="470">
          <cell r="A470">
            <v>2030</v>
          </cell>
          <cell r="B470" t="str">
            <v>Copper</v>
          </cell>
          <cell r="C470" t="str">
            <v>Canada Net-zero</v>
          </cell>
          <cell r="D470" t="str">
            <v>Production potential</v>
          </cell>
          <cell r="E470" t="str">
            <v>Current shares</v>
          </cell>
          <cell r="F470" t="str">
            <v>Expansion Extractive+Circularity</v>
          </cell>
          <cell r="G470">
            <v>999788.1668806962</v>
          </cell>
          <cell r="H470">
            <v>686257.18012875051</v>
          </cell>
          <cell r="I470">
            <v>360702.73572271859</v>
          </cell>
          <cell r="J470">
            <v>212147.53752034827</v>
          </cell>
          <cell r="K470">
            <v>518306.87635401601</v>
          </cell>
          <cell r="M470">
            <v>426937.89363762928</v>
          </cell>
          <cell r="N470">
            <v>0.83474576271186396</v>
          </cell>
        </row>
        <row r="471">
          <cell r="A471">
            <v>2030</v>
          </cell>
          <cell r="B471" t="str">
            <v>Copper</v>
          </cell>
          <cell r="C471" t="str">
            <v>Canada Net-zero</v>
          </cell>
          <cell r="D471" t="str">
            <v>Production potential</v>
          </cell>
          <cell r="E471" t="str">
            <v>100% CAN</v>
          </cell>
          <cell r="F471" t="str">
            <v>Integrated</v>
          </cell>
          <cell r="G471">
            <v>999788.1668806962</v>
          </cell>
          <cell r="H471">
            <v>686257.18012875051</v>
          </cell>
          <cell r="I471">
            <v>572850.2732430672</v>
          </cell>
          <cell r="J471">
            <v>0</v>
          </cell>
          <cell r="K471">
            <v>518306.87635401601</v>
          </cell>
          <cell r="M471">
            <v>426937.89363762899</v>
          </cell>
          <cell r="N471">
            <v>0.83474576271186396</v>
          </cell>
        </row>
        <row r="472">
          <cell r="A472">
            <v>2030</v>
          </cell>
          <cell r="B472" t="str">
            <v>Copper</v>
          </cell>
          <cell r="C472" t="str">
            <v>Current Measures</v>
          </cell>
          <cell r="D472" t="str">
            <v>Existing production</v>
          </cell>
          <cell r="E472" t="str">
            <v>Current shares</v>
          </cell>
          <cell r="F472" t="str">
            <v>NIMBY</v>
          </cell>
          <cell r="G472">
            <v>938553.71310400078</v>
          </cell>
          <cell r="H472">
            <v>0</v>
          </cell>
          <cell r="I472">
            <v>0</v>
          </cell>
          <cell r="J472">
            <v>0</v>
          </cell>
          <cell r="K472">
            <v>1130787.606149398</v>
          </cell>
          <cell r="M472">
            <v>938553.71310400078</v>
          </cell>
          <cell r="N472">
            <v>0.83474576271186396</v>
          </cell>
        </row>
        <row r="473">
          <cell r="A473">
            <v>2030</v>
          </cell>
          <cell r="B473" t="str">
            <v>Copper</v>
          </cell>
          <cell r="C473" t="str">
            <v>Current Measures</v>
          </cell>
          <cell r="D473" t="str">
            <v>Existing production</v>
          </cell>
          <cell r="E473" t="str">
            <v>Current shares</v>
          </cell>
          <cell r="F473" t="str">
            <v>Status Quo</v>
          </cell>
          <cell r="G473">
            <v>938553.71310400078</v>
          </cell>
          <cell r="H473">
            <v>331738</v>
          </cell>
          <cell r="I473">
            <v>174364.3747679751</v>
          </cell>
          <cell r="J473">
            <v>102552.51506253323</v>
          </cell>
          <cell r="K473">
            <v>799049.60614939849</v>
          </cell>
          <cell r="M473">
            <v>661636.82327349251</v>
          </cell>
          <cell r="N473">
            <v>0.83474576271186396</v>
          </cell>
        </row>
        <row r="474">
          <cell r="A474">
            <v>2030</v>
          </cell>
          <cell r="B474" t="str">
            <v>Copper</v>
          </cell>
          <cell r="C474" t="str">
            <v>Current Measures</v>
          </cell>
          <cell r="D474" t="str">
            <v>Production potential</v>
          </cell>
          <cell r="E474" t="str">
            <v>Current shares</v>
          </cell>
          <cell r="F474" t="str">
            <v>Expansion Extractive</v>
          </cell>
          <cell r="G474">
            <v>938553.71310400078</v>
          </cell>
          <cell r="H474">
            <v>686257.18012875051</v>
          </cell>
          <cell r="I474">
            <v>360702.73572271859</v>
          </cell>
          <cell r="J474">
            <v>212147.53752034827</v>
          </cell>
          <cell r="K474">
            <v>444530.42602064798</v>
          </cell>
          <cell r="M474">
            <v>365703.43986093387</v>
          </cell>
          <cell r="N474">
            <v>0.83474576271186396</v>
          </cell>
        </row>
        <row r="475">
          <cell r="A475">
            <v>2030</v>
          </cell>
          <cell r="B475" t="str">
            <v>Copper</v>
          </cell>
          <cell r="C475" t="str">
            <v>Current Measures</v>
          </cell>
          <cell r="D475" t="str">
            <v>Production potential</v>
          </cell>
          <cell r="E475" t="str">
            <v>Current shares</v>
          </cell>
          <cell r="F475" t="str">
            <v>Expansion Extractive+Circularity</v>
          </cell>
          <cell r="G475">
            <v>938553.71310400078</v>
          </cell>
          <cell r="H475">
            <v>686257.18012875051</v>
          </cell>
          <cell r="I475">
            <v>360702.73572271859</v>
          </cell>
          <cell r="J475">
            <v>212147.53752034827</v>
          </cell>
          <cell r="K475">
            <v>444530.42602064798</v>
          </cell>
          <cell r="M475">
            <v>365703.43986093387</v>
          </cell>
          <cell r="N475">
            <v>0.83474576271186396</v>
          </cell>
        </row>
        <row r="476">
          <cell r="A476">
            <v>2030</v>
          </cell>
          <cell r="B476" t="str">
            <v>Copper</v>
          </cell>
          <cell r="C476" t="str">
            <v>Current Measures</v>
          </cell>
          <cell r="D476" t="str">
            <v>Production potential</v>
          </cell>
          <cell r="E476" t="str">
            <v>100% CAN</v>
          </cell>
          <cell r="F476" t="str">
            <v>Integrated</v>
          </cell>
          <cell r="G476">
            <v>938553.71310400078</v>
          </cell>
          <cell r="H476">
            <v>686257.18012875051</v>
          </cell>
          <cell r="I476">
            <v>572850.2732430672</v>
          </cell>
          <cell r="J476">
            <v>0</v>
          </cell>
          <cell r="K476">
            <v>444530.42602064798</v>
          </cell>
          <cell r="M476">
            <v>365703.43986093358</v>
          </cell>
          <cell r="N476">
            <v>0.83474576271186396</v>
          </cell>
        </row>
        <row r="477">
          <cell r="A477">
            <v>2030</v>
          </cell>
          <cell r="B477" t="str">
            <v>Copper</v>
          </cell>
          <cell r="C477" t="str">
            <v>Global Net-zero</v>
          </cell>
          <cell r="D477" t="str">
            <v>Existing production</v>
          </cell>
          <cell r="E477" t="str">
            <v>Current shares</v>
          </cell>
          <cell r="F477" t="str">
            <v>NIMBY</v>
          </cell>
          <cell r="G477">
            <v>970850.53343822004</v>
          </cell>
          <cell r="H477">
            <v>0</v>
          </cell>
          <cell r="I477">
            <v>0</v>
          </cell>
          <cell r="J477">
            <v>0</v>
          </cell>
          <cell r="K477">
            <v>1169699.437877374</v>
          </cell>
          <cell r="M477">
            <v>970850.53343822004</v>
          </cell>
          <cell r="N477">
            <v>0.83474576271186396</v>
          </cell>
        </row>
        <row r="478">
          <cell r="A478">
            <v>2030</v>
          </cell>
          <cell r="B478" t="str">
            <v>Copper</v>
          </cell>
          <cell r="C478" t="str">
            <v>Global Net-zero</v>
          </cell>
          <cell r="D478" t="str">
            <v>Existing production</v>
          </cell>
          <cell r="E478" t="str">
            <v>Current shares</v>
          </cell>
          <cell r="F478" t="str">
            <v>Status Quo</v>
          </cell>
          <cell r="G478">
            <v>970850.53343822004</v>
          </cell>
          <cell r="H478">
            <v>331738</v>
          </cell>
          <cell r="I478">
            <v>174364.3747679751</v>
          </cell>
          <cell r="J478">
            <v>102552.51506253323</v>
          </cell>
          <cell r="K478">
            <v>837961.43787737354</v>
          </cell>
          <cell r="M478">
            <v>693933.64360771177</v>
          </cell>
          <cell r="N478">
            <v>0.83474576271186396</v>
          </cell>
        </row>
        <row r="479">
          <cell r="A479">
            <v>2030</v>
          </cell>
          <cell r="B479" t="str">
            <v>Copper</v>
          </cell>
          <cell r="C479" t="str">
            <v>Global Net-zero</v>
          </cell>
          <cell r="D479" t="str">
            <v>Production potential</v>
          </cell>
          <cell r="E479" t="str">
            <v>Current shares</v>
          </cell>
          <cell r="F479" t="str">
            <v>Expansion Extractive</v>
          </cell>
          <cell r="G479">
            <v>970850.53343822004</v>
          </cell>
          <cell r="H479">
            <v>686257.18012875051</v>
          </cell>
          <cell r="I479">
            <v>360702.73572271859</v>
          </cell>
          <cell r="J479">
            <v>212147.53752034827</v>
          </cell>
          <cell r="K479">
            <v>483442.25774862297</v>
          </cell>
          <cell r="M479">
            <v>398000.26019515313</v>
          </cell>
          <cell r="N479">
            <v>0.83474576271186396</v>
          </cell>
        </row>
        <row r="480">
          <cell r="A480">
            <v>2030</v>
          </cell>
          <cell r="B480" t="str">
            <v>Copper</v>
          </cell>
          <cell r="C480" t="str">
            <v>Global Net-zero</v>
          </cell>
          <cell r="D480" t="str">
            <v>Production potential</v>
          </cell>
          <cell r="E480" t="str">
            <v>Current shares</v>
          </cell>
          <cell r="F480" t="str">
            <v>Expansion Extractive+Circularity</v>
          </cell>
          <cell r="G480">
            <v>970850.53343822004</v>
          </cell>
          <cell r="H480">
            <v>686257.18012875051</v>
          </cell>
          <cell r="I480">
            <v>360702.73572271859</v>
          </cell>
          <cell r="J480">
            <v>212147.53752034827</v>
          </cell>
          <cell r="K480">
            <v>483442.25774862297</v>
          </cell>
          <cell r="M480">
            <v>398000.26019515313</v>
          </cell>
          <cell r="N480">
            <v>0.83474576271186396</v>
          </cell>
        </row>
        <row r="481">
          <cell r="A481">
            <v>2030</v>
          </cell>
          <cell r="B481" t="str">
            <v>Copper</v>
          </cell>
          <cell r="C481" t="str">
            <v>Global Net-zero</v>
          </cell>
          <cell r="D481" t="str">
            <v>Production potential</v>
          </cell>
          <cell r="E481" t="str">
            <v>100% CAN</v>
          </cell>
          <cell r="F481" t="str">
            <v>Integrated</v>
          </cell>
          <cell r="G481">
            <v>970850.53343822004</v>
          </cell>
          <cell r="H481">
            <v>686257.18012875051</v>
          </cell>
          <cell r="I481">
            <v>572850.2732430672</v>
          </cell>
          <cell r="J481">
            <v>0</v>
          </cell>
          <cell r="K481">
            <v>483442.25774862297</v>
          </cell>
          <cell r="M481">
            <v>398000.26019515278</v>
          </cell>
          <cell r="N481">
            <v>0.83474576271186396</v>
          </cell>
        </row>
        <row r="482">
          <cell r="A482">
            <v>2030</v>
          </cell>
          <cell r="B482" t="str">
            <v>Neodymium</v>
          </cell>
          <cell r="C482" t="str">
            <v>Canada Net-zero</v>
          </cell>
          <cell r="D482" t="str">
            <v>Existing production</v>
          </cell>
          <cell r="E482" t="str">
            <v>Current shares</v>
          </cell>
          <cell r="F482" t="str">
            <v>NIMBY</v>
          </cell>
          <cell r="G482">
            <v>2154.8829337155262</v>
          </cell>
          <cell r="H482">
            <v>0</v>
          </cell>
          <cell r="I482">
            <v>0</v>
          </cell>
          <cell r="J482">
            <v>0</v>
          </cell>
          <cell r="K482">
            <v>3591.4715561925441</v>
          </cell>
          <cell r="M482">
            <v>2154.8829337155262</v>
          </cell>
          <cell r="N482">
            <v>1</v>
          </cell>
        </row>
        <row r="483">
          <cell r="A483">
            <v>2030</v>
          </cell>
          <cell r="B483" t="str">
            <v>Neodymium</v>
          </cell>
          <cell r="C483" t="str">
            <v>Canada Net-zero</v>
          </cell>
          <cell r="D483" t="str">
            <v>Existing production</v>
          </cell>
          <cell r="E483" t="str">
            <v>Current shares</v>
          </cell>
          <cell r="F483" t="str">
            <v>Status Quo</v>
          </cell>
          <cell r="G483">
            <v>2154.8829337155262</v>
          </cell>
          <cell r="H483">
            <v>0</v>
          </cell>
          <cell r="I483">
            <v>0</v>
          </cell>
          <cell r="J483">
            <v>0</v>
          </cell>
          <cell r="K483">
            <v>3591.4715561925441</v>
          </cell>
          <cell r="M483">
            <v>2154.8829337155262</v>
          </cell>
          <cell r="N483">
            <v>1</v>
          </cell>
        </row>
        <row r="484">
          <cell r="A484">
            <v>2030</v>
          </cell>
          <cell r="B484" t="str">
            <v>Neodymium</v>
          </cell>
          <cell r="C484" t="str">
            <v>Canada Net-zero</v>
          </cell>
          <cell r="D484" t="str">
            <v>Production potential</v>
          </cell>
          <cell r="E484" t="str">
            <v>Current shares</v>
          </cell>
          <cell r="F484" t="str">
            <v>Expansion Extractive</v>
          </cell>
          <cell r="G484">
            <v>2154.8829337155262</v>
          </cell>
          <cell r="H484">
            <v>14.8330257144349</v>
          </cell>
          <cell r="I484">
            <v>8.878217267431701</v>
          </cell>
          <cell r="J484">
            <v>5.9548084470031988</v>
          </cell>
          <cell r="K484">
            <v>3576.6385304781088</v>
          </cell>
          <cell r="M484">
            <v>2140.0499080010904</v>
          </cell>
          <cell r="N484">
            <v>1</v>
          </cell>
        </row>
        <row r="485">
          <cell r="A485">
            <v>2030</v>
          </cell>
          <cell r="B485" t="str">
            <v>Neodymium</v>
          </cell>
          <cell r="C485" t="str">
            <v>Canada Net-zero</v>
          </cell>
          <cell r="D485" t="str">
            <v>Production potential</v>
          </cell>
          <cell r="E485" t="str">
            <v>Current shares</v>
          </cell>
          <cell r="F485" t="str">
            <v>Expansion Extractive+Circularity</v>
          </cell>
          <cell r="G485">
            <v>2154.8829337155262</v>
          </cell>
          <cell r="H485">
            <v>14.8330257144349</v>
          </cell>
          <cell r="I485">
            <v>8.878217267431701</v>
          </cell>
          <cell r="J485">
            <v>5.9548084470031988</v>
          </cell>
          <cell r="K485">
            <v>3576.6385304781088</v>
          </cell>
          <cell r="M485">
            <v>2140.0499080010904</v>
          </cell>
          <cell r="N485">
            <v>1</v>
          </cell>
        </row>
        <row r="486">
          <cell r="A486">
            <v>2030</v>
          </cell>
          <cell r="B486" t="str">
            <v>Neodymium</v>
          </cell>
          <cell r="C486" t="str">
            <v>Canada Net-zero</v>
          </cell>
          <cell r="D486" t="str">
            <v>Production potential</v>
          </cell>
          <cell r="E486" t="str">
            <v>100% CAN</v>
          </cell>
          <cell r="F486" t="str">
            <v>Integrated</v>
          </cell>
          <cell r="G486">
            <v>2154.8829337155262</v>
          </cell>
          <cell r="H486">
            <v>14.8330257144349</v>
          </cell>
          <cell r="I486">
            <v>8.878217267431701</v>
          </cell>
          <cell r="J486">
            <v>5.9548084470031988</v>
          </cell>
          <cell r="K486">
            <v>3576.6385304781088</v>
          </cell>
          <cell r="M486">
            <v>2140.0499080010904</v>
          </cell>
          <cell r="N486">
            <v>1</v>
          </cell>
        </row>
        <row r="487">
          <cell r="A487">
            <v>2030</v>
          </cell>
          <cell r="B487" t="str">
            <v>Neodymium</v>
          </cell>
          <cell r="C487" t="str">
            <v>Current Measures</v>
          </cell>
          <cell r="D487" t="str">
            <v>Existing production</v>
          </cell>
          <cell r="E487" t="str">
            <v>Current shares</v>
          </cell>
          <cell r="F487" t="str">
            <v>NIMBY</v>
          </cell>
          <cell r="G487">
            <v>874.53250184739602</v>
          </cell>
          <cell r="H487">
            <v>0</v>
          </cell>
          <cell r="I487">
            <v>0</v>
          </cell>
          <cell r="J487">
            <v>0</v>
          </cell>
          <cell r="K487">
            <v>1457.5541697456599</v>
          </cell>
          <cell r="M487">
            <v>874.53250184739602</v>
          </cell>
          <cell r="N487">
            <v>1</v>
          </cell>
        </row>
        <row r="488">
          <cell r="A488">
            <v>2030</v>
          </cell>
          <cell r="B488" t="str">
            <v>Neodymium</v>
          </cell>
          <cell r="C488" t="str">
            <v>Current Measures</v>
          </cell>
          <cell r="D488" t="str">
            <v>Existing production</v>
          </cell>
          <cell r="E488" t="str">
            <v>Current shares</v>
          </cell>
          <cell r="F488" t="str">
            <v>Status Quo</v>
          </cell>
          <cell r="G488">
            <v>874.53250184739602</v>
          </cell>
          <cell r="H488">
            <v>0</v>
          </cell>
          <cell r="I488">
            <v>0</v>
          </cell>
          <cell r="J488">
            <v>0</v>
          </cell>
          <cell r="K488">
            <v>1457.5541697456599</v>
          </cell>
          <cell r="M488">
            <v>874.53250184739602</v>
          </cell>
          <cell r="N488">
            <v>1</v>
          </cell>
        </row>
        <row r="489">
          <cell r="A489">
            <v>2030</v>
          </cell>
          <cell r="B489" t="str">
            <v>Neodymium</v>
          </cell>
          <cell r="C489" t="str">
            <v>Current Measures</v>
          </cell>
          <cell r="D489" t="str">
            <v>Production potential</v>
          </cell>
          <cell r="E489" t="str">
            <v>Current shares</v>
          </cell>
          <cell r="F489" t="str">
            <v>Expansion Extractive</v>
          </cell>
          <cell r="G489">
            <v>874.53250184739602</v>
          </cell>
          <cell r="H489">
            <v>14.8330257144349</v>
          </cell>
          <cell r="I489">
            <v>8.878217267431701</v>
          </cell>
          <cell r="J489">
            <v>5.9548084470031988</v>
          </cell>
          <cell r="K489">
            <v>1442.7211440312251</v>
          </cell>
          <cell r="M489">
            <v>859.69947613296108</v>
          </cell>
          <cell r="N489">
            <v>1</v>
          </cell>
        </row>
        <row r="490">
          <cell r="A490">
            <v>2030</v>
          </cell>
          <cell r="B490" t="str">
            <v>Neodymium</v>
          </cell>
          <cell r="C490" t="str">
            <v>Current Measures</v>
          </cell>
          <cell r="D490" t="str">
            <v>Production potential</v>
          </cell>
          <cell r="E490" t="str">
            <v>Current shares</v>
          </cell>
          <cell r="F490" t="str">
            <v>Expansion Extractive+Circularity</v>
          </cell>
          <cell r="G490">
            <v>874.53250184739602</v>
          </cell>
          <cell r="H490">
            <v>14.8330257144349</v>
          </cell>
          <cell r="I490">
            <v>8.878217267431701</v>
          </cell>
          <cell r="J490">
            <v>5.9548084470031988</v>
          </cell>
          <cell r="K490">
            <v>1442.7211440312251</v>
          </cell>
          <cell r="M490">
            <v>859.69947613296108</v>
          </cell>
          <cell r="N490">
            <v>1</v>
          </cell>
        </row>
        <row r="491">
          <cell r="A491">
            <v>2030</v>
          </cell>
          <cell r="B491" t="str">
            <v>Neodymium</v>
          </cell>
          <cell r="C491" t="str">
            <v>Current Measures</v>
          </cell>
          <cell r="D491" t="str">
            <v>Production potential</v>
          </cell>
          <cell r="E491" t="str">
            <v>100% CAN</v>
          </cell>
          <cell r="F491" t="str">
            <v>Integrated</v>
          </cell>
          <cell r="G491">
            <v>874.53250184739602</v>
          </cell>
          <cell r="H491">
            <v>14.8330257144349</v>
          </cell>
          <cell r="I491">
            <v>8.878217267431701</v>
          </cell>
          <cell r="J491">
            <v>5.9548084470031988</v>
          </cell>
          <cell r="K491">
            <v>1442.7211440312251</v>
          </cell>
          <cell r="M491">
            <v>859.69947613296108</v>
          </cell>
          <cell r="N491">
            <v>1</v>
          </cell>
        </row>
        <row r="492">
          <cell r="A492">
            <v>2030</v>
          </cell>
          <cell r="B492" t="str">
            <v>Neodymium</v>
          </cell>
          <cell r="C492" t="str">
            <v>Global Net-zero</v>
          </cell>
          <cell r="D492" t="str">
            <v>Existing production</v>
          </cell>
          <cell r="E492" t="str">
            <v>Current shares</v>
          </cell>
          <cell r="F492" t="str">
            <v>NIMBY</v>
          </cell>
          <cell r="G492">
            <v>2060.9784695548619</v>
          </cell>
          <cell r="H492">
            <v>0</v>
          </cell>
          <cell r="I492">
            <v>0</v>
          </cell>
          <cell r="J492">
            <v>0</v>
          </cell>
          <cell r="K492">
            <v>3434.9641159247699</v>
          </cell>
          <cell r="M492">
            <v>2060.9784695548619</v>
          </cell>
          <cell r="N492">
            <v>1</v>
          </cell>
        </row>
        <row r="493">
          <cell r="A493">
            <v>2030</v>
          </cell>
          <cell r="B493" t="str">
            <v>Neodymium</v>
          </cell>
          <cell r="C493" t="str">
            <v>Global Net-zero</v>
          </cell>
          <cell r="D493" t="str">
            <v>Existing production</v>
          </cell>
          <cell r="E493" t="str">
            <v>Current shares</v>
          </cell>
          <cell r="F493" t="str">
            <v>Status Quo</v>
          </cell>
          <cell r="G493">
            <v>2060.9784695548619</v>
          </cell>
          <cell r="H493">
            <v>0</v>
          </cell>
          <cell r="I493">
            <v>0</v>
          </cell>
          <cell r="J493">
            <v>0</v>
          </cell>
          <cell r="K493">
            <v>3434.9641159247699</v>
          </cell>
          <cell r="M493">
            <v>2060.9784695548619</v>
          </cell>
          <cell r="N493">
            <v>1</v>
          </cell>
        </row>
        <row r="494">
          <cell r="A494">
            <v>2030</v>
          </cell>
          <cell r="B494" t="str">
            <v>Neodymium</v>
          </cell>
          <cell r="C494" t="str">
            <v>Global Net-zero</v>
          </cell>
          <cell r="D494" t="str">
            <v>Production potential</v>
          </cell>
          <cell r="E494" t="str">
            <v>Current shares</v>
          </cell>
          <cell r="F494" t="str">
            <v>Expansion Extractive</v>
          </cell>
          <cell r="G494">
            <v>2060.9784695548619</v>
          </cell>
          <cell r="H494">
            <v>14.8330257144349</v>
          </cell>
          <cell r="I494">
            <v>8.878217267431701</v>
          </cell>
          <cell r="J494">
            <v>5.9548084470031988</v>
          </cell>
          <cell r="K494">
            <v>3420.1310902103351</v>
          </cell>
          <cell r="M494">
            <v>2046.1454438404269</v>
          </cell>
          <cell r="N494">
            <v>1</v>
          </cell>
        </row>
        <row r="495">
          <cell r="A495">
            <v>2030</v>
          </cell>
          <cell r="B495" t="str">
            <v>Neodymium</v>
          </cell>
          <cell r="C495" t="str">
            <v>Global Net-zero</v>
          </cell>
          <cell r="D495" t="str">
            <v>Production potential</v>
          </cell>
          <cell r="E495" t="str">
            <v>Current shares</v>
          </cell>
          <cell r="F495" t="str">
            <v>Expansion Extractive+Circularity</v>
          </cell>
          <cell r="G495">
            <v>2060.9784695548619</v>
          </cell>
          <cell r="H495">
            <v>14.8330257144349</v>
          </cell>
          <cell r="I495">
            <v>8.878217267431701</v>
          </cell>
          <cell r="J495">
            <v>5.9548084470031988</v>
          </cell>
          <cell r="K495">
            <v>3420.1310902103351</v>
          </cell>
          <cell r="M495">
            <v>2046.1454438404269</v>
          </cell>
          <cell r="N495">
            <v>1</v>
          </cell>
        </row>
        <row r="496">
          <cell r="A496">
            <v>2030</v>
          </cell>
          <cell r="B496" t="str">
            <v>Neodymium</v>
          </cell>
          <cell r="C496" t="str">
            <v>Global Net-zero</v>
          </cell>
          <cell r="D496" t="str">
            <v>Production potential</v>
          </cell>
          <cell r="E496" t="str">
            <v>100% CAN</v>
          </cell>
          <cell r="F496" t="str">
            <v>Integrated</v>
          </cell>
          <cell r="G496">
            <v>2060.9784695548619</v>
          </cell>
          <cell r="H496">
            <v>14.8330257144349</v>
          </cell>
          <cell r="I496">
            <v>8.878217267431701</v>
          </cell>
          <cell r="J496">
            <v>5.9548084470031988</v>
          </cell>
          <cell r="K496">
            <v>3420.1310902103351</v>
          </cell>
          <cell r="M496">
            <v>2046.1454438404269</v>
          </cell>
          <cell r="N496">
            <v>1</v>
          </cell>
        </row>
        <row r="497">
          <cell r="A497">
            <v>2030</v>
          </cell>
          <cell r="B497" t="str">
            <v>Nickel</v>
          </cell>
          <cell r="C497" t="str">
            <v>Canada Net-zero</v>
          </cell>
          <cell r="D497" t="str">
            <v>Existing production</v>
          </cell>
          <cell r="E497" t="str">
            <v>Current shares</v>
          </cell>
          <cell r="F497" t="str">
            <v>NIMBY</v>
          </cell>
          <cell r="G497">
            <v>78598.837813683815</v>
          </cell>
          <cell r="H497">
            <v>0</v>
          </cell>
          <cell r="I497">
            <v>0</v>
          </cell>
          <cell r="J497">
            <v>0</v>
          </cell>
          <cell r="K497">
            <v>99492.199764156729</v>
          </cell>
          <cell r="M497">
            <v>78598.837813683815</v>
          </cell>
          <cell r="N497">
            <v>0.69917047091553897</v>
          </cell>
        </row>
        <row r="498">
          <cell r="A498">
            <v>2030</v>
          </cell>
          <cell r="B498" t="str">
            <v>Nickel</v>
          </cell>
          <cell r="C498" t="str">
            <v>Canada Net-zero</v>
          </cell>
          <cell r="D498" t="str">
            <v>Existing production</v>
          </cell>
          <cell r="E498" t="str">
            <v>Current shares</v>
          </cell>
          <cell r="F498" t="str">
            <v>Status Quo</v>
          </cell>
          <cell r="G498">
            <v>78598.837813683815</v>
          </cell>
          <cell r="H498">
            <v>150184</v>
          </cell>
          <cell r="I498">
            <v>84235.208361019701</v>
          </cell>
          <cell r="J498">
            <v>20769.009642959601</v>
          </cell>
          <cell r="K498">
            <v>0</v>
          </cell>
          <cell r="M498">
            <v>0</v>
          </cell>
          <cell r="N498">
            <v>0.69917047091553897</v>
          </cell>
        </row>
        <row r="499">
          <cell r="A499">
            <v>2030</v>
          </cell>
          <cell r="B499" t="str">
            <v>Nickel</v>
          </cell>
          <cell r="C499" t="str">
            <v>Canada Net-zero</v>
          </cell>
          <cell r="D499" t="str">
            <v>Production potential</v>
          </cell>
          <cell r="E499" t="str">
            <v>Current shares</v>
          </cell>
          <cell r="F499" t="str">
            <v>Expansion Extractive</v>
          </cell>
          <cell r="G499">
            <v>78598.837813683815</v>
          </cell>
          <cell r="H499">
            <v>193081</v>
          </cell>
          <cell r="I499">
            <v>108295.2795607657</v>
          </cell>
          <cell r="J499">
            <v>26701.254134077477</v>
          </cell>
          <cell r="K499">
            <v>0</v>
          </cell>
          <cell r="M499">
            <v>0</v>
          </cell>
          <cell r="N499">
            <v>0.69917047091553897</v>
          </cell>
        </row>
        <row r="500">
          <cell r="A500">
            <v>2030</v>
          </cell>
          <cell r="B500" t="str">
            <v>Nickel</v>
          </cell>
          <cell r="C500" t="str">
            <v>Canada Net-zero</v>
          </cell>
          <cell r="D500" t="str">
            <v>Production potential</v>
          </cell>
          <cell r="E500" t="str">
            <v>Current shares</v>
          </cell>
          <cell r="F500" t="str">
            <v>Expansion Extractive+Circularity</v>
          </cell>
          <cell r="G500">
            <v>78598.837813683815</v>
          </cell>
          <cell r="H500">
            <v>193081</v>
          </cell>
          <cell r="I500">
            <v>108295.2795607657</v>
          </cell>
          <cell r="J500">
            <v>26701.254134077477</v>
          </cell>
          <cell r="K500">
            <v>0</v>
          </cell>
          <cell r="M500">
            <v>0</v>
          </cell>
          <cell r="N500">
            <v>0.69917047091553897</v>
          </cell>
        </row>
        <row r="501">
          <cell r="A501">
            <v>2030</v>
          </cell>
          <cell r="B501" t="str">
            <v>Nickel</v>
          </cell>
          <cell r="C501" t="str">
            <v>Canada Net-zero</v>
          </cell>
          <cell r="D501" t="str">
            <v>Production potential</v>
          </cell>
          <cell r="E501" t="str">
            <v>100% CAN</v>
          </cell>
          <cell r="F501" t="str">
            <v>Integrated</v>
          </cell>
          <cell r="G501">
            <v>78598.837813683815</v>
          </cell>
          <cell r="H501">
            <v>193081</v>
          </cell>
          <cell r="I501">
            <v>152061.90634820869</v>
          </cell>
          <cell r="J501">
            <v>-17065.372653365514</v>
          </cell>
          <cell r="K501">
            <v>0</v>
          </cell>
          <cell r="M501">
            <v>17065.372653365514</v>
          </cell>
          <cell r="N501">
            <v>0.69917047091553897</v>
          </cell>
        </row>
        <row r="502">
          <cell r="A502">
            <v>2030</v>
          </cell>
          <cell r="B502" t="str">
            <v>Nickel</v>
          </cell>
          <cell r="C502" t="str">
            <v>Current Measures</v>
          </cell>
          <cell r="D502" t="str">
            <v>Existing production</v>
          </cell>
          <cell r="E502" t="str">
            <v>Current shares</v>
          </cell>
          <cell r="F502" t="str">
            <v>NIMBY</v>
          </cell>
          <cell r="G502">
            <v>41464.346616727722</v>
          </cell>
          <cell r="H502">
            <v>0</v>
          </cell>
          <cell r="I502">
            <v>0</v>
          </cell>
          <cell r="J502">
            <v>0</v>
          </cell>
          <cell r="K502">
            <v>52486.514704718633</v>
          </cell>
          <cell r="M502">
            <v>41464.346616727722</v>
          </cell>
          <cell r="N502">
            <v>0.69917047091553897</v>
          </cell>
        </row>
        <row r="503">
          <cell r="A503">
            <v>2030</v>
          </cell>
          <cell r="B503" t="str">
            <v>Nickel</v>
          </cell>
          <cell r="C503" t="str">
            <v>Current Measures</v>
          </cell>
          <cell r="D503" t="str">
            <v>Existing production</v>
          </cell>
          <cell r="E503" t="str">
            <v>Current shares</v>
          </cell>
          <cell r="F503" t="str">
            <v>Status Quo</v>
          </cell>
          <cell r="G503">
            <v>41464.346616727722</v>
          </cell>
          <cell r="H503">
            <v>150184</v>
          </cell>
          <cell r="I503">
            <v>84235.208361019701</v>
          </cell>
          <cell r="J503">
            <v>20769.009642959601</v>
          </cell>
          <cell r="K503">
            <v>0</v>
          </cell>
          <cell r="M503">
            <v>0</v>
          </cell>
          <cell r="N503">
            <v>0.69917047091553897</v>
          </cell>
        </row>
        <row r="504">
          <cell r="A504">
            <v>2030</v>
          </cell>
          <cell r="B504" t="str">
            <v>Nickel</v>
          </cell>
          <cell r="C504" t="str">
            <v>Current Measures</v>
          </cell>
          <cell r="D504" t="str">
            <v>Production potential</v>
          </cell>
          <cell r="E504" t="str">
            <v>Current shares</v>
          </cell>
          <cell r="F504" t="str">
            <v>Expansion Extractive</v>
          </cell>
          <cell r="G504">
            <v>41464.346616727722</v>
          </cell>
          <cell r="H504">
            <v>193081</v>
          </cell>
          <cell r="I504">
            <v>108295.2795607657</v>
          </cell>
          <cell r="J504">
            <v>26701.254134077477</v>
          </cell>
          <cell r="K504">
            <v>0</v>
          </cell>
          <cell r="M504">
            <v>0</v>
          </cell>
          <cell r="N504">
            <v>0.69917047091553897</v>
          </cell>
        </row>
        <row r="505">
          <cell r="A505">
            <v>2030</v>
          </cell>
          <cell r="B505" t="str">
            <v>Nickel</v>
          </cell>
          <cell r="C505" t="str">
            <v>Current Measures</v>
          </cell>
          <cell r="D505" t="str">
            <v>Production potential</v>
          </cell>
          <cell r="E505" t="str">
            <v>Current shares</v>
          </cell>
          <cell r="F505" t="str">
            <v>Expansion Extractive+Circularity</v>
          </cell>
          <cell r="G505">
            <v>41464.346616727722</v>
          </cell>
          <cell r="H505">
            <v>193081</v>
          </cell>
          <cell r="I505">
            <v>108295.2795607657</v>
          </cell>
          <cell r="J505">
            <v>26701.254134077477</v>
          </cell>
          <cell r="K505">
            <v>0</v>
          </cell>
          <cell r="M505">
            <v>0</v>
          </cell>
          <cell r="N505">
            <v>0.69917047091553897</v>
          </cell>
        </row>
        <row r="506">
          <cell r="A506">
            <v>2030</v>
          </cell>
          <cell r="B506" t="str">
            <v>Nickel</v>
          </cell>
          <cell r="C506" t="str">
            <v>Current Measures</v>
          </cell>
          <cell r="D506" t="str">
            <v>Production potential</v>
          </cell>
          <cell r="E506" t="str">
            <v>100% CAN</v>
          </cell>
          <cell r="F506" t="str">
            <v>Integrated</v>
          </cell>
          <cell r="G506">
            <v>41464.346616727722</v>
          </cell>
          <cell r="H506">
            <v>193081</v>
          </cell>
          <cell r="I506">
            <v>152061.90634820869</v>
          </cell>
          <cell r="J506">
            <v>-17065.372653365514</v>
          </cell>
          <cell r="K506">
            <v>0</v>
          </cell>
          <cell r="M506">
            <v>17065.372653365514</v>
          </cell>
          <cell r="N506">
            <v>0.69917047091553897</v>
          </cell>
        </row>
        <row r="507">
          <cell r="A507">
            <v>2030</v>
          </cell>
          <cell r="B507" t="str">
            <v>Nickel</v>
          </cell>
          <cell r="C507" t="str">
            <v>Global Net-zero</v>
          </cell>
          <cell r="D507" t="str">
            <v>Existing production</v>
          </cell>
          <cell r="E507" t="str">
            <v>Current shares</v>
          </cell>
          <cell r="F507" t="str">
            <v>NIMBY</v>
          </cell>
          <cell r="G507">
            <v>74062.238097093548</v>
          </cell>
          <cell r="H507">
            <v>0</v>
          </cell>
          <cell r="I507">
            <v>0</v>
          </cell>
          <cell r="J507">
            <v>0</v>
          </cell>
          <cell r="K507">
            <v>93749.668477333602</v>
          </cell>
          <cell r="M507">
            <v>74062.238097093548</v>
          </cell>
          <cell r="N507">
            <v>0.69917047091553897</v>
          </cell>
        </row>
        <row r="508">
          <cell r="A508">
            <v>2030</v>
          </cell>
          <cell r="B508" t="str">
            <v>Nickel</v>
          </cell>
          <cell r="C508" t="str">
            <v>Global Net-zero</v>
          </cell>
          <cell r="D508" t="str">
            <v>Existing production</v>
          </cell>
          <cell r="E508" t="str">
            <v>Current shares</v>
          </cell>
          <cell r="F508" t="str">
            <v>Status Quo</v>
          </cell>
          <cell r="G508">
            <v>74062.238097093548</v>
          </cell>
          <cell r="H508">
            <v>150184</v>
          </cell>
          <cell r="I508">
            <v>84235.208361019701</v>
          </cell>
          <cell r="J508">
            <v>20769.009642959601</v>
          </cell>
          <cell r="K508">
            <v>0</v>
          </cell>
          <cell r="M508">
            <v>0</v>
          </cell>
          <cell r="N508">
            <v>0.69917047091553897</v>
          </cell>
        </row>
        <row r="509">
          <cell r="A509">
            <v>2030</v>
          </cell>
          <cell r="B509" t="str">
            <v>Nickel</v>
          </cell>
          <cell r="C509" t="str">
            <v>Global Net-zero</v>
          </cell>
          <cell r="D509" t="str">
            <v>Production potential</v>
          </cell>
          <cell r="E509" t="str">
            <v>Current shares</v>
          </cell>
          <cell r="F509" t="str">
            <v>Expansion Extractive</v>
          </cell>
          <cell r="G509">
            <v>74062.238097093548</v>
          </cell>
          <cell r="H509">
            <v>193081</v>
          </cell>
          <cell r="I509">
            <v>108295.2795607657</v>
          </cell>
          <cell r="J509">
            <v>26701.254134077477</v>
          </cell>
          <cell r="K509">
            <v>0</v>
          </cell>
          <cell r="M509">
            <v>0</v>
          </cell>
          <cell r="N509">
            <v>0.69917047091553897</v>
          </cell>
        </row>
        <row r="510">
          <cell r="A510">
            <v>2030</v>
          </cell>
          <cell r="B510" t="str">
            <v>Nickel</v>
          </cell>
          <cell r="C510" t="str">
            <v>Global Net-zero</v>
          </cell>
          <cell r="D510" t="str">
            <v>Production potential</v>
          </cell>
          <cell r="E510" t="str">
            <v>Current shares</v>
          </cell>
          <cell r="F510" t="str">
            <v>Expansion Extractive+Circularity</v>
          </cell>
          <cell r="G510">
            <v>74062.238097093548</v>
          </cell>
          <cell r="H510">
            <v>193081</v>
          </cell>
          <cell r="I510">
            <v>108295.2795607657</v>
          </cell>
          <cell r="J510">
            <v>26701.254134077477</v>
          </cell>
          <cell r="K510">
            <v>0</v>
          </cell>
          <cell r="M510">
            <v>0</v>
          </cell>
          <cell r="N510">
            <v>0.69917047091553897</v>
          </cell>
        </row>
        <row r="511">
          <cell r="A511">
            <v>2030</v>
          </cell>
          <cell r="B511" t="str">
            <v>Nickel</v>
          </cell>
          <cell r="C511" t="str">
            <v>Global Net-zero</v>
          </cell>
          <cell r="D511" t="str">
            <v>Production potential</v>
          </cell>
          <cell r="E511" t="str">
            <v>100% CAN</v>
          </cell>
          <cell r="F511" t="str">
            <v>Integrated</v>
          </cell>
          <cell r="G511">
            <v>74062.238097093548</v>
          </cell>
          <cell r="H511">
            <v>193081</v>
          </cell>
          <cell r="I511">
            <v>152061.90634820869</v>
          </cell>
          <cell r="J511">
            <v>-17065.372653365514</v>
          </cell>
          <cell r="K511">
            <v>0</v>
          </cell>
          <cell r="M511">
            <v>17065.372653365514</v>
          </cell>
          <cell r="N511">
            <v>0.69917047091553897</v>
          </cell>
        </row>
        <row r="512">
          <cell r="A512">
            <v>2030</v>
          </cell>
          <cell r="B512" t="str">
            <v>Graphite</v>
          </cell>
          <cell r="C512" t="str">
            <v>Canada Net-zero</v>
          </cell>
          <cell r="D512" t="str">
            <v>Existing production</v>
          </cell>
          <cell r="E512" t="str">
            <v>Current shares</v>
          </cell>
          <cell r="F512" t="str">
            <v>NIMBY</v>
          </cell>
          <cell r="G512">
            <v>1855.5643647638899</v>
          </cell>
          <cell r="H512">
            <v>0</v>
          </cell>
          <cell r="I512">
            <v>0</v>
          </cell>
          <cell r="J512">
            <v>0</v>
          </cell>
          <cell r="K512">
            <v>1855.5643647638899</v>
          </cell>
          <cell r="M512">
            <v>1855.5643647638899</v>
          </cell>
          <cell r="N512">
            <v>0.59854391398996798</v>
          </cell>
        </row>
        <row r="513">
          <cell r="A513">
            <v>2030</v>
          </cell>
          <cell r="B513" t="str">
            <v>Graphite</v>
          </cell>
          <cell r="C513" t="str">
            <v>Canada Net-zero</v>
          </cell>
          <cell r="D513" t="str">
            <v>Existing production</v>
          </cell>
          <cell r="E513" t="str">
            <v>Current shares</v>
          </cell>
          <cell r="F513" t="str">
            <v>Status Quo</v>
          </cell>
          <cell r="G513">
            <v>1855.5643647638899</v>
          </cell>
          <cell r="H513">
            <v>0</v>
          </cell>
          <cell r="I513">
            <v>0</v>
          </cell>
          <cell r="J513">
            <v>0</v>
          </cell>
          <cell r="K513">
            <v>1855.5643647638899</v>
          </cell>
          <cell r="M513">
            <v>1855.5643647638899</v>
          </cell>
          <cell r="N513">
            <v>0.59854391398996798</v>
          </cell>
        </row>
        <row r="514">
          <cell r="A514">
            <v>2030</v>
          </cell>
          <cell r="B514" t="str">
            <v>Graphite</v>
          </cell>
          <cell r="C514" t="str">
            <v>Canada Net-zero</v>
          </cell>
          <cell r="D514" t="str">
            <v>Production potential</v>
          </cell>
          <cell r="E514" t="str">
            <v>Current shares</v>
          </cell>
          <cell r="F514" t="str">
            <v>Expansion Extractive</v>
          </cell>
          <cell r="G514">
            <v>1855.5643647638899</v>
          </cell>
          <cell r="H514">
            <v>99712</v>
          </cell>
          <cell r="I514">
            <v>32904.959999999999</v>
          </cell>
          <cell r="J514">
            <v>26777.050751767689</v>
          </cell>
          <cell r="K514">
            <v>0</v>
          </cell>
          <cell r="M514">
            <v>0</v>
          </cell>
          <cell r="N514">
            <v>0.59854391398996798</v>
          </cell>
        </row>
        <row r="515">
          <cell r="A515">
            <v>2030</v>
          </cell>
          <cell r="B515" t="str">
            <v>Graphite</v>
          </cell>
          <cell r="C515" t="str">
            <v>Canada Net-zero</v>
          </cell>
          <cell r="D515" t="str">
            <v>Production potential</v>
          </cell>
          <cell r="E515" t="str">
            <v>Current shares</v>
          </cell>
          <cell r="F515" t="str">
            <v>Expansion Extractive+Circularity</v>
          </cell>
          <cell r="G515">
            <v>1855.5643647638899</v>
          </cell>
          <cell r="H515">
            <v>99712</v>
          </cell>
          <cell r="I515">
            <v>32904.959999999999</v>
          </cell>
          <cell r="J515">
            <v>26777.050751767689</v>
          </cell>
          <cell r="K515">
            <v>0</v>
          </cell>
          <cell r="M515">
            <v>0</v>
          </cell>
          <cell r="N515">
            <v>0.59854391398996798</v>
          </cell>
        </row>
        <row r="516">
          <cell r="A516">
            <v>2030</v>
          </cell>
          <cell r="B516" t="str">
            <v>Graphite</v>
          </cell>
          <cell r="C516" t="str">
            <v>Canada Net-zero</v>
          </cell>
          <cell r="D516" t="str">
            <v>Production potential</v>
          </cell>
          <cell r="E516" t="str">
            <v>100% CAN</v>
          </cell>
          <cell r="F516" t="str">
            <v>Integrated</v>
          </cell>
          <cell r="G516">
            <v>1855.5643647638899</v>
          </cell>
          <cell r="H516">
            <v>99712</v>
          </cell>
          <cell r="I516">
            <v>32904.959999999999</v>
          </cell>
          <cell r="J516">
            <v>26777.050751767689</v>
          </cell>
          <cell r="K516">
            <v>0</v>
          </cell>
          <cell r="M516">
            <v>0</v>
          </cell>
          <cell r="N516">
            <v>0.59854391398996798</v>
          </cell>
        </row>
        <row r="517">
          <cell r="A517">
            <v>2030</v>
          </cell>
          <cell r="B517" t="str">
            <v>Graphite</v>
          </cell>
          <cell r="C517" t="str">
            <v>Current Measures</v>
          </cell>
          <cell r="D517" t="str">
            <v>Existing production</v>
          </cell>
          <cell r="E517" t="str">
            <v>Current shares</v>
          </cell>
          <cell r="F517" t="str">
            <v>NIMBY</v>
          </cell>
          <cell r="G517">
            <v>872.97124354802133</v>
          </cell>
          <cell r="H517">
            <v>0</v>
          </cell>
          <cell r="I517">
            <v>0</v>
          </cell>
          <cell r="J517">
            <v>0</v>
          </cell>
          <cell r="K517">
            <v>872.97124354802133</v>
          </cell>
          <cell r="M517">
            <v>872.97124354802133</v>
          </cell>
          <cell r="N517">
            <v>0.59854391398996798</v>
          </cell>
        </row>
        <row r="518">
          <cell r="A518">
            <v>2030</v>
          </cell>
          <cell r="B518" t="str">
            <v>Graphite</v>
          </cell>
          <cell r="C518" t="str">
            <v>Current Measures</v>
          </cell>
          <cell r="D518" t="str">
            <v>Existing production</v>
          </cell>
          <cell r="E518" t="str">
            <v>Current shares</v>
          </cell>
          <cell r="F518" t="str">
            <v>Status Quo</v>
          </cell>
          <cell r="G518">
            <v>872.97124354802133</v>
          </cell>
          <cell r="H518">
            <v>0</v>
          </cell>
          <cell r="I518">
            <v>0</v>
          </cell>
          <cell r="J518">
            <v>0</v>
          </cell>
          <cell r="K518">
            <v>872.97124354802133</v>
          </cell>
          <cell r="M518">
            <v>872.97124354802133</v>
          </cell>
          <cell r="N518">
            <v>0.59854391398996798</v>
          </cell>
        </row>
        <row r="519">
          <cell r="A519">
            <v>2030</v>
          </cell>
          <cell r="B519" t="str">
            <v>Graphite</v>
          </cell>
          <cell r="C519" t="str">
            <v>Current Measures</v>
          </cell>
          <cell r="D519" t="str">
            <v>Production potential</v>
          </cell>
          <cell r="E519" t="str">
            <v>Current shares</v>
          </cell>
          <cell r="F519" t="str">
            <v>Expansion Extractive</v>
          </cell>
          <cell r="G519">
            <v>872.97124354802133</v>
          </cell>
          <cell r="H519">
            <v>99712</v>
          </cell>
          <cell r="I519">
            <v>32904.959999999999</v>
          </cell>
          <cell r="J519">
            <v>26777.050751767689</v>
          </cell>
          <cell r="K519">
            <v>0</v>
          </cell>
          <cell r="M519">
            <v>0</v>
          </cell>
          <cell r="N519">
            <v>0.59854391398996798</v>
          </cell>
        </row>
        <row r="520">
          <cell r="A520">
            <v>2030</v>
          </cell>
          <cell r="B520" t="str">
            <v>Graphite</v>
          </cell>
          <cell r="C520" t="str">
            <v>Current Measures</v>
          </cell>
          <cell r="D520" t="str">
            <v>Production potential</v>
          </cell>
          <cell r="E520" t="str">
            <v>Current shares</v>
          </cell>
          <cell r="F520" t="str">
            <v>Expansion Extractive+Circularity</v>
          </cell>
          <cell r="G520">
            <v>872.97124354802133</v>
          </cell>
          <cell r="H520">
            <v>99712</v>
          </cell>
          <cell r="I520">
            <v>32904.959999999999</v>
          </cell>
          <cell r="J520">
            <v>26777.050751767689</v>
          </cell>
          <cell r="K520">
            <v>0</v>
          </cell>
          <cell r="M520">
            <v>0</v>
          </cell>
          <cell r="N520">
            <v>0.59854391398996798</v>
          </cell>
        </row>
        <row r="521">
          <cell r="A521">
            <v>2030</v>
          </cell>
          <cell r="B521" t="str">
            <v>Graphite</v>
          </cell>
          <cell r="C521" t="str">
            <v>Current Measures</v>
          </cell>
          <cell r="D521" t="str">
            <v>Production potential</v>
          </cell>
          <cell r="E521" t="str">
            <v>100% CAN</v>
          </cell>
          <cell r="F521" t="str">
            <v>Integrated</v>
          </cell>
          <cell r="G521">
            <v>872.97124354802133</v>
          </cell>
          <cell r="H521">
            <v>99712</v>
          </cell>
          <cell r="I521">
            <v>32904.959999999999</v>
          </cell>
          <cell r="J521">
            <v>26777.050751767689</v>
          </cell>
          <cell r="K521">
            <v>0</v>
          </cell>
          <cell r="M521">
            <v>0</v>
          </cell>
          <cell r="N521">
            <v>0.59854391398996798</v>
          </cell>
        </row>
        <row r="522">
          <cell r="A522">
            <v>2030</v>
          </cell>
          <cell r="B522" t="str">
            <v>Graphite</v>
          </cell>
          <cell r="C522" t="str">
            <v>Global Net-zero</v>
          </cell>
          <cell r="D522" t="str">
            <v>Existing production</v>
          </cell>
          <cell r="E522" t="str">
            <v>Current shares</v>
          </cell>
          <cell r="F522" t="str">
            <v>NIMBY</v>
          </cell>
          <cell r="G522">
            <v>1761.827543456644</v>
          </cell>
          <cell r="H522">
            <v>0</v>
          </cell>
          <cell r="I522">
            <v>0</v>
          </cell>
          <cell r="J522">
            <v>0</v>
          </cell>
          <cell r="K522">
            <v>1761.827543456644</v>
          </cell>
          <cell r="M522">
            <v>1761.827543456644</v>
          </cell>
          <cell r="N522">
            <v>0.59854391398996798</v>
          </cell>
        </row>
        <row r="523">
          <cell r="A523">
            <v>2030</v>
          </cell>
          <cell r="B523" t="str">
            <v>Graphite</v>
          </cell>
          <cell r="C523" t="str">
            <v>Global Net-zero</v>
          </cell>
          <cell r="D523" t="str">
            <v>Existing production</v>
          </cell>
          <cell r="E523" t="str">
            <v>Current shares</v>
          </cell>
          <cell r="F523" t="str">
            <v>Status Quo</v>
          </cell>
          <cell r="G523">
            <v>1761.827543456644</v>
          </cell>
          <cell r="H523">
            <v>0</v>
          </cell>
          <cell r="I523">
            <v>0</v>
          </cell>
          <cell r="J523">
            <v>0</v>
          </cell>
          <cell r="K523">
            <v>1761.827543456644</v>
          </cell>
          <cell r="M523">
            <v>1761.827543456644</v>
          </cell>
          <cell r="N523">
            <v>0.59854391398996798</v>
          </cell>
        </row>
        <row r="524">
          <cell r="A524">
            <v>2030</v>
          </cell>
          <cell r="B524" t="str">
            <v>Graphite</v>
          </cell>
          <cell r="C524" t="str">
            <v>Global Net-zero</v>
          </cell>
          <cell r="D524" t="str">
            <v>Production potential</v>
          </cell>
          <cell r="E524" t="str">
            <v>Current shares</v>
          </cell>
          <cell r="F524" t="str">
            <v>Expansion Extractive</v>
          </cell>
          <cell r="G524">
            <v>1761.827543456644</v>
          </cell>
          <cell r="H524">
            <v>99712</v>
          </cell>
          <cell r="I524">
            <v>32904.959999999999</v>
          </cell>
          <cell r="J524">
            <v>26777.050751767689</v>
          </cell>
          <cell r="K524">
            <v>0</v>
          </cell>
          <cell r="M524">
            <v>0</v>
          </cell>
          <cell r="N524">
            <v>0.59854391398996798</v>
          </cell>
        </row>
        <row r="525">
          <cell r="A525">
            <v>2030</v>
          </cell>
          <cell r="B525" t="str">
            <v>Graphite</v>
          </cell>
          <cell r="C525" t="str">
            <v>Global Net-zero</v>
          </cell>
          <cell r="D525" t="str">
            <v>Production potential</v>
          </cell>
          <cell r="E525" t="str">
            <v>Current shares</v>
          </cell>
          <cell r="F525" t="str">
            <v>Expansion Extractive+Circularity</v>
          </cell>
          <cell r="G525">
            <v>1761.827543456644</v>
          </cell>
          <cell r="H525">
            <v>99712</v>
          </cell>
          <cell r="I525">
            <v>32904.959999999999</v>
          </cell>
          <cell r="J525">
            <v>26777.050751767689</v>
          </cell>
          <cell r="K525">
            <v>0</v>
          </cell>
          <cell r="M525">
            <v>0</v>
          </cell>
          <cell r="N525">
            <v>0.59854391398996798</v>
          </cell>
        </row>
        <row r="526">
          <cell r="A526">
            <v>2030</v>
          </cell>
          <cell r="B526" t="str">
            <v>Graphite</v>
          </cell>
          <cell r="C526" t="str">
            <v>Global Net-zero</v>
          </cell>
          <cell r="D526" t="str">
            <v>Production potential</v>
          </cell>
          <cell r="E526" t="str">
            <v>100% CAN</v>
          </cell>
          <cell r="F526" t="str">
            <v>Integrated</v>
          </cell>
          <cell r="G526">
            <v>1761.827543456644</v>
          </cell>
          <cell r="H526">
            <v>99712</v>
          </cell>
          <cell r="I526">
            <v>32904.959999999999</v>
          </cell>
          <cell r="J526">
            <v>26777.050751767689</v>
          </cell>
          <cell r="K526">
            <v>0</v>
          </cell>
          <cell r="M526">
            <v>0</v>
          </cell>
          <cell r="N526">
            <v>0.59854391398996798</v>
          </cell>
        </row>
        <row r="527">
          <cell r="A527">
            <v>2030</v>
          </cell>
          <cell r="B527" t="str">
            <v>Lithium</v>
          </cell>
          <cell r="C527" t="str">
            <v>Canada Net-zero</v>
          </cell>
          <cell r="D527" t="str">
            <v>Existing production</v>
          </cell>
          <cell r="E527" t="str">
            <v>Current shares</v>
          </cell>
          <cell r="F527" t="str">
            <v>NIMBY</v>
          </cell>
          <cell r="G527">
            <v>30338.572462274031</v>
          </cell>
          <cell r="H527">
            <v>0</v>
          </cell>
          <cell r="I527">
            <v>0</v>
          </cell>
          <cell r="J527">
            <v>0</v>
          </cell>
          <cell r="K527">
            <v>43340.817803248618</v>
          </cell>
          <cell r="M527">
            <v>30338.572462274031</v>
          </cell>
          <cell r="N527">
            <v>0.787554996857322</v>
          </cell>
        </row>
        <row r="528">
          <cell r="A528">
            <v>2030</v>
          </cell>
          <cell r="B528" t="str">
            <v>Lithium</v>
          </cell>
          <cell r="C528" t="str">
            <v>Canada Net-zero</v>
          </cell>
          <cell r="D528" t="str">
            <v>Existing production</v>
          </cell>
          <cell r="E528" t="str">
            <v>Current shares</v>
          </cell>
          <cell r="F528" t="str">
            <v>Status Quo</v>
          </cell>
          <cell r="G528">
            <v>30338.572462274031</v>
          </cell>
          <cell r="H528">
            <v>38979</v>
          </cell>
          <cell r="I528">
            <v>27252.965785816788</v>
          </cell>
          <cell r="J528">
            <v>3445.1404366847673</v>
          </cell>
          <cell r="K528">
            <v>4361.8178032486176</v>
          </cell>
          <cell r="M528">
            <v>0</v>
          </cell>
          <cell r="N528">
            <v>0.787554996857322</v>
          </cell>
        </row>
        <row r="529">
          <cell r="A529">
            <v>2030</v>
          </cell>
          <cell r="B529" t="str">
            <v>Lithium</v>
          </cell>
          <cell r="C529" t="str">
            <v>Canada Net-zero</v>
          </cell>
          <cell r="D529" t="str">
            <v>Production potential</v>
          </cell>
          <cell r="E529" t="str">
            <v>Current shares</v>
          </cell>
          <cell r="F529" t="str">
            <v>Expansion Extractive</v>
          </cell>
          <cell r="G529">
            <v>30338.572462274031</v>
          </cell>
          <cell r="H529">
            <v>146529</v>
          </cell>
          <cell r="I529">
            <v>102448.749932783</v>
          </cell>
          <cell r="J529">
            <v>12950.896201723532</v>
          </cell>
          <cell r="K529">
            <v>0</v>
          </cell>
          <cell r="M529">
            <v>0</v>
          </cell>
          <cell r="N529">
            <v>0.787554996857322</v>
          </cell>
        </row>
        <row r="530">
          <cell r="A530">
            <v>2030</v>
          </cell>
          <cell r="B530" t="str">
            <v>Lithium</v>
          </cell>
          <cell r="C530" t="str">
            <v>Canada Net-zero</v>
          </cell>
          <cell r="D530" t="str">
            <v>Production potential</v>
          </cell>
          <cell r="E530" t="str">
            <v>Current shares</v>
          </cell>
          <cell r="F530" t="str">
            <v>Expansion Extractive+Circularity</v>
          </cell>
          <cell r="G530">
            <v>30338.572462274031</v>
          </cell>
          <cell r="H530">
            <v>146529</v>
          </cell>
          <cell r="I530">
            <v>102448.749932783</v>
          </cell>
          <cell r="J530">
            <v>12950.896201723532</v>
          </cell>
          <cell r="K530">
            <v>0</v>
          </cell>
          <cell r="M530">
            <v>0</v>
          </cell>
          <cell r="N530">
            <v>0.787554996857322</v>
          </cell>
        </row>
        <row r="531">
          <cell r="A531">
            <v>2030</v>
          </cell>
          <cell r="B531" t="str">
            <v>Lithium</v>
          </cell>
          <cell r="C531" t="str">
            <v>Canada Net-zero</v>
          </cell>
          <cell r="D531" t="str">
            <v>Production potential</v>
          </cell>
          <cell r="E531" t="str">
            <v>100% CAN</v>
          </cell>
          <cell r="F531" t="str">
            <v>Integrated</v>
          </cell>
          <cell r="G531">
            <v>30338.572462274031</v>
          </cell>
          <cell r="H531">
            <v>146529</v>
          </cell>
          <cell r="I531">
            <v>102448.749932783</v>
          </cell>
          <cell r="J531">
            <v>12950.896201723532</v>
          </cell>
          <cell r="K531">
            <v>0</v>
          </cell>
          <cell r="M531">
            <v>0</v>
          </cell>
          <cell r="N531">
            <v>0.787554996857322</v>
          </cell>
        </row>
        <row r="532">
          <cell r="A532">
            <v>2030</v>
          </cell>
          <cell r="B532" t="str">
            <v>Lithium</v>
          </cell>
          <cell r="C532" t="str">
            <v>Current Measures</v>
          </cell>
          <cell r="D532" t="str">
            <v>Existing production</v>
          </cell>
          <cell r="E532" t="str">
            <v>Current shares</v>
          </cell>
          <cell r="F532" t="str">
            <v>NIMBY</v>
          </cell>
          <cell r="G532">
            <v>14273.12457212076</v>
          </cell>
          <cell r="H532">
            <v>0</v>
          </cell>
          <cell r="I532">
            <v>0</v>
          </cell>
          <cell r="J532">
            <v>0</v>
          </cell>
          <cell r="K532">
            <v>20390.17796017251</v>
          </cell>
          <cell r="M532">
            <v>14273.12457212076</v>
          </cell>
          <cell r="N532">
            <v>0.787554996857322</v>
          </cell>
        </row>
        <row r="533">
          <cell r="A533">
            <v>2030</v>
          </cell>
          <cell r="B533" t="str">
            <v>Lithium</v>
          </cell>
          <cell r="C533" t="str">
            <v>Current Measures</v>
          </cell>
          <cell r="D533" t="str">
            <v>Existing production</v>
          </cell>
          <cell r="E533" t="str">
            <v>Current shares</v>
          </cell>
          <cell r="F533" t="str">
            <v>Status Quo</v>
          </cell>
          <cell r="G533">
            <v>14273.12457212076</v>
          </cell>
          <cell r="H533">
            <v>38979</v>
          </cell>
          <cell r="I533">
            <v>27252.965785816788</v>
          </cell>
          <cell r="J533">
            <v>3445.1404366847673</v>
          </cell>
          <cell r="K533">
            <v>0</v>
          </cell>
          <cell r="M533">
            <v>0</v>
          </cell>
          <cell r="N533">
            <v>0.787554996857322</v>
          </cell>
        </row>
        <row r="534">
          <cell r="A534">
            <v>2030</v>
          </cell>
          <cell r="B534" t="str">
            <v>Lithium</v>
          </cell>
          <cell r="C534" t="str">
            <v>Current Measures</v>
          </cell>
          <cell r="D534" t="str">
            <v>Production potential</v>
          </cell>
          <cell r="E534" t="str">
            <v>Current shares</v>
          </cell>
          <cell r="F534" t="str">
            <v>Expansion Extractive</v>
          </cell>
          <cell r="G534">
            <v>14273.12457212076</v>
          </cell>
          <cell r="H534">
            <v>146529</v>
          </cell>
          <cell r="I534">
            <v>102448.749932783</v>
          </cell>
          <cell r="J534">
            <v>12950.896201723532</v>
          </cell>
          <cell r="K534">
            <v>0</v>
          </cell>
          <cell r="M534">
            <v>0</v>
          </cell>
          <cell r="N534">
            <v>0.787554996857322</v>
          </cell>
        </row>
        <row r="535">
          <cell r="A535">
            <v>2030</v>
          </cell>
          <cell r="B535" t="str">
            <v>Lithium</v>
          </cell>
          <cell r="C535" t="str">
            <v>Current Measures</v>
          </cell>
          <cell r="D535" t="str">
            <v>Production potential</v>
          </cell>
          <cell r="E535" t="str">
            <v>Current shares</v>
          </cell>
          <cell r="F535" t="str">
            <v>Expansion Extractive+Circularity</v>
          </cell>
          <cell r="G535">
            <v>14273.12457212076</v>
          </cell>
          <cell r="H535">
            <v>146529</v>
          </cell>
          <cell r="I535">
            <v>102448.749932783</v>
          </cell>
          <cell r="J535">
            <v>12950.896201723532</v>
          </cell>
          <cell r="K535">
            <v>0</v>
          </cell>
          <cell r="M535">
            <v>0</v>
          </cell>
          <cell r="N535">
            <v>0.787554996857322</v>
          </cell>
        </row>
        <row r="536">
          <cell r="A536">
            <v>2030</v>
          </cell>
          <cell r="B536" t="str">
            <v>Lithium</v>
          </cell>
          <cell r="C536" t="str">
            <v>Current Measures</v>
          </cell>
          <cell r="D536" t="str">
            <v>Production potential</v>
          </cell>
          <cell r="E536" t="str">
            <v>100% CAN</v>
          </cell>
          <cell r="F536" t="str">
            <v>Integrated</v>
          </cell>
          <cell r="G536">
            <v>14273.12457212076</v>
          </cell>
          <cell r="H536">
            <v>146529</v>
          </cell>
          <cell r="I536">
            <v>102448.749932783</v>
          </cell>
          <cell r="J536">
            <v>12950.896201723532</v>
          </cell>
          <cell r="K536">
            <v>0</v>
          </cell>
          <cell r="M536">
            <v>0</v>
          </cell>
          <cell r="N536">
            <v>0.787554996857322</v>
          </cell>
        </row>
        <row r="537">
          <cell r="A537">
            <v>2030</v>
          </cell>
          <cell r="B537" t="str">
            <v>Lithium</v>
          </cell>
          <cell r="C537" t="str">
            <v>Global Net-zero</v>
          </cell>
          <cell r="D537" t="str">
            <v>Existing production</v>
          </cell>
          <cell r="E537" t="str">
            <v>Current shares</v>
          </cell>
          <cell r="F537" t="str">
            <v>NIMBY</v>
          </cell>
          <cell r="G537">
            <v>28805.97062985264</v>
          </cell>
          <cell r="H537">
            <v>0</v>
          </cell>
          <cell r="I537">
            <v>0</v>
          </cell>
          <cell r="J537">
            <v>0</v>
          </cell>
          <cell r="K537">
            <v>41151.3866140752</v>
          </cell>
          <cell r="M537">
            <v>28805.97062985264</v>
          </cell>
          <cell r="N537">
            <v>0.787554996857322</v>
          </cell>
        </row>
        <row r="538">
          <cell r="A538">
            <v>2030</v>
          </cell>
          <cell r="B538" t="str">
            <v>Lithium</v>
          </cell>
          <cell r="C538" t="str">
            <v>Global Net-zero</v>
          </cell>
          <cell r="D538" t="str">
            <v>Existing production</v>
          </cell>
          <cell r="E538" t="str">
            <v>Current shares</v>
          </cell>
          <cell r="F538" t="str">
            <v>Status Quo</v>
          </cell>
          <cell r="G538">
            <v>28805.97062985264</v>
          </cell>
          <cell r="H538">
            <v>38979</v>
          </cell>
          <cell r="I538">
            <v>27252.965785816788</v>
          </cell>
          <cell r="J538">
            <v>3445.1404366847673</v>
          </cell>
          <cell r="K538">
            <v>2172.3866140752002</v>
          </cell>
          <cell r="M538">
            <v>0</v>
          </cell>
          <cell r="N538">
            <v>0.787554996857322</v>
          </cell>
        </row>
        <row r="539">
          <cell r="A539">
            <v>2030</v>
          </cell>
          <cell r="B539" t="str">
            <v>Lithium</v>
          </cell>
          <cell r="C539" t="str">
            <v>Global Net-zero</v>
          </cell>
          <cell r="D539" t="str">
            <v>Production potential</v>
          </cell>
          <cell r="E539" t="str">
            <v>Current shares</v>
          </cell>
          <cell r="F539" t="str">
            <v>Expansion Extractive</v>
          </cell>
          <cell r="G539">
            <v>28805.97062985264</v>
          </cell>
          <cell r="H539">
            <v>146529</v>
          </cell>
          <cell r="I539">
            <v>102448.749932783</v>
          </cell>
          <cell r="J539">
            <v>12950.896201723532</v>
          </cell>
          <cell r="K539">
            <v>0</v>
          </cell>
          <cell r="M539">
            <v>0</v>
          </cell>
          <cell r="N539">
            <v>0.787554996857322</v>
          </cell>
        </row>
        <row r="540">
          <cell r="A540">
            <v>2030</v>
          </cell>
          <cell r="B540" t="str">
            <v>Lithium</v>
          </cell>
          <cell r="C540" t="str">
            <v>Global Net-zero</v>
          </cell>
          <cell r="D540" t="str">
            <v>Production potential</v>
          </cell>
          <cell r="E540" t="str">
            <v>Current shares</v>
          </cell>
          <cell r="F540" t="str">
            <v>Expansion Extractive+Circularity</v>
          </cell>
          <cell r="G540">
            <v>28805.97062985264</v>
          </cell>
          <cell r="H540">
            <v>146529</v>
          </cell>
          <cell r="I540">
            <v>102448.749932783</v>
          </cell>
          <cell r="J540">
            <v>12950.896201723532</v>
          </cell>
          <cell r="K540">
            <v>0</v>
          </cell>
          <cell r="M540">
            <v>0</v>
          </cell>
          <cell r="N540">
            <v>0.787554996857322</v>
          </cell>
        </row>
        <row r="541">
          <cell r="A541">
            <v>2030</v>
          </cell>
          <cell r="B541" t="str">
            <v>Lithium</v>
          </cell>
          <cell r="C541" t="str">
            <v>Global Net-zero</v>
          </cell>
          <cell r="D541" t="str">
            <v>Production potential</v>
          </cell>
          <cell r="E541" t="str">
            <v>100% CAN</v>
          </cell>
          <cell r="F541" t="str">
            <v>Integrated</v>
          </cell>
          <cell r="G541">
            <v>28805.97062985264</v>
          </cell>
          <cell r="H541">
            <v>146529</v>
          </cell>
          <cell r="I541">
            <v>102448.749932783</v>
          </cell>
          <cell r="J541">
            <v>12950.896201723532</v>
          </cell>
          <cell r="K541">
            <v>0</v>
          </cell>
          <cell r="M541">
            <v>0</v>
          </cell>
          <cell r="N541">
            <v>0.787554996857322</v>
          </cell>
        </row>
        <row r="542">
          <cell r="A542">
            <v>2031</v>
          </cell>
          <cell r="B542" t="str">
            <v>Cobalt</v>
          </cell>
          <cell r="C542" t="str">
            <v>Canada Net-zero</v>
          </cell>
          <cell r="D542" t="str">
            <v>Existing production</v>
          </cell>
          <cell r="E542" t="str">
            <v>Current shares</v>
          </cell>
          <cell r="F542" t="str">
            <v>NIMBY</v>
          </cell>
          <cell r="G542">
            <v>74634.661248827935</v>
          </cell>
          <cell r="H542">
            <v>0</v>
          </cell>
          <cell r="I542">
            <v>0</v>
          </cell>
          <cell r="J542">
            <v>0</v>
          </cell>
          <cell r="K542">
            <v>169624.2301109726</v>
          </cell>
          <cell r="M542">
            <v>74634.661248827935</v>
          </cell>
          <cell r="N542">
            <v>0.439346565686978</v>
          </cell>
        </row>
        <row r="543">
          <cell r="A543">
            <v>2031</v>
          </cell>
          <cell r="B543" t="str">
            <v>Cobalt</v>
          </cell>
          <cell r="C543" t="str">
            <v>Canada Net-zero</v>
          </cell>
          <cell r="D543" t="str">
            <v>Existing production</v>
          </cell>
          <cell r="E543" t="str">
            <v>Current shares</v>
          </cell>
          <cell r="F543" t="str">
            <v>Status Quo</v>
          </cell>
          <cell r="G543">
            <v>74634.661248827935</v>
          </cell>
          <cell r="H543">
            <v>3707</v>
          </cell>
          <cell r="I543">
            <v>1572.4420377809411</v>
          </cell>
          <cell r="J543">
            <v>56.215681220686292</v>
          </cell>
          <cell r="K543">
            <v>165917.2301109726</v>
          </cell>
          <cell r="M543">
            <v>73006.00352982631</v>
          </cell>
          <cell r="N543">
            <v>0.439346565686978</v>
          </cell>
        </row>
        <row r="544">
          <cell r="A544">
            <v>2031</v>
          </cell>
          <cell r="B544" t="str">
            <v>Cobalt</v>
          </cell>
          <cell r="C544" t="str">
            <v>Canada Net-zero</v>
          </cell>
          <cell r="D544" t="str">
            <v>Production potential</v>
          </cell>
          <cell r="E544" t="str">
            <v>Current shares</v>
          </cell>
          <cell r="F544" t="str">
            <v>Expansion Extractive</v>
          </cell>
          <cell r="G544">
            <v>74634.661248827935</v>
          </cell>
          <cell r="H544">
            <v>8876.0777297221903</v>
          </cell>
          <cell r="I544">
            <v>3765.070880179765</v>
          </cell>
          <cell r="J544">
            <v>134.60338714434783</v>
          </cell>
          <cell r="K544">
            <v>160748.1523812504</v>
          </cell>
          <cell r="M544">
            <v>70734.986981503826</v>
          </cell>
          <cell r="N544">
            <v>0.439346565686978</v>
          </cell>
        </row>
        <row r="545">
          <cell r="A545">
            <v>2031</v>
          </cell>
          <cell r="B545" t="str">
            <v>Cobalt</v>
          </cell>
          <cell r="C545" t="str">
            <v>Canada Net-zero</v>
          </cell>
          <cell r="D545" t="str">
            <v>Production potential</v>
          </cell>
          <cell r="E545" t="str">
            <v>Current shares</v>
          </cell>
          <cell r="F545" t="str">
            <v>Expansion Extractive+Circularity</v>
          </cell>
          <cell r="G545">
            <v>74634.661248827935</v>
          </cell>
          <cell r="H545">
            <v>8876.0777297221903</v>
          </cell>
          <cell r="I545">
            <v>3765.070880179765</v>
          </cell>
          <cell r="J545">
            <v>134.60338714434783</v>
          </cell>
          <cell r="K545">
            <v>160748.1523812504</v>
          </cell>
          <cell r="M545">
            <v>70734.986981503826</v>
          </cell>
          <cell r="N545">
            <v>0.439346565686978</v>
          </cell>
        </row>
        <row r="546">
          <cell r="A546">
            <v>2031</v>
          </cell>
          <cell r="B546" t="str">
            <v>Cobalt</v>
          </cell>
          <cell r="C546" t="str">
            <v>Canada Net-zero</v>
          </cell>
          <cell r="D546" t="str">
            <v>Production potential</v>
          </cell>
          <cell r="E546" t="str">
            <v>100% CAN</v>
          </cell>
          <cell r="F546" t="str">
            <v>Integrated</v>
          </cell>
          <cell r="G546">
            <v>74634.661248827935</v>
          </cell>
          <cell r="H546">
            <v>8876.0777297221903</v>
          </cell>
          <cell r="I546">
            <v>3899.674267324116</v>
          </cell>
          <cell r="J546">
            <v>0</v>
          </cell>
          <cell r="K546">
            <v>160748.1523812504</v>
          </cell>
          <cell r="M546">
            <v>70734.986981503826</v>
          </cell>
          <cell r="N546">
            <v>0.439346565686978</v>
          </cell>
        </row>
        <row r="547">
          <cell r="A547">
            <v>2031</v>
          </cell>
          <cell r="B547" t="str">
            <v>Cobalt</v>
          </cell>
          <cell r="C547" t="str">
            <v>Current Measures</v>
          </cell>
          <cell r="D547" t="str">
            <v>Existing production</v>
          </cell>
          <cell r="E547" t="str">
            <v>Current shares</v>
          </cell>
          <cell r="F547" t="str">
            <v>NIMBY</v>
          </cell>
          <cell r="G547">
            <v>33266.833134093657</v>
          </cell>
          <cell r="H547">
            <v>0</v>
          </cell>
          <cell r="I547">
            <v>0</v>
          </cell>
          <cell r="J547">
            <v>0</v>
          </cell>
          <cell r="K547">
            <v>75606.438941121945</v>
          </cell>
          <cell r="M547">
            <v>33266.833134093657</v>
          </cell>
          <cell r="N547">
            <v>0.439346565686978</v>
          </cell>
        </row>
        <row r="548">
          <cell r="A548">
            <v>2031</v>
          </cell>
          <cell r="B548" t="str">
            <v>Cobalt</v>
          </cell>
          <cell r="C548" t="str">
            <v>Current Measures</v>
          </cell>
          <cell r="D548" t="str">
            <v>Existing production</v>
          </cell>
          <cell r="E548" t="str">
            <v>Current shares</v>
          </cell>
          <cell r="F548" t="str">
            <v>Status Quo</v>
          </cell>
          <cell r="G548">
            <v>33266.833134093657</v>
          </cell>
          <cell r="H548">
            <v>3707</v>
          </cell>
          <cell r="I548">
            <v>1572.4420377809411</v>
          </cell>
          <cell r="J548">
            <v>56.215681220686292</v>
          </cell>
          <cell r="K548">
            <v>71899.438941121945</v>
          </cell>
          <cell r="M548">
            <v>31638.175415092035</v>
          </cell>
          <cell r="N548">
            <v>0.439346565686978</v>
          </cell>
        </row>
        <row r="549">
          <cell r="A549">
            <v>2031</v>
          </cell>
          <cell r="B549" t="str">
            <v>Cobalt</v>
          </cell>
          <cell r="C549" t="str">
            <v>Current Measures</v>
          </cell>
          <cell r="D549" t="str">
            <v>Production potential</v>
          </cell>
          <cell r="E549" t="str">
            <v>Current shares</v>
          </cell>
          <cell r="F549" t="str">
            <v>Expansion Extractive</v>
          </cell>
          <cell r="G549">
            <v>33266.833134093657</v>
          </cell>
          <cell r="H549">
            <v>8876.0777297221903</v>
          </cell>
          <cell r="I549">
            <v>3765.070880179765</v>
          </cell>
          <cell r="J549">
            <v>134.60338714434783</v>
          </cell>
          <cell r="K549">
            <v>66730.361211399751</v>
          </cell>
          <cell r="M549">
            <v>29367.158866769543</v>
          </cell>
          <cell r="N549">
            <v>0.439346565686978</v>
          </cell>
        </row>
        <row r="550">
          <cell r="A550">
            <v>2031</v>
          </cell>
          <cell r="B550" t="str">
            <v>Cobalt</v>
          </cell>
          <cell r="C550" t="str">
            <v>Current Measures</v>
          </cell>
          <cell r="D550" t="str">
            <v>Production potential</v>
          </cell>
          <cell r="E550" t="str">
            <v>Current shares</v>
          </cell>
          <cell r="F550" t="str">
            <v>Expansion Extractive+Circularity</v>
          </cell>
          <cell r="G550">
            <v>33266.833134093657</v>
          </cell>
          <cell r="H550">
            <v>8876.0777297221903</v>
          </cell>
          <cell r="I550">
            <v>3765.070880179765</v>
          </cell>
          <cell r="J550">
            <v>134.60338714434783</v>
          </cell>
          <cell r="K550">
            <v>66730.361211399751</v>
          </cell>
          <cell r="M550">
            <v>29367.158866769543</v>
          </cell>
          <cell r="N550">
            <v>0.439346565686978</v>
          </cell>
        </row>
        <row r="551">
          <cell r="A551">
            <v>2031</v>
          </cell>
          <cell r="B551" t="str">
            <v>Cobalt</v>
          </cell>
          <cell r="C551" t="str">
            <v>Current Measures</v>
          </cell>
          <cell r="D551" t="str">
            <v>Production potential</v>
          </cell>
          <cell r="E551" t="str">
            <v>100% CAN</v>
          </cell>
          <cell r="F551" t="str">
            <v>Integrated</v>
          </cell>
          <cell r="G551">
            <v>33266.833134093657</v>
          </cell>
          <cell r="H551">
            <v>8876.0777297221903</v>
          </cell>
          <cell r="I551">
            <v>3899.674267324116</v>
          </cell>
          <cell r="J551">
            <v>0</v>
          </cell>
          <cell r="K551">
            <v>66730.361211399751</v>
          </cell>
          <cell r="M551">
            <v>29367.15886676954</v>
          </cell>
          <cell r="N551">
            <v>0.439346565686978</v>
          </cell>
        </row>
        <row r="552">
          <cell r="A552">
            <v>2031</v>
          </cell>
          <cell r="B552" t="str">
            <v>Cobalt</v>
          </cell>
          <cell r="C552" t="str">
            <v>Global Net-zero</v>
          </cell>
          <cell r="D552" t="str">
            <v>Existing production</v>
          </cell>
          <cell r="E552" t="str">
            <v>Current shares</v>
          </cell>
          <cell r="F552" t="str">
            <v>NIMBY</v>
          </cell>
          <cell r="G552">
            <v>70618.965487702415</v>
          </cell>
          <cell r="H552">
            <v>0</v>
          </cell>
          <cell r="I552">
            <v>0</v>
          </cell>
          <cell r="J552">
            <v>0</v>
          </cell>
          <cell r="K552">
            <v>160497.64883568729</v>
          </cell>
          <cell r="M552">
            <v>70618.965487702415</v>
          </cell>
          <cell r="N552">
            <v>0.439346565686978</v>
          </cell>
        </row>
        <row r="553">
          <cell r="A553">
            <v>2031</v>
          </cell>
          <cell r="B553" t="str">
            <v>Cobalt</v>
          </cell>
          <cell r="C553" t="str">
            <v>Global Net-zero</v>
          </cell>
          <cell r="D553" t="str">
            <v>Existing production</v>
          </cell>
          <cell r="E553" t="str">
            <v>Current shares</v>
          </cell>
          <cell r="F553" t="str">
            <v>Status Quo</v>
          </cell>
          <cell r="G553">
            <v>70618.965487702415</v>
          </cell>
          <cell r="H553">
            <v>3707</v>
          </cell>
          <cell r="I553">
            <v>1572.4420377809411</v>
          </cell>
          <cell r="J553">
            <v>56.215681220686292</v>
          </cell>
          <cell r="K553">
            <v>156790.64883568729</v>
          </cell>
          <cell r="M553">
            <v>68990.30776870079</v>
          </cell>
          <cell r="N553">
            <v>0.439346565686978</v>
          </cell>
        </row>
        <row r="554">
          <cell r="A554">
            <v>2031</v>
          </cell>
          <cell r="B554" t="str">
            <v>Cobalt</v>
          </cell>
          <cell r="C554" t="str">
            <v>Global Net-zero</v>
          </cell>
          <cell r="D554" t="str">
            <v>Production potential</v>
          </cell>
          <cell r="E554" t="str">
            <v>Current shares</v>
          </cell>
          <cell r="F554" t="str">
            <v>Expansion Extractive</v>
          </cell>
          <cell r="G554">
            <v>70618.965487702415</v>
          </cell>
          <cell r="H554">
            <v>8876.0777297221903</v>
          </cell>
          <cell r="I554">
            <v>3765.070880179765</v>
          </cell>
          <cell r="J554">
            <v>134.60338714434783</v>
          </cell>
          <cell r="K554">
            <v>151621.57110596509</v>
          </cell>
          <cell r="M554">
            <v>66719.291220378305</v>
          </cell>
          <cell r="N554">
            <v>0.439346565686978</v>
          </cell>
        </row>
        <row r="555">
          <cell r="A555">
            <v>2031</v>
          </cell>
          <cell r="B555" t="str">
            <v>Cobalt</v>
          </cell>
          <cell r="C555" t="str">
            <v>Global Net-zero</v>
          </cell>
          <cell r="D555" t="str">
            <v>Production potential</v>
          </cell>
          <cell r="E555" t="str">
            <v>Current shares</v>
          </cell>
          <cell r="F555" t="str">
            <v>Expansion Extractive+Circularity</v>
          </cell>
          <cell r="G555">
            <v>70618.965487702415</v>
          </cell>
          <cell r="H555">
            <v>8876.0777297221903</v>
          </cell>
          <cell r="I555">
            <v>3765.070880179765</v>
          </cell>
          <cell r="J555">
            <v>134.60338714434783</v>
          </cell>
          <cell r="K555">
            <v>151621.57110596509</v>
          </cell>
          <cell r="M555">
            <v>66719.291220378305</v>
          </cell>
          <cell r="N555">
            <v>0.439346565686978</v>
          </cell>
        </row>
        <row r="556">
          <cell r="A556">
            <v>2031</v>
          </cell>
          <cell r="B556" t="str">
            <v>Cobalt</v>
          </cell>
          <cell r="C556" t="str">
            <v>Global Net-zero</v>
          </cell>
          <cell r="D556" t="str">
            <v>Production potential</v>
          </cell>
          <cell r="E556" t="str">
            <v>100% CAN</v>
          </cell>
          <cell r="F556" t="str">
            <v>Integrated</v>
          </cell>
          <cell r="G556">
            <v>70618.965487702415</v>
          </cell>
          <cell r="H556">
            <v>8876.0777297221903</v>
          </cell>
          <cell r="I556">
            <v>3899.674267324116</v>
          </cell>
          <cell r="J556">
            <v>0</v>
          </cell>
          <cell r="K556">
            <v>151621.57110596509</v>
          </cell>
          <cell r="M556">
            <v>66719.291220378305</v>
          </cell>
          <cell r="N556">
            <v>0.439346565686978</v>
          </cell>
        </row>
        <row r="557">
          <cell r="A557">
            <v>2031</v>
          </cell>
          <cell r="B557" t="str">
            <v>Copper</v>
          </cell>
          <cell r="C557" t="str">
            <v>Canada Net-zero</v>
          </cell>
          <cell r="D557" t="str">
            <v>Existing production</v>
          </cell>
          <cell r="E557" t="str">
            <v>Current shares</v>
          </cell>
          <cell r="F557" t="str">
            <v>NIMBY</v>
          </cell>
          <cell r="G557">
            <v>1075624.1200135939</v>
          </cell>
          <cell r="H557">
            <v>0</v>
          </cell>
          <cell r="I557">
            <v>0</v>
          </cell>
          <cell r="J557">
            <v>0</v>
          </cell>
          <cell r="K557">
            <v>1295932.674715173</v>
          </cell>
          <cell r="M557">
            <v>1075624.1200135939</v>
          </cell>
          <cell r="N557">
            <v>0.83474576271186396</v>
          </cell>
        </row>
        <row r="558">
          <cell r="A558">
            <v>2031</v>
          </cell>
          <cell r="B558" t="str">
            <v>Copper</v>
          </cell>
          <cell r="C558" t="str">
            <v>Canada Net-zero</v>
          </cell>
          <cell r="D558" t="str">
            <v>Existing production</v>
          </cell>
          <cell r="E558" t="str">
            <v>Current shares</v>
          </cell>
          <cell r="F558" t="str">
            <v>Status Quo</v>
          </cell>
          <cell r="G558">
            <v>1075624.1200135939</v>
          </cell>
          <cell r="H558">
            <v>311145</v>
          </cell>
          <cell r="I558">
            <v>163540.51506665381</v>
          </cell>
          <cell r="J558">
            <v>96186.455272329098</v>
          </cell>
          <cell r="K558">
            <v>984787.67471517343</v>
          </cell>
          <cell r="M558">
            <v>815897.14967461093</v>
          </cell>
          <cell r="N558">
            <v>0.83474576271186396</v>
          </cell>
        </row>
        <row r="559">
          <cell r="A559">
            <v>2031</v>
          </cell>
          <cell r="B559" t="str">
            <v>Copper</v>
          </cell>
          <cell r="C559" t="str">
            <v>Canada Net-zero</v>
          </cell>
          <cell r="D559" t="str">
            <v>Production potential</v>
          </cell>
          <cell r="E559" t="str">
            <v>Current shares</v>
          </cell>
          <cell r="F559" t="str">
            <v>Expansion Extractive</v>
          </cell>
          <cell r="G559">
            <v>1075624.1200135939</v>
          </cell>
          <cell r="H559">
            <v>721363.36247679312</v>
          </cell>
          <cell r="I559">
            <v>379154.85014918452</v>
          </cell>
          <cell r="J559">
            <v>223000.16005390097</v>
          </cell>
          <cell r="K559">
            <v>574569.31223838031</v>
          </cell>
          <cell r="M559">
            <v>473469.1098105085</v>
          </cell>
          <cell r="N559">
            <v>0.83474576271186396</v>
          </cell>
        </row>
        <row r="560">
          <cell r="A560">
            <v>2031</v>
          </cell>
          <cell r="B560" t="str">
            <v>Copper</v>
          </cell>
          <cell r="C560" t="str">
            <v>Canada Net-zero</v>
          </cell>
          <cell r="D560" t="str">
            <v>Production potential</v>
          </cell>
          <cell r="E560" t="str">
            <v>Current shares</v>
          </cell>
          <cell r="F560" t="str">
            <v>Expansion Extractive+Circularity</v>
          </cell>
          <cell r="G560">
            <v>1075624.1200135939</v>
          </cell>
          <cell r="H560">
            <v>721363.36247679312</v>
          </cell>
          <cell r="I560">
            <v>379154.85014918452</v>
          </cell>
          <cell r="J560">
            <v>223000.16005390097</v>
          </cell>
          <cell r="K560">
            <v>574569.31223838031</v>
          </cell>
          <cell r="M560">
            <v>473469.1098105085</v>
          </cell>
          <cell r="N560">
            <v>0.83474576271186396</v>
          </cell>
        </row>
        <row r="561">
          <cell r="A561">
            <v>2031</v>
          </cell>
          <cell r="B561" t="str">
            <v>Copper</v>
          </cell>
          <cell r="C561" t="str">
            <v>Canada Net-zero</v>
          </cell>
          <cell r="D561" t="str">
            <v>Production potential</v>
          </cell>
          <cell r="E561" t="str">
            <v>100% CAN</v>
          </cell>
          <cell r="F561" t="str">
            <v>Integrated</v>
          </cell>
          <cell r="G561">
            <v>1075624.1200135939</v>
          </cell>
          <cell r="H561">
            <v>721363.36247679312</v>
          </cell>
          <cell r="I561">
            <v>602155.01020308572</v>
          </cell>
          <cell r="J561">
            <v>0</v>
          </cell>
          <cell r="K561">
            <v>574569.31223838031</v>
          </cell>
          <cell r="M561">
            <v>473469.10981050821</v>
          </cell>
          <cell r="N561">
            <v>0.83474576271186396</v>
          </cell>
        </row>
        <row r="562">
          <cell r="A562">
            <v>2031</v>
          </cell>
          <cell r="B562" t="str">
            <v>Copper</v>
          </cell>
          <cell r="C562" t="str">
            <v>Current Measures</v>
          </cell>
          <cell r="D562" t="str">
            <v>Existing production</v>
          </cell>
          <cell r="E562" t="str">
            <v>Current shares</v>
          </cell>
          <cell r="F562" t="str">
            <v>NIMBY</v>
          </cell>
          <cell r="G562">
            <v>961084.55032117816</v>
          </cell>
          <cell r="H562">
            <v>0</v>
          </cell>
          <cell r="I562">
            <v>0</v>
          </cell>
          <cell r="J562">
            <v>0</v>
          </cell>
          <cell r="K562">
            <v>1157933.1931580461</v>
          </cell>
          <cell r="M562">
            <v>961084.55032117816</v>
          </cell>
          <cell r="N562">
            <v>0.83474576271186396</v>
          </cell>
        </row>
        <row r="563">
          <cell r="A563">
            <v>2031</v>
          </cell>
          <cell r="B563" t="str">
            <v>Copper</v>
          </cell>
          <cell r="C563" t="str">
            <v>Current Measures</v>
          </cell>
          <cell r="D563" t="str">
            <v>Existing production</v>
          </cell>
          <cell r="E563" t="str">
            <v>Current shares</v>
          </cell>
          <cell r="F563" t="str">
            <v>Status Quo</v>
          </cell>
          <cell r="G563">
            <v>961084.55032117816</v>
          </cell>
          <cell r="H563">
            <v>311145</v>
          </cell>
          <cell r="I563">
            <v>163540.51506665381</v>
          </cell>
          <cell r="J563">
            <v>96186.455272329098</v>
          </cell>
          <cell r="K563">
            <v>846788.19315804611</v>
          </cell>
          <cell r="M563">
            <v>701357.57998219528</v>
          </cell>
          <cell r="N563">
            <v>0.83474576271186396</v>
          </cell>
        </row>
        <row r="564">
          <cell r="A564">
            <v>2031</v>
          </cell>
          <cell r="B564" t="str">
            <v>Copper</v>
          </cell>
          <cell r="C564" t="str">
            <v>Current Measures</v>
          </cell>
          <cell r="D564" t="str">
            <v>Production potential</v>
          </cell>
          <cell r="E564" t="str">
            <v>Current shares</v>
          </cell>
          <cell r="F564" t="str">
            <v>Expansion Extractive</v>
          </cell>
          <cell r="G564">
            <v>961084.55032117816</v>
          </cell>
          <cell r="H564">
            <v>721363.36247679312</v>
          </cell>
          <cell r="I564">
            <v>379154.85014918452</v>
          </cell>
          <cell r="J564">
            <v>223000.16005390097</v>
          </cell>
          <cell r="K564">
            <v>436569.83068125299</v>
          </cell>
          <cell r="M564">
            <v>358929.54011809261</v>
          </cell>
          <cell r="N564">
            <v>0.83474576271186396</v>
          </cell>
        </row>
        <row r="565">
          <cell r="A565">
            <v>2031</v>
          </cell>
          <cell r="B565" t="str">
            <v>Copper</v>
          </cell>
          <cell r="C565" t="str">
            <v>Current Measures</v>
          </cell>
          <cell r="D565" t="str">
            <v>Production potential</v>
          </cell>
          <cell r="E565" t="str">
            <v>Current shares</v>
          </cell>
          <cell r="F565" t="str">
            <v>Expansion Extractive+Circularity</v>
          </cell>
          <cell r="G565">
            <v>961084.55032117816</v>
          </cell>
          <cell r="H565">
            <v>721363.36247679312</v>
          </cell>
          <cell r="I565">
            <v>379154.85014918452</v>
          </cell>
          <cell r="J565">
            <v>223000.16005390097</v>
          </cell>
          <cell r="K565">
            <v>436569.83068125299</v>
          </cell>
          <cell r="M565">
            <v>358929.54011809261</v>
          </cell>
          <cell r="N565">
            <v>0.83474576271186396</v>
          </cell>
        </row>
        <row r="566">
          <cell r="A566">
            <v>2031</v>
          </cell>
          <cell r="B566" t="str">
            <v>Copper</v>
          </cell>
          <cell r="C566" t="str">
            <v>Current Measures</v>
          </cell>
          <cell r="D566" t="str">
            <v>Production potential</v>
          </cell>
          <cell r="E566" t="str">
            <v>100% CAN</v>
          </cell>
          <cell r="F566" t="str">
            <v>Integrated</v>
          </cell>
          <cell r="G566">
            <v>961084.55032117816</v>
          </cell>
          <cell r="H566">
            <v>721363.36247679312</v>
          </cell>
          <cell r="I566">
            <v>602155.01020308572</v>
          </cell>
          <cell r="J566">
            <v>0</v>
          </cell>
          <cell r="K566">
            <v>436569.83068125299</v>
          </cell>
          <cell r="M566">
            <v>358929.54011809238</v>
          </cell>
          <cell r="N566">
            <v>0.83474576271186396</v>
          </cell>
        </row>
        <row r="567">
          <cell r="A567">
            <v>2031</v>
          </cell>
          <cell r="B567" t="str">
            <v>Copper</v>
          </cell>
          <cell r="C567" t="str">
            <v>Global Net-zero</v>
          </cell>
          <cell r="D567" t="str">
            <v>Existing production</v>
          </cell>
          <cell r="E567" t="str">
            <v>Current shares</v>
          </cell>
          <cell r="F567" t="str">
            <v>NIMBY</v>
          </cell>
          <cell r="G567">
            <v>1040489.0683717401</v>
          </cell>
          <cell r="H567">
            <v>0</v>
          </cell>
          <cell r="I567">
            <v>0</v>
          </cell>
          <cell r="J567">
            <v>0</v>
          </cell>
          <cell r="K567">
            <v>1253601.2871948681</v>
          </cell>
          <cell r="M567">
            <v>1040489.0683717401</v>
          </cell>
          <cell r="N567">
            <v>0.83474576271186396</v>
          </cell>
        </row>
        <row r="568">
          <cell r="A568">
            <v>2031</v>
          </cell>
          <cell r="B568" t="str">
            <v>Copper</v>
          </cell>
          <cell r="C568" t="str">
            <v>Global Net-zero</v>
          </cell>
          <cell r="D568" t="str">
            <v>Existing production</v>
          </cell>
          <cell r="E568" t="str">
            <v>Current shares</v>
          </cell>
          <cell r="F568" t="str">
            <v>Status Quo</v>
          </cell>
          <cell r="G568">
            <v>1040489.0683717401</v>
          </cell>
          <cell r="H568">
            <v>311145</v>
          </cell>
          <cell r="I568">
            <v>163540.51506665381</v>
          </cell>
          <cell r="J568">
            <v>96186.455272329098</v>
          </cell>
          <cell r="K568">
            <v>942456.28719486762</v>
          </cell>
          <cell r="M568">
            <v>780762.09803275717</v>
          </cell>
          <cell r="N568">
            <v>0.83474576271186396</v>
          </cell>
        </row>
        <row r="569">
          <cell r="A569">
            <v>2031</v>
          </cell>
          <cell r="B569" t="str">
            <v>Copper</v>
          </cell>
          <cell r="C569" t="str">
            <v>Global Net-zero</v>
          </cell>
          <cell r="D569" t="str">
            <v>Production potential</v>
          </cell>
          <cell r="E569" t="str">
            <v>Current shares</v>
          </cell>
          <cell r="F569" t="str">
            <v>Expansion Extractive</v>
          </cell>
          <cell r="G569">
            <v>1040489.0683717401</v>
          </cell>
          <cell r="H569">
            <v>721363.36247679312</v>
          </cell>
          <cell r="I569">
            <v>379154.85014918452</v>
          </cell>
          <cell r="J569">
            <v>223000.16005390097</v>
          </cell>
          <cell r="K569">
            <v>532237.9247180745</v>
          </cell>
          <cell r="M569">
            <v>438334.0581686545</v>
          </cell>
          <cell r="N569">
            <v>0.83474576271186396</v>
          </cell>
        </row>
        <row r="570">
          <cell r="A570">
            <v>2031</v>
          </cell>
          <cell r="B570" t="str">
            <v>Copper</v>
          </cell>
          <cell r="C570" t="str">
            <v>Global Net-zero</v>
          </cell>
          <cell r="D570" t="str">
            <v>Production potential</v>
          </cell>
          <cell r="E570" t="str">
            <v>Current shares</v>
          </cell>
          <cell r="F570" t="str">
            <v>Expansion Extractive+Circularity</v>
          </cell>
          <cell r="G570">
            <v>1040489.0683717401</v>
          </cell>
          <cell r="H570">
            <v>721363.36247679312</v>
          </cell>
          <cell r="I570">
            <v>379154.85014918452</v>
          </cell>
          <cell r="J570">
            <v>223000.16005390097</v>
          </cell>
          <cell r="K570">
            <v>532237.9247180745</v>
          </cell>
          <cell r="M570">
            <v>438334.0581686545</v>
          </cell>
          <cell r="N570">
            <v>0.83474576271186396</v>
          </cell>
        </row>
        <row r="571">
          <cell r="A571">
            <v>2031</v>
          </cell>
          <cell r="B571" t="str">
            <v>Copper</v>
          </cell>
          <cell r="C571" t="str">
            <v>Global Net-zero</v>
          </cell>
          <cell r="D571" t="str">
            <v>Production potential</v>
          </cell>
          <cell r="E571" t="str">
            <v>100% CAN</v>
          </cell>
          <cell r="F571" t="str">
            <v>Integrated</v>
          </cell>
          <cell r="G571">
            <v>1040489.0683717401</v>
          </cell>
          <cell r="H571">
            <v>721363.36247679312</v>
          </cell>
          <cell r="I571">
            <v>602155.01020308572</v>
          </cell>
          <cell r="J571">
            <v>0</v>
          </cell>
          <cell r="K571">
            <v>532237.9247180745</v>
          </cell>
          <cell r="M571">
            <v>438334.05816865427</v>
          </cell>
          <cell r="N571">
            <v>0.83474576271186396</v>
          </cell>
        </row>
        <row r="572">
          <cell r="A572">
            <v>2031</v>
          </cell>
          <cell r="B572" t="str">
            <v>Neodymium</v>
          </cell>
          <cell r="C572" t="str">
            <v>Canada Net-zero</v>
          </cell>
          <cell r="D572" t="str">
            <v>Existing production</v>
          </cell>
          <cell r="E572" t="str">
            <v>Current shares</v>
          </cell>
          <cell r="F572" t="str">
            <v>NIMBY</v>
          </cell>
          <cell r="G572">
            <v>2673.374204195637</v>
          </cell>
          <cell r="H572">
            <v>0</v>
          </cell>
          <cell r="I572">
            <v>0</v>
          </cell>
          <cell r="J572">
            <v>0</v>
          </cell>
          <cell r="K572">
            <v>4455.6236736593964</v>
          </cell>
          <cell r="M572">
            <v>2673.374204195637</v>
          </cell>
          <cell r="N572">
            <v>1</v>
          </cell>
        </row>
        <row r="573">
          <cell r="A573">
            <v>2031</v>
          </cell>
          <cell r="B573" t="str">
            <v>Neodymium</v>
          </cell>
          <cell r="C573" t="str">
            <v>Canada Net-zero</v>
          </cell>
          <cell r="D573" t="str">
            <v>Existing production</v>
          </cell>
          <cell r="E573" t="str">
            <v>Current shares</v>
          </cell>
          <cell r="F573" t="str">
            <v>Status Quo</v>
          </cell>
          <cell r="G573">
            <v>2673.374204195637</v>
          </cell>
          <cell r="H573">
            <v>0</v>
          </cell>
          <cell r="I573">
            <v>0</v>
          </cell>
          <cell r="J573">
            <v>0</v>
          </cell>
          <cell r="K573">
            <v>4455.6236736593964</v>
          </cell>
          <cell r="M573">
            <v>2673.374204195637</v>
          </cell>
          <cell r="N573">
            <v>1</v>
          </cell>
        </row>
        <row r="574">
          <cell r="A574">
            <v>2031</v>
          </cell>
          <cell r="B574" t="str">
            <v>Neodymium</v>
          </cell>
          <cell r="C574" t="str">
            <v>Canada Net-zero</v>
          </cell>
          <cell r="D574" t="str">
            <v>Production potential</v>
          </cell>
          <cell r="E574" t="str">
            <v>Current shares</v>
          </cell>
          <cell r="F574" t="str">
            <v>Expansion Extractive</v>
          </cell>
          <cell r="G574">
            <v>2673.374204195637</v>
          </cell>
          <cell r="H574">
            <v>20.77942225145344</v>
          </cell>
          <cell r="I574">
            <v>12.437396724835169</v>
          </cell>
          <cell r="J574">
            <v>8.3420255266182703</v>
          </cell>
          <cell r="K574">
            <v>4434.8442514079416</v>
          </cell>
          <cell r="M574">
            <v>2652.5947819441835</v>
          </cell>
          <cell r="N574">
            <v>1</v>
          </cell>
        </row>
        <row r="575">
          <cell r="A575">
            <v>2031</v>
          </cell>
          <cell r="B575" t="str">
            <v>Neodymium</v>
          </cell>
          <cell r="C575" t="str">
            <v>Canada Net-zero</v>
          </cell>
          <cell r="D575" t="str">
            <v>Production potential</v>
          </cell>
          <cell r="E575" t="str">
            <v>Current shares</v>
          </cell>
          <cell r="F575" t="str">
            <v>Expansion Extractive+Circularity</v>
          </cell>
          <cell r="G575">
            <v>2673.374204195637</v>
          </cell>
          <cell r="H575">
            <v>20.77942225145344</v>
          </cell>
          <cell r="I575">
            <v>12.437396724835169</v>
          </cell>
          <cell r="J575">
            <v>8.3420255266182703</v>
          </cell>
          <cell r="K575">
            <v>4434.8442514079416</v>
          </cell>
          <cell r="M575">
            <v>2652.5947819441835</v>
          </cell>
          <cell r="N575">
            <v>1</v>
          </cell>
        </row>
        <row r="576">
          <cell r="A576">
            <v>2031</v>
          </cell>
          <cell r="B576" t="str">
            <v>Neodymium</v>
          </cell>
          <cell r="C576" t="str">
            <v>Canada Net-zero</v>
          </cell>
          <cell r="D576" t="str">
            <v>Production potential</v>
          </cell>
          <cell r="E576" t="str">
            <v>100% CAN</v>
          </cell>
          <cell r="F576" t="str">
            <v>Integrated</v>
          </cell>
          <cell r="G576">
            <v>2673.374204195637</v>
          </cell>
          <cell r="H576">
            <v>20.77942225145344</v>
          </cell>
          <cell r="I576">
            <v>12.437396724835169</v>
          </cell>
          <cell r="J576">
            <v>8.3420255266182703</v>
          </cell>
          <cell r="K576">
            <v>4434.8442514079416</v>
          </cell>
          <cell r="M576">
            <v>2652.5947819441835</v>
          </cell>
          <cell r="N576">
            <v>1</v>
          </cell>
        </row>
        <row r="577">
          <cell r="A577">
            <v>2031</v>
          </cell>
          <cell r="B577" t="str">
            <v>Neodymium</v>
          </cell>
          <cell r="C577" t="str">
            <v>Current Measures</v>
          </cell>
          <cell r="D577" t="str">
            <v>Existing production</v>
          </cell>
          <cell r="E577" t="str">
            <v>Current shares</v>
          </cell>
          <cell r="F577" t="str">
            <v>NIMBY</v>
          </cell>
          <cell r="G577">
            <v>995.76153396036739</v>
          </cell>
          <cell r="H577">
            <v>0</v>
          </cell>
          <cell r="I577">
            <v>0</v>
          </cell>
          <cell r="J577">
            <v>0</v>
          </cell>
          <cell r="K577">
            <v>1659.6025566006119</v>
          </cell>
          <cell r="M577">
            <v>995.76153396036739</v>
          </cell>
          <cell r="N577">
            <v>1</v>
          </cell>
        </row>
        <row r="578">
          <cell r="A578">
            <v>2031</v>
          </cell>
          <cell r="B578" t="str">
            <v>Neodymium</v>
          </cell>
          <cell r="C578" t="str">
            <v>Current Measures</v>
          </cell>
          <cell r="D578" t="str">
            <v>Existing production</v>
          </cell>
          <cell r="E578" t="str">
            <v>Current shares</v>
          </cell>
          <cell r="F578" t="str">
            <v>Status Quo</v>
          </cell>
          <cell r="G578">
            <v>995.76153396036739</v>
          </cell>
          <cell r="H578">
            <v>0</v>
          </cell>
          <cell r="I578">
            <v>0</v>
          </cell>
          <cell r="J578">
            <v>0</v>
          </cell>
          <cell r="K578">
            <v>1659.6025566006119</v>
          </cell>
          <cell r="M578">
            <v>995.76153396036739</v>
          </cell>
          <cell r="N578">
            <v>1</v>
          </cell>
        </row>
        <row r="579">
          <cell r="A579">
            <v>2031</v>
          </cell>
          <cell r="B579" t="str">
            <v>Neodymium</v>
          </cell>
          <cell r="C579" t="str">
            <v>Current Measures</v>
          </cell>
          <cell r="D579" t="str">
            <v>Production potential</v>
          </cell>
          <cell r="E579" t="str">
            <v>Current shares</v>
          </cell>
          <cell r="F579" t="str">
            <v>Expansion Extractive</v>
          </cell>
          <cell r="G579">
            <v>995.76153396036739</v>
          </cell>
          <cell r="H579">
            <v>20.77942225145344</v>
          </cell>
          <cell r="I579">
            <v>12.437396724835169</v>
          </cell>
          <cell r="J579">
            <v>8.3420255266182703</v>
          </cell>
          <cell r="K579">
            <v>1638.8231343491591</v>
          </cell>
          <cell r="M579">
            <v>974.98211170891398</v>
          </cell>
          <cell r="N579">
            <v>1</v>
          </cell>
        </row>
        <row r="580">
          <cell r="A580">
            <v>2031</v>
          </cell>
          <cell r="B580" t="str">
            <v>Neodymium</v>
          </cell>
          <cell r="C580" t="str">
            <v>Current Measures</v>
          </cell>
          <cell r="D580" t="str">
            <v>Production potential</v>
          </cell>
          <cell r="E580" t="str">
            <v>Current shares</v>
          </cell>
          <cell r="F580" t="str">
            <v>Expansion Extractive+Circularity</v>
          </cell>
          <cell r="G580">
            <v>995.76153396036739</v>
          </cell>
          <cell r="H580">
            <v>20.77942225145344</v>
          </cell>
          <cell r="I580">
            <v>12.437396724835169</v>
          </cell>
          <cell r="J580">
            <v>8.3420255266182703</v>
          </cell>
          <cell r="K580">
            <v>1638.8231343491591</v>
          </cell>
          <cell r="M580">
            <v>974.98211170891398</v>
          </cell>
          <cell r="N580">
            <v>1</v>
          </cell>
        </row>
        <row r="581">
          <cell r="A581">
            <v>2031</v>
          </cell>
          <cell r="B581" t="str">
            <v>Neodymium</v>
          </cell>
          <cell r="C581" t="str">
            <v>Current Measures</v>
          </cell>
          <cell r="D581" t="str">
            <v>Production potential</v>
          </cell>
          <cell r="E581" t="str">
            <v>100% CAN</v>
          </cell>
          <cell r="F581" t="str">
            <v>Integrated</v>
          </cell>
          <cell r="G581">
            <v>995.76153396036739</v>
          </cell>
          <cell r="H581">
            <v>20.77942225145344</v>
          </cell>
          <cell r="I581">
            <v>12.437396724835169</v>
          </cell>
          <cell r="J581">
            <v>8.3420255266182703</v>
          </cell>
          <cell r="K581">
            <v>1638.8231343491591</v>
          </cell>
          <cell r="M581">
            <v>974.98211170891398</v>
          </cell>
          <cell r="N581">
            <v>1</v>
          </cell>
        </row>
        <row r="582">
          <cell r="A582">
            <v>2031</v>
          </cell>
          <cell r="B582" t="str">
            <v>Neodymium</v>
          </cell>
          <cell r="C582" t="str">
            <v>Global Net-zero</v>
          </cell>
          <cell r="D582" t="str">
            <v>Existing production</v>
          </cell>
          <cell r="E582" t="str">
            <v>Current shares</v>
          </cell>
          <cell r="F582" t="str">
            <v>NIMBY</v>
          </cell>
          <cell r="G582">
            <v>2554.0345257736349</v>
          </cell>
          <cell r="H582">
            <v>0</v>
          </cell>
          <cell r="I582">
            <v>0</v>
          </cell>
          <cell r="J582">
            <v>0</v>
          </cell>
          <cell r="K582">
            <v>4256.7242096227246</v>
          </cell>
          <cell r="M582">
            <v>2554.0345257736349</v>
          </cell>
          <cell r="N582">
            <v>1</v>
          </cell>
        </row>
        <row r="583">
          <cell r="A583">
            <v>2031</v>
          </cell>
          <cell r="B583" t="str">
            <v>Neodymium</v>
          </cell>
          <cell r="C583" t="str">
            <v>Global Net-zero</v>
          </cell>
          <cell r="D583" t="str">
            <v>Existing production</v>
          </cell>
          <cell r="E583" t="str">
            <v>Current shares</v>
          </cell>
          <cell r="F583" t="str">
            <v>Status Quo</v>
          </cell>
          <cell r="G583">
            <v>2554.0345257736349</v>
          </cell>
          <cell r="H583">
            <v>0</v>
          </cell>
          <cell r="I583">
            <v>0</v>
          </cell>
          <cell r="J583">
            <v>0</v>
          </cell>
          <cell r="K583">
            <v>4256.7242096227246</v>
          </cell>
          <cell r="M583">
            <v>2554.0345257736349</v>
          </cell>
          <cell r="N583">
            <v>1</v>
          </cell>
        </row>
        <row r="584">
          <cell r="A584">
            <v>2031</v>
          </cell>
          <cell r="B584" t="str">
            <v>Neodymium</v>
          </cell>
          <cell r="C584" t="str">
            <v>Global Net-zero</v>
          </cell>
          <cell r="D584" t="str">
            <v>Production potential</v>
          </cell>
          <cell r="E584" t="str">
            <v>Current shares</v>
          </cell>
          <cell r="F584" t="str">
            <v>Expansion Extractive</v>
          </cell>
          <cell r="G584">
            <v>2554.0345257736349</v>
          </cell>
          <cell r="H584">
            <v>20.77942225145344</v>
          </cell>
          <cell r="I584">
            <v>12.437396724835169</v>
          </cell>
          <cell r="J584">
            <v>8.3420255266182703</v>
          </cell>
          <cell r="K584">
            <v>4235.9447873712716</v>
          </cell>
          <cell r="M584">
            <v>2533.2551035221818</v>
          </cell>
          <cell r="N584">
            <v>1</v>
          </cell>
        </row>
        <row r="585">
          <cell r="A585">
            <v>2031</v>
          </cell>
          <cell r="B585" t="str">
            <v>Neodymium</v>
          </cell>
          <cell r="C585" t="str">
            <v>Global Net-zero</v>
          </cell>
          <cell r="D585" t="str">
            <v>Production potential</v>
          </cell>
          <cell r="E585" t="str">
            <v>Current shares</v>
          </cell>
          <cell r="F585" t="str">
            <v>Expansion Extractive+Circularity</v>
          </cell>
          <cell r="G585">
            <v>2554.0345257736349</v>
          </cell>
          <cell r="H585">
            <v>20.77942225145344</v>
          </cell>
          <cell r="I585">
            <v>12.437396724835169</v>
          </cell>
          <cell r="J585">
            <v>8.3420255266182703</v>
          </cell>
          <cell r="K585">
            <v>4235.9447873712716</v>
          </cell>
          <cell r="M585">
            <v>2533.2551035221818</v>
          </cell>
          <cell r="N585">
            <v>1</v>
          </cell>
        </row>
        <row r="586">
          <cell r="A586">
            <v>2031</v>
          </cell>
          <cell r="B586" t="str">
            <v>Neodymium</v>
          </cell>
          <cell r="C586" t="str">
            <v>Global Net-zero</v>
          </cell>
          <cell r="D586" t="str">
            <v>Production potential</v>
          </cell>
          <cell r="E586" t="str">
            <v>100% CAN</v>
          </cell>
          <cell r="F586" t="str">
            <v>Integrated</v>
          </cell>
          <cell r="G586">
            <v>2554.0345257736349</v>
          </cell>
          <cell r="H586">
            <v>20.77942225145344</v>
          </cell>
          <cell r="I586">
            <v>12.437396724835169</v>
          </cell>
          <cell r="J586">
            <v>8.3420255266182703</v>
          </cell>
          <cell r="K586">
            <v>4235.9447873712716</v>
          </cell>
          <cell r="M586">
            <v>2533.2551035221818</v>
          </cell>
          <cell r="N586">
            <v>1</v>
          </cell>
        </row>
        <row r="587">
          <cell r="A587">
            <v>2031</v>
          </cell>
          <cell r="B587" t="str">
            <v>Nickel</v>
          </cell>
          <cell r="C587" t="str">
            <v>Canada Net-zero</v>
          </cell>
          <cell r="D587" t="str">
            <v>Existing production</v>
          </cell>
          <cell r="E587" t="str">
            <v>Current shares</v>
          </cell>
          <cell r="F587" t="str">
            <v>NIMBY</v>
          </cell>
          <cell r="G587">
            <v>93641.810348820844</v>
          </cell>
          <cell r="H587">
            <v>0</v>
          </cell>
          <cell r="I587">
            <v>0</v>
          </cell>
          <cell r="J587">
            <v>0</v>
          </cell>
          <cell r="K587">
            <v>118533.9371504061</v>
          </cell>
          <cell r="M587">
            <v>93641.810348820844</v>
          </cell>
          <cell r="N587">
            <v>0.69917047091553897</v>
          </cell>
        </row>
        <row r="588">
          <cell r="A588">
            <v>2031</v>
          </cell>
          <cell r="B588" t="str">
            <v>Nickel</v>
          </cell>
          <cell r="C588" t="str">
            <v>Canada Net-zero</v>
          </cell>
          <cell r="D588" t="str">
            <v>Existing production</v>
          </cell>
          <cell r="E588" t="str">
            <v>Current shares</v>
          </cell>
          <cell r="F588" t="str">
            <v>Status Quo</v>
          </cell>
          <cell r="G588">
            <v>93641.810348820844</v>
          </cell>
          <cell r="H588">
            <v>139278</v>
          </cell>
          <cell r="I588">
            <v>78118.250613288372</v>
          </cell>
          <cell r="J588">
            <v>19260.814234886071</v>
          </cell>
          <cell r="K588">
            <v>0</v>
          </cell>
          <cell r="M588">
            <v>0</v>
          </cell>
          <cell r="N588">
            <v>0.69917047091553897</v>
          </cell>
        </row>
        <row r="589">
          <cell r="A589">
            <v>2031</v>
          </cell>
          <cell r="B589" t="str">
            <v>Nickel</v>
          </cell>
          <cell r="C589" t="str">
            <v>Canada Net-zero</v>
          </cell>
          <cell r="D589" t="str">
            <v>Production potential</v>
          </cell>
          <cell r="E589" t="str">
            <v>Current shares</v>
          </cell>
          <cell r="F589" t="str">
            <v>Expansion Extractive</v>
          </cell>
          <cell r="G589">
            <v>93641.810348820844</v>
          </cell>
          <cell r="H589">
            <v>192804</v>
          </cell>
          <cell r="I589">
            <v>108139.9157888859</v>
          </cell>
          <cell r="J589">
            <v>26662.947685513675</v>
          </cell>
          <cell r="K589">
            <v>0</v>
          </cell>
          <cell r="M589">
            <v>0</v>
          </cell>
          <cell r="N589">
            <v>0.69917047091553897</v>
          </cell>
        </row>
        <row r="590">
          <cell r="A590">
            <v>2031</v>
          </cell>
          <cell r="B590" t="str">
            <v>Nickel</v>
          </cell>
          <cell r="C590" t="str">
            <v>Canada Net-zero</v>
          </cell>
          <cell r="D590" t="str">
            <v>Production potential</v>
          </cell>
          <cell r="E590" t="str">
            <v>Current shares</v>
          </cell>
          <cell r="F590" t="str">
            <v>Expansion Extractive+Circularity</v>
          </cell>
          <cell r="G590">
            <v>93641.810348820844</v>
          </cell>
          <cell r="H590">
            <v>192804</v>
          </cell>
          <cell r="I590">
            <v>108139.9157888859</v>
          </cell>
          <cell r="J590">
            <v>26662.947685513675</v>
          </cell>
          <cell r="K590">
            <v>0</v>
          </cell>
          <cell r="M590">
            <v>0</v>
          </cell>
          <cell r="N590">
            <v>0.69917047091553897</v>
          </cell>
        </row>
        <row r="591">
          <cell r="A591">
            <v>2031</v>
          </cell>
          <cell r="B591" t="str">
            <v>Nickel</v>
          </cell>
          <cell r="C591" t="str">
            <v>Canada Net-zero</v>
          </cell>
          <cell r="D591" t="str">
            <v>Production potential</v>
          </cell>
          <cell r="E591" t="str">
            <v>100% CAN</v>
          </cell>
          <cell r="F591" t="str">
            <v>Integrated</v>
          </cell>
          <cell r="G591">
            <v>93641.810348820844</v>
          </cell>
          <cell r="H591">
            <v>192804</v>
          </cell>
          <cell r="I591">
            <v>151843.75361407921</v>
          </cell>
          <cell r="J591">
            <v>-17040.890139679628</v>
          </cell>
          <cell r="K591">
            <v>0</v>
          </cell>
          <cell r="M591">
            <v>17040.890139679628</v>
          </cell>
          <cell r="N591">
            <v>0.69917047091553897</v>
          </cell>
        </row>
        <row r="592">
          <cell r="A592">
            <v>2031</v>
          </cell>
          <cell r="B592" t="str">
            <v>Nickel</v>
          </cell>
          <cell r="C592" t="str">
            <v>Current Measures</v>
          </cell>
          <cell r="D592" t="str">
            <v>Existing production</v>
          </cell>
          <cell r="E592" t="str">
            <v>Current shares</v>
          </cell>
          <cell r="F592" t="str">
            <v>NIMBY</v>
          </cell>
          <cell r="G592">
            <v>45309.507358348303</v>
          </cell>
          <cell r="H592">
            <v>0</v>
          </cell>
          <cell r="I592">
            <v>0</v>
          </cell>
          <cell r="J592">
            <v>0</v>
          </cell>
          <cell r="K592">
            <v>57353.806782719374</v>
          </cell>
          <cell r="M592">
            <v>45309.507358348303</v>
          </cell>
          <cell r="N592">
            <v>0.69917047091553897</v>
          </cell>
        </row>
        <row r="593">
          <cell r="A593">
            <v>2031</v>
          </cell>
          <cell r="B593" t="str">
            <v>Nickel</v>
          </cell>
          <cell r="C593" t="str">
            <v>Current Measures</v>
          </cell>
          <cell r="D593" t="str">
            <v>Existing production</v>
          </cell>
          <cell r="E593" t="str">
            <v>Current shares</v>
          </cell>
          <cell r="F593" t="str">
            <v>Status Quo</v>
          </cell>
          <cell r="G593">
            <v>45309.507358348303</v>
          </cell>
          <cell r="H593">
            <v>139278</v>
          </cell>
          <cell r="I593">
            <v>78118.250613288372</v>
          </cell>
          <cell r="J593">
            <v>19260.814234886071</v>
          </cell>
          <cell r="K593">
            <v>0</v>
          </cell>
          <cell r="M593">
            <v>0</v>
          </cell>
          <cell r="N593">
            <v>0.69917047091553897</v>
          </cell>
        </row>
        <row r="594">
          <cell r="A594">
            <v>2031</v>
          </cell>
          <cell r="B594" t="str">
            <v>Nickel</v>
          </cell>
          <cell r="C594" t="str">
            <v>Current Measures</v>
          </cell>
          <cell r="D594" t="str">
            <v>Production potential</v>
          </cell>
          <cell r="E594" t="str">
            <v>Current shares</v>
          </cell>
          <cell r="F594" t="str">
            <v>Expansion Extractive</v>
          </cell>
          <cell r="G594">
            <v>45309.507358348303</v>
          </cell>
          <cell r="H594">
            <v>192804</v>
          </cell>
          <cell r="I594">
            <v>108139.9157888859</v>
          </cell>
          <cell r="J594">
            <v>26662.947685513675</v>
          </cell>
          <cell r="K594">
            <v>0</v>
          </cell>
          <cell r="M594">
            <v>0</v>
          </cell>
          <cell r="N594">
            <v>0.69917047091553897</v>
          </cell>
        </row>
        <row r="595">
          <cell r="A595">
            <v>2031</v>
          </cell>
          <cell r="B595" t="str">
            <v>Nickel</v>
          </cell>
          <cell r="C595" t="str">
            <v>Current Measures</v>
          </cell>
          <cell r="D595" t="str">
            <v>Production potential</v>
          </cell>
          <cell r="E595" t="str">
            <v>Current shares</v>
          </cell>
          <cell r="F595" t="str">
            <v>Expansion Extractive+Circularity</v>
          </cell>
          <cell r="G595">
            <v>45309.507358348303</v>
          </cell>
          <cell r="H595">
            <v>192804</v>
          </cell>
          <cell r="I595">
            <v>108139.9157888859</v>
          </cell>
          <cell r="J595">
            <v>26662.947685513675</v>
          </cell>
          <cell r="K595">
            <v>0</v>
          </cell>
          <cell r="M595">
            <v>0</v>
          </cell>
          <cell r="N595">
            <v>0.69917047091553897</v>
          </cell>
        </row>
        <row r="596">
          <cell r="A596">
            <v>2031</v>
          </cell>
          <cell r="B596" t="str">
            <v>Nickel</v>
          </cell>
          <cell r="C596" t="str">
            <v>Current Measures</v>
          </cell>
          <cell r="D596" t="str">
            <v>Production potential</v>
          </cell>
          <cell r="E596" t="str">
            <v>100% CAN</v>
          </cell>
          <cell r="F596" t="str">
            <v>Integrated</v>
          </cell>
          <cell r="G596">
            <v>45309.507358348303</v>
          </cell>
          <cell r="H596">
            <v>192804</v>
          </cell>
          <cell r="I596">
            <v>151843.75361407921</v>
          </cell>
          <cell r="J596">
            <v>-17040.890139679628</v>
          </cell>
          <cell r="K596">
            <v>0</v>
          </cell>
          <cell r="M596">
            <v>17040.890139679628</v>
          </cell>
          <cell r="N596">
            <v>0.69917047091553897</v>
          </cell>
        </row>
        <row r="597">
          <cell r="A597">
            <v>2031</v>
          </cell>
          <cell r="B597" t="str">
            <v>Nickel</v>
          </cell>
          <cell r="C597" t="str">
            <v>Global Net-zero</v>
          </cell>
          <cell r="D597" t="str">
            <v>Existing production</v>
          </cell>
          <cell r="E597" t="str">
            <v>Current shares</v>
          </cell>
          <cell r="F597" t="str">
            <v>NIMBY</v>
          </cell>
          <cell r="G597">
            <v>88691.707094776124</v>
          </cell>
          <cell r="H597">
            <v>0</v>
          </cell>
          <cell r="I597">
            <v>0</v>
          </cell>
          <cell r="J597">
            <v>0</v>
          </cell>
          <cell r="K597">
            <v>112267.9836642736</v>
          </cell>
          <cell r="M597">
            <v>88691.707094776124</v>
          </cell>
          <cell r="N597">
            <v>0.69917047091553897</v>
          </cell>
        </row>
        <row r="598">
          <cell r="A598">
            <v>2031</v>
          </cell>
          <cell r="B598" t="str">
            <v>Nickel</v>
          </cell>
          <cell r="C598" t="str">
            <v>Global Net-zero</v>
          </cell>
          <cell r="D598" t="str">
            <v>Existing production</v>
          </cell>
          <cell r="E598" t="str">
            <v>Current shares</v>
          </cell>
          <cell r="F598" t="str">
            <v>Status Quo</v>
          </cell>
          <cell r="G598">
            <v>88691.707094776124</v>
          </cell>
          <cell r="H598">
            <v>139278</v>
          </cell>
          <cell r="I598">
            <v>78118.250613288372</v>
          </cell>
          <cell r="J598">
            <v>19260.814234886071</v>
          </cell>
          <cell r="K598">
            <v>0</v>
          </cell>
          <cell r="M598">
            <v>0</v>
          </cell>
          <cell r="N598">
            <v>0.69917047091553897</v>
          </cell>
        </row>
        <row r="599">
          <cell r="A599">
            <v>2031</v>
          </cell>
          <cell r="B599" t="str">
            <v>Nickel</v>
          </cell>
          <cell r="C599" t="str">
            <v>Global Net-zero</v>
          </cell>
          <cell r="D599" t="str">
            <v>Production potential</v>
          </cell>
          <cell r="E599" t="str">
            <v>Current shares</v>
          </cell>
          <cell r="F599" t="str">
            <v>Expansion Extractive</v>
          </cell>
          <cell r="G599">
            <v>88691.707094776124</v>
          </cell>
          <cell r="H599">
            <v>192804</v>
          </cell>
          <cell r="I599">
            <v>108139.9157888859</v>
          </cell>
          <cell r="J599">
            <v>26662.947685513675</v>
          </cell>
          <cell r="K599">
            <v>0</v>
          </cell>
          <cell r="M599">
            <v>0</v>
          </cell>
          <cell r="N599">
            <v>0.69917047091553897</v>
          </cell>
        </row>
        <row r="600">
          <cell r="A600">
            <v>2031</v>
          </cell>
          <cell r="B600" t="str">
            <v>Nickel</v>
          </cell>
          <cell r="C600" t="str">
            <v>Global Net-zero</v>
          </cell>
          <cell r="D600" t="str">
            <v>Production potential</v>
          </cell>
          <cell r="E600" t="str">
            <v>Current shares</v>
          </cell>
          <cell r="F600" t="str">
            <v>Expansion Extractive+Circularity</v>
          </cell>
          <cell r="G600">
            <v>88691.707094776124</v>
          </cell>
          <cell r="H600">
            <v>192804</v>
          </cell>
          <cell r="I600">
            <v>108139.9157888859</v>
          </cell>
          <cell r="J600">
            <v>26662.947685513675</v>
          </cell>
          <cell r="K600">
            <v>0</v>
          </cell>
          <cell r="M600">
            <v>0</v>
          </cell>
          <cell r="N600">
            <v>0.69917047091553897</v>
          </cell>
        </row>
        <row r="601">
          <cell r="A601">
            <v>2031</v>
          </cell>
          <cell r="B601" t="str">
            <v>Nickel</v>
          </cell>
          <cell r="C601" t="str">
            <v>Global Net-zero</v>
          </cell>
          <cell r="D601" t="str">
            <v>Production potential</v>
          </cell>
          <cell r="E601" t="str">
            <v>100% CAN</v>
          </cell>
          <cell r="F601" t="str">
            <v>Integrated</v>
          </cell>
          <cell r="G601">
            <v>88691.707094776124</v>
          </cell>
          <cell r="H601">
            <v>192804</v>
          </cell>
          <cell r="I601">
            <v>151843.75361407921</v>
          </cell>
          <cell r="J601">
            <v>-17040.890139679628</v>
          </cell>
          <cell r="K601">
            <v>0</v>
          </cell>
          <cell r="M601">
            <v>17040.890139679628</v>
          </cell>
          <cell r="N601">
            <v>0.69917047091553897</v>
          </cell>
        </row>
        <row r="602">
          <cell r="A602">
            <v>2031</v>
          </cell>
          <cell r="B602" t="str">
            <v>Graphite</v>
          </cell>
          <cell r="C602" t="str">
            <v>Canada Net-zero</v>
          </cell>
          <cell r="D602" t="str">
            <v>Existing production</v>
          </cell>
          <cell r="E602" t="str">
            <v>Current shares</v>
          </cell>
          <cell r="F602" t="str">
            <v>NIMBY</v>
          </cell>
          <cell r="G602">
            <v>2159.8800640851032</v>
          </cell>
          <cell r="H602">
            <v>0</v>
          </cell>
          <cell r="I602">
            <v>0</v>
          </cell>
          <cell r="J602">
            <v>0</v>
          </cell>
          <cell r="K602">
            <v>2159.8800640851032</v>
          </cell>
          <cell r="M602">
            <v>2159.8800640851032</v>
          </cell>
          <cell r="N602">
            <v>0.59854391398996798</v>
          </cell>
        </row>
        <row r="603">
          <cell r="A603">
            <v>2031</v>
          </cell>
          <cell r="B603" t="str">
            <v>Graphite</v>
          </cell>
          <cell r="C603" t="str">
            <v>Canada Net-zero</v>
          </cell>
          <cell r="D603" t="str">
            <v>Existing production</v>
          </cell>
          <cell r="E603" t="str">
            <v>Current shares</v>
          </cell>
          <cell r="F603" t="str">
            <v>Status Quo</v>
          </cell>
          <cell r="G603">
            <v>2159.8800640851032</v>
          </cell>
          <cell r="H603">
            <v>0</v>
          </cell>
          <cell r="I603">
            <v>0</v>
          </cell>
          <cell r="J603">
            <v>0</v>
          </cell>
          <cell r="K603">
            <v>2159.8800640851032</v>
          </cell>
          <cell r="M603">
            <v>2159.8800640851032</v>
          </cell>
          <cell r="N603">
            <v>0.59854391398996798</v>
          </cell>
        </row>
        <row r="604">
          <cell r="A604">
            <v>2031</v>
          </cell>
          <cell r="B604" t="str">
            <v>Graphite</v>
          </cell>
          <cell r="C604" t="str">
            <v>Canada Net-zero</v>
          </cell>
          <cell r="D604" t="str">
            <v>Production potential</v>
          </cell>
          <cell r="E604" t="str">
            <v>Current shares</v>
          </cell>
          <cell r="F604" t="str">
            <v>Expansion Extractive</v>
          </cell>
          <cell r="G604">
            <v>2159.8800640851032</v>
          </cell>
          <cell r="H604">
            <v>99848</v>
          </cell>
          <cell r="I604">
            <v>32949.839999999997</v>
          </cell>
          <cell r="J604">
            <v>26813.572724070327</v>
          </cell>
          <cell r="K604">
            <v>0</v>
          </cell>
          <cell r="M604">
            <v>0</v>
          </cell>
          <cell r="N604">
            <v>0.59854391398996798</v>
          </cell>
        </row>
        <row r="605">
          <cell r="A605">
            <v>2031</v>
          </cell>
          <cell r="B605" t="str">
            <v>Graphite</v>
          </cell>
          <cell r="C605" t="str">
            <v>Canada Net-zero</v>
          </cell>
          <cell r="D605" t="str">
            <v>Production potential</v>
          </cell>
          <cell r="E605" t="str">
            <v>Current shares</v>
          </cell>
          <cell r="F605" t="str">
            <v>Expansion Extractive+Circularity</v>
          </cell>
          <cell r="G605">
            <v>2159.8800640851032</v>
          </cell>
          <cell r="H605">
            <v>99848</v>
          </cell>
          <cell r="I605">
            <v>32949.839999999997</v>
          </cell>
          <cell r="J605">
            <v>26813.572724070327</v>
          </cell>
          <cell r="K605">
            <v>0</v>
          </cell>
          <cell r="M605">
            <v>0</v>
          </cell>
          <cell r="N605">
            <v>0.59854391398996798</v>
          </cell>
        </row>
        <row r="606">
          <cell r="A606">
            <v>2031</v>
          </cell>
          <cell r="B606" t="str">
            <v>Graphite</v>
          </cell>
          <cell r="C606" t="str">
            <v>Canada Net-zero</v>
          </cell>
          <cell r="D606" t="str">
            <v>Production potential</v>
          </cell>
          <cell r="E606" t="str">
            <v>100% CAN</v>
          </cell>
          <cell r="F606" t="str">
            <v>Integrated</v>
          </cell>
          <cell r="G606">
            <v>2159.8800640851032</v>
          </cell>
          <cell r="H606">
            <v>99848</v>
          </cell>
          <cell r="I606">
            <v>32949.839999999997</v>
          </cell>
          <cell r="J606">
            <v>26813.572724070327</v>
          </cell>
          <cell r="K606">
            <v>0</v>
          </cell>
          <cell r="M606">
            <v>0</v>
          </cell>
          <cell r="N606">
            <v>0.59854391398996798</v>
          </cell>
        </row>
        <row r="607">
          <cell r="A607">
            <v>2031</v>
          </cell>
          <cell r="B607" t="str">
            <v>Graphite</v>
          </cell>
          <cell r="C607" t="str">
            <v>Current Measures</v>
          </cell>
          <cell r="D607" t="str">
            <v>Existing production</v>
          </cell>
          <cell r="E607" t="str">
            <v>Current shares</v>
          </cell>
          <cell r="F607" t="str">
            <v>NIMBY</v>
          </cell>
          <cell r="G607">
            <v>939.76655065013301</v>
          </cell>
          <cell r="H607">
            <v>0</v>
          </cell>
          <cell r="I607">
            <v>0</v>
          </cell>
          <cell r="J607">
            <v>0</v>
          </cell>
          <cell r="K607">
            <v>939.76655065013301</v>
          </cell>
          <cell r="M607">
            <v>939.76655065013301</v>
          </cell>
          <cell r="N607">
            <v>0.59854391398996798</v>
          </cell>
        </row>
        <row r="608">
          <cell r="A608">
            <v>2031</v>
          </cell>
          <cell r="B608" t="str">
            <v>Graphite</v>
          </cell>
          <cell r="C608" t="str">
            <v>Current Measures</v>
          </cell>
          <cell r="D608" t="str">
            <v>Existing production</v>
          </cell>
          <cell r="E608" t="str">
            <v>Current shares</v>
          </cell>
          <cell r="F608" t="str">
            <v>Status Quo</v>
          </cell>
          <cell r="G608">
            <v>939.76655065013301</v>
          </cell>
          <cell r="H608">
            <v>0</v>
          </cell>
          <cell r="I608">
            <v>0</v>
          </cell>
          <cell r="J608">
            <v>0</v>
          </cell>
          <cell r="K608">
            <v>939.76655065013301</v>
          </cell>
          <cell r="M608">
            <v>939.76655065013301</v>
          </cell>
          <cell r="N608">
            <v>0.59854391398996798</v>
          </cell>
        </row>
        <row r="609">
          <cell r="A609">
            <v>2031</v>
          </cell>
          <cell r="B609" t="str">
            <v>Graphite</v>
          </cell>
          <cell r="C609" t="str">
            <v>Current Measures</v>
          </cell>
          <cell r="D609" t="str">
            <v>Production potential</v>
          </cell>
          <cell r="E609" t="str">
            <v>Current shares</v>
          </cell>
          <cell r="F609" t="str">
            <v>Expansion Extractive</v>
          </cell>
          <cell r="G609">
            <v>939.76655065013301</v>
          </cell>
          <cell r="H609">
            <v>99848</v>
          </cell>
          <cell r="I609">
            <v>32949.839999999997</v>
          </cell>
          <cell r="J609">
            <v>26813.572724070327</v>
          </cell>
          <cell r="K609">
            <v>0</v>
          </cell>
          <cell r="M609">
            <v>0</v>
          </cell>
          <cell r="N609">
            <v>0.59854391398996798</v>
          </cell>
        </row>
        <row r="610">
          <cell r="A610">
            <v>2031</v>
          </cell>
          <cell r="B610" t="str">
            <v>Graphite</v>
          </cell>
          <cell r="C610" t="str">
            <v>Current Measures</v>
          </cell>
          <cell r="D610" t="str">
            <v>Production potential</v>
          </cell>
          <cell r="E610" t="str">
            <v>Current shares</v>
          </cell>
          <cell r="F610" t="str">
            <v>Expansion Extractive+Circularity</v>
          </cell>
          <cell r="G610">
            <v>939.76655065013301</v>
          </cell>
          <cell r="H610">
            <v>99848</v>
          </cell>
          <cell r="I610">
            <v>32949.839999999997</v>
          </cell>
          <cell r="J610">
            <v>26813.572724070327</v>
          </cell>
          <cell r="K610">
            <v>0</v>
          </cell>
          <cell r="M610">
            <v>0</v>
          </cell>
          <cell r="N610">
            <v>0.59854391398996798</v>
          </cell>
        </row>
        <row r="611">
          <cell r="A611">
            <v>2031</v>
          </cell>
          <cell r="B611" t="str">
            <v>Graphite</v>
          </cell>
          <cell r="C611" t="str">
            <v>Current Measures</v>
          </cell>
          <cell r="D611" t="str">
            <v>Production potential</v>
          </cell>
          <cell r="E611" t="str">
            <v>100% CAN</v>
          </cell>
          <cell r="F611" t="str">
            <v>Integrated</v>
          </cell>
          <cell r="G611">
            <v>939.76655065013301</v>
          </cell>
          <cell r="H611">
            <v>99848</v>
          </cell>
          <cell r="I611">
            <v>32949.839999999997</v>
          </cell>
          <cell r="J611">
            <v>26813.572724070327</v>
          </cell>
          <cell r="K611">
            <v>0</v>
          </cell>
          <cell r="M611">
            <v>0</v>
          </cell>
          <cell r="N611">
            <v>0.59854391398996798</v>
          </cell>
        </row>
        <row r="612">
          <cell r="A612">
            <v>2031</v>
          </cell>
          <cell r="B612" t="str">
            <v>Graphite</v>
          </cell>
          <cell r="C612" t="str">
            <v>Global Net-zero</v>
          </cell>
          <cell r="D612" t="str">
            <v>Existing production</v>
          </cell>
          <cell r="E612" t="str">
            <v>Current shares</v>
          </cell>
          <cell r="F612" t="str">
            <v>NIMBY</v>
          </cell>
          <cell r="G612">
            <v>2047.251252746828</v>
          </cell>
          <cell r="H612">
            <v>0</v>
          </cell>
          <cell r="I612">
            <v>0</v>
          </cell>
          <cell r="J612">
            <v>0</v>
          </cell>
          <cell r="K612">
            <v>2047.251252746828</v>
          </cell>
          <cell r="M612">
            <v>2047.251252746828</v>
          </cell>
          <cell r="N612">
            <v>0.59854391398996798</v>
          </cell>
        </row>
        <row r="613">
          <cell r="A613">
            <v>2031</v>
          </cell>
          <cell r="B613" t="str">
            <v>Graphite</v>
          </cell>
          <cell r="C613" t="str">
            <v>Global Net-zero</v>
          </cell>
          <cell r="D613" t="str">
            <v>Existing production</v>
          </cell>
          <cell r="E613" t="str">
            <v>Current shares</v>
          </cell>
          <cell r="F613" t="str">
            <v>Status Quo</v>
          </cell>
          <cell r="G613">
            <v>2047.251252746828</v>
          </cell>
          <cell r="H613">
            <v>0</v>
          </cell>
          <cell r="I613">
            <v>0</v>
          </cell>
          <cell r="J613">
            <v>0</v>
          </cell>
          <cell r="K613">
            <v>2047.251252746828</v>
          </cell>
          <cell r="M613">
            <v>2047.251252746828</v>
          </cell>
          <cell r="N613">
            <v>0.59854391398996798</v>
          </cell>
        </row>
        <row r="614">
          <cell r="A614">
            <v>2031</v>
          </cell>
          <cell r="B614" t="str">
            <v>Graphite</v>
          </cell>
          <cell r="C614" t="str">
            <v>Global Net-zero</v>
          </cell>
          <cell r="D614" t="str">
            <v>Production potential</v>
          </cell>
          <cell r="E614" t="str">
            <v>Current shares</v>
          </cell>
          <cell r="F614" t="str">
            <v>Expansion Extractive</v>
          </cell>
          <cell r="G614">
            <v>2047.251252746828</v>
          </cell>
          <cell r="H614">
            <v>99848</v>
          </cell>
          <cell r="I614">
            <v>32949.839999999997</v>
          </cell>
          <cell r="J614">
            <v>26813.572724070327</v>
          </cell>
          <cell r="K614">
            <v>0</v>
          </cell>
          <cell r="M614">
            <v>0</v>
          </cell>
          <cell r="N614">
            <v>0.59854391398996798</v>
          </cell>
        </row>
        <row r="615">
          <cell r="A615">
            <v>2031</v>
          </cell>
          <cell r="B615" t="str">
            <v>Graphite</v>
          </cell>
          <cell r="C615" t="str">
            <v>Global Net-zero</v>
          </cell>
          <cell r="D615" t="str">
            <v>Production potential</v>
          </cell>
          <cell r="E615" t="str">
            <v>Current shares</v>
          </cell>
          <cell r="F615" t="str">
            <v>Expansion Extractive+Circularity</v>
          </cell>
          <cell r="G615">
            <v>2047.251252746828</v>
          </cell>
          <cell r="H615">
            <v>99848</v>
          </cell>
          <cell r="I615">
            <v>32949.839999999997</v>
          </cell>
          <cell r="J615">
            <v>26813.572724070327</v>
          </cell>
          <cell r="K615">
            <v>0</v>
          </cell>
          <cell r="M615">
            <v>0</v>
          </cell>
          <cell r="N615">
            <v>0.59854391398996798</v>
          </cell>
        </row>
        <row r="616">
          <cell r="A616">
            <v>2031</v>
          </cell>
          <cell r="B616" t="str">
            <v>Graphite</v>
          </cell>
          <cell r="C616" t="str">
            <v>Global Net-zero</v>
          </cell>
          <cell r="D616" t="str">
            <v>Production potential</v>
          </cell>
          <cell r="E616" t="str">
            <v>100% CAN</v>
          </cell>
          <cell r="F616" t="str">
            <v>Integrated</v>
          </cell>
          <cell r="G616">
            <v>2047.251252746828</v>
          </cell>
          <cell r="H616">
            <v>99848</v>
          </cell>
          <cell r="I616">
            <v>32949.839999999997</v>
          </cell>
          <cell r="J616">
            <v>26813.572724070327</v>
          </cell>
          <cell r="K616">
            <v>0</v>
          </cell>
          <cell r="M616">
            <v>0</v>
          </cell>
          <cell r="N616">
            <v>0.59854391398996798</v>
          </cell>
        </row>
        <row r="617">
          <cell r="A617">
            <v>2031</v>
          </cell>
          <cell r="B617" t="str">
            <v>Lithium</v>
          </cell>
          <cell r="C617" t="str">
            <v>Canada Net-zero</v>
          </cell>
          <cell r="D617" t="str">
            <v>Existing production</v>
          </cell>
          <cell r="E617" t="str">
            <v>Current shares</v>
          </cell>
          <cell r="F617" t="str">
            <v>NIMBY</v>
          </cell>
          <cell r="G617">
            <v>36619.276210392578</v>
          </cell>
          <cell r="H617">
            <v>0</v>
          </cell>
          <cell r="I617">
            <v>0</v>
          </cell>
          <cell r="J617">
            <v>0</v>
          </cell>
          <cell r="K617">
            <v>52313.251729132258</v>
          </cell>
          <cell r="M617">
            <v>36619.276210392578</v>
          </cell>
          <cell r="N617">
            <v>0.787554996857322</v>
          </cell>
        </row>
        <row r="618">
          <cell r="A618">
            <v>2031</v>
          </cell>
          <cell r="B618" t="str">
            <v>Lithium</v>
          </cell>
          <cell r="C618" t="str">
            <v>Canada Net-zero</v>
          </cell>
          <cell r="D618" t="str">
            <v>Existing production</v>
          </cell>
          <cell r="E618" t="str">
            <v>Current shares</v>
          </cell>
          <cell r="F618" t="str">
            <v>Status Quo</v>
          </cell>
          <cell r="G618">
            <v>36619.276210392578</v>
          </cell>
          <cell r="H618">
            <v>38166</v>
          </cell>
          <cell r="I618">
            <v>26684.54019296246</v>
          </cell>
          <cell r="J618">
            <v>3373.2838170940922</v>
          </cell>
          <cell r="K618">
            <v>14147.25172913226</v>
          </cell>
          <cell r="M618">
            <v>6561.4522003360253</v>
          </cell>
          <cell r="N618">
            <v>0.787554996857322</v>
          </cell>
        </row>
        <row r="619">
          <cell r="A619">
            <v>2031</v>
          </cell>
          <cell r="B619" t="str">
            <v>Lithium</v>
          </cell>
          <cell r="C619" t="str">
            <v>Canada Net-zero</v>
          </cell>
          <cell r="D619" t="str">
            <v>Production potential</v>
          </cell>
          <cell r="E619" t="str">
            <v>Current shares</v>
          </cell>
          <cell r="F619" t="str">
            <v>Expansion Extractive</v>
          </cell>
          <cell r="G619">
            <v>36619.276210392578</v>
          </cell>
          <cell r="H619">
            <v>144924</v>
          </cell>
          <cell r="I619">
            <v>101326.5813269636</v>
          </cell>
          <cell r="J619">
            <v>12809.039037586932</v>
          </cell>
          <cell r="K619">
            <v>0</v>
          </cell>
          <cell r="M619">
            <v>0</v>
          </cell>
          <cell r="N619">
            <v>0.787554996857322</v>
          </cell>
        </row>
        <row r="620">
          <cell r="A620">
            <v>2031</v>
          </cell>
          <cell r="B620" t="str">
            <v>Lithium</v>
          </cell>
          <cell r="C620" t="str">
            <v>Canada Net-zero</v>
          </cell>
          <cell r="D620" t="str">
            <v>Production potential</v>
          </cell>
          <cell r="E620" t="str">
            <v>Current shares</v>
          </cell>
          <cell r="F620" t="str">
            <v>Expansion Extractive+Circularity</v>
          </cell>
          <cell r="G620">
            <v>36619.276210392578</v>
          </cell>
          <cell r="H620">
            <v>144924</v>
          </cell>
          <cell r="I620">
            <v>101326.5813269636</v>
          </cell>
          <cell r="J620">
            <v>12809.039037586932</v>
          </cell>
          <cell r="K620">
            <v>0</v>
          </cell>
          <cell r="M620">
            <v>0</v>
          </cell>
          <cell r="N620">
            <v>0.787554996857322</v>
          </cell>
        </row>
        <row r="621">
          <cell r="A621">
            <v>2031</v>
          </cell>
          <cell r="B621" t="str">
            <v>Lithium</v>
          </cell>
          <cell r="C621" t="str">
            <v>Canada Net-zero</v>
          </cell>
          <cell r="D621" t="str">
            <v>Production potential</v>
          </cell>
          <cell r="E621" t="str">
            <v>100% CAN</v>
          </cell>
          <cell r="F621" t="str">
            <v>Integrated</v>
          </cell>
          <cell r="G621">
            <v>36619.276210392578</v>
          </cell>
          <cell r="H621">
            <v>144924</v>
          </cell>
          <cell r="I621">
            <v>101326.5813269636</v>
          </cell>
          <cell r="J621">
            <v>12809.039037586932</v>
          </cell>
          <cell r="K621">
            <v>0</v>
          </cell>
          <cell r="M621">
            <v>0</v>
          </cell>
          <cell r="N621">
            <v>0.787554996857322</v>
          </cell>
        </row>
        <row r="622">
          <cell r="A622">
            <v>2031</v>
          </cell>
          <cell r="B622" t="str">
            <v>Lithium</v>
          </cell>
          <cell r="C622" t="str">
            <v>Current Measures</v>
          </cell>
          <cell r="D622" t="str">
            <v>Existing production</v>
          </cell>
          <cell r="E622" t="str">
            <v>Current shares</v>
          </cell>
          <cell r="F622" t="str">
            <v>NIMBY</v>
          </cell>
          <cell r="G622">
            <v>15933.093445224329</v>
          </cell>
          <cell r="H622">
            <v>0</v>
          </cell>
          <cell r="I622">
            <v>0</v>
          </cell>
          <cell r="J622">
            <v>0</v>
          </cell>
          <cell r="K622">
            <v>22761.562064606191</v>
          </cell>
          <cell r="M622">
            <v>15933.093445224329</v>
          </cell>
          <cell r="N622">
            <v>0.787554996857322</v>
          </cell>
        </row>
        <row r="623">
          <cell r="A623">
            <v>2031</v>
          </cell>
          <cell r="B623" t="str">
            <v>Lithium</v>
          </cell>
          <cell r="C623" t="str">
            <v>Current Measures</v>
          </cell>
          <cell r="D623" t="str">
            <v>Existing production</v>
          </cell>
          <cell r="E623" t="str">
            <v>Current shares</v>
          </cell>
          <cell r="F623" t="str">
            <v>Status Quo</v>
          </cell>
          <cell r="G623">
            <v>15933.093445224329</v>
          </cell>
          <cell r="H623">
            <v>38166</v>
          </cell>
          <cell r="I623">
            <v>26684.54019296246</v>
          </cell>
          <cell r="J623">
            <v>3373.2838170940922</v>
          </cell>
          <cell r="K623">
            <v>0</v>
          </cell>
          <cell r="M623">
            <v>0</v>
          </cell>
          <cell r="N623">
            <v>0.787554996857322</v>
          </cell>
        </row>
        <row r="624">
          <cell r="A624">
            <v>2031</v>
          </cell>
          <cell r="B624" t="str">
            <v>Lithium</v>
          </cell>
          <cell r="C624" t="str">
            <v>Current Measures</v>
          </cell>
          <cell r="D624" t="str">
            <v>Production potential</v>
          </cell>
          <cell r="E624" t="str">
            <v>Current shares</v>
          </cell>
          <cell r="F624" t="str">
            <v>Expansion Extractive</v>
          </cell>
          <cell r="G624">
            <v>15933.093445224329</v>
          </cell>
          <cell r="H624">
            <v>144924</v>
          </cell>
          <cell r="I624">
            <v>101326.5813269636</v>
          </cell>
          <cell r="J624">
            <v>12809.039037586932</v>
          </cell>
          <cell r="K624">
            <v>0</v>
          </cell>
          <cell r="M624">
            <v>0</v>
          </cell>
          <cell r="N624">
            <v>0.787554996857322</v>
          </cell>
        </row>
        <row r="625">
          <cell r="A625">
            <v>2031</v>
          </cell>
          <cell r="B625" t="str">
            <v>Lithium</v>
          </cell>
          <cell r="C625" t="str">
            <v>Current Measures</v>
          </cell>
          <cell r="D625" t="str">
            <v>Production potential</v>
          </cell>
          <cell r="E625" t="str">
            <v>Current shares</v>
          </cell>
          <cell r="F625" t="str">
            <v>Expansion Extractive+Circularity</v>
          </cell>
          <cell r="G625">
            <v>15933.093445224329</v>
          </cell>
          <cell r="H625">
            <v>144924</v>
          </cell>
          <cell r="I625">
            <v>101326.5813269636</v>
          </cell>
          <cell r="J625">
            <v>12809.039037586932</v>
          </cell>
          <cell r="K625">
            <v>0</v>
          </cell>
          <cell r="M625">
            <v>0</v>
          </cell>
          <cell r="N625">
            <v>0.787554996857322</v>
          </cell>
        </row>
        <row r="626">
          <cell r="A626">
            <v>2031</v>
          </cell>
          <cell r="B626" t="str">
            <v>Lithium</v>
          </cell>
          <cell r="C626" t="str">
            <v>Current Measures</v>
          </cell>
          <cell r="D626" t="str">
            <v>Production potential</v>
          </cell>
          <cell r="E626" t="str">
            <v>100% CAN</v>
          </cell>
          <cell r="F626" t="str">
            <v>Integrated</v>
          </cell>
          <cell r="G626">
            <v>15933.093445224329</v>
          </cell>
          <cell r="H626">
            <v>144924</v>
          </cell>
          <cell r="I626">
            <v>101326.5813269636</v>
          </cell>
          <cell r="J626">
            <v>12809.039037586932</v>
          </cell>
          <cell r="K626">
            <v>0</v>
          </cell>
          <cell r="M626">
            <v>0</v>
          </cell>
          <cell r="N626">
            <v>0.787554996857322</v>
          </cell>
        </row>
        <row r="627">
          <cell r="A627">
            <v>2031</v>
          </cell>
          <cell r="B627" t="str">
            <v>Lithium</v>
          </cell>
          <cell r="C627" t="str">
            <v>Global Net-zero</v>
          </cell>
          <cell r="D627" t="str">
            <v>Existing production</v>
          </cell>
          <cell r="E627" t="str">
            <v>Current shares</v>
          </cell>
          <cell r="F627" t="str">
            <v>NIMBY</v>
          </cell>
          <cell r="G627">
            <v>34709.732425890121</v>
          </cell>
          <cell r="H627">
            <v>0</v>
          </cell>
          <cell r="I627">
            <v>0</v>
          </cell>
          <cell r="J627">
            <v>0</v>
          </cell>
          <cell r="K627">
            <v>49585.332036985892</v>
          </cell>
          <cell r="M627">
            <v>34709.732425890121</v>
          </cell>
          <cell r="N627">
            <v>0.787554996857322</v>
          </cell>
        </row>
        <row r="628">
          <cell r="A628">
            <v>2031</v>
          </cell>
          <cell r="B628" t="str">
            <v>Lithium</v>
          </cell>
          <cell r="C628" t="str">
            <v>Global Net-zero</v>
          </cell>
          <cell r="D628" t="str">
            <v>Existing production</v>
          </cell>
          <cell r="E628" t="str">
            <v>Current shares</v>
          </cell>
          <cell r="F628" t="str">
            <v>Status Quo</v>
          </cell>
          <cell r="G628">
            <v>34709.732425890121</v>
          </cell>
          <cell r="H628">
            <v>38166</v>
          </cell>
          <cell r="I628">
            <v>26684.54019296246</v>
          </cell>
          <cell r="J628">
            <v>3373.2838170940922</v>
          </cell>
          <cell r="K628">
            <v>11419.33203698589</v>
          </cell>
          <cell r="M628">
            <v>4651.9084158335681</v>
          </cell>
          <cell r="N628">
            <v>0.787554996857322</v>
          </cell>
        </row>
        <row r="629">
          <cell r="A629">
            <v>2031</v>
          </cell>
          <cell r="B629" t="str">
            <v>Lithium</v>
          </cell>
          <cell r="C629" t="str">
            <v>Global Net-zero</v>
          </cell>
          <cell r="D629" t="str">
            <v>Production potential</v>
          </cell>
          <cell r="E629" t="str">
            <v>Current shares</v>
          </cell>
          <cell r="F629" t="str">
            <v>Expansion Extractive</v>
          </cell>
          <cell r="G629">
            <v>34709.732425890121</v>
          </cell>
          <cell r="H629">
            <v>144924</v>
          </cell>
          <cell r="I629">
            <v>101326.5813269636</v>
          </cell>
          <cell r="J629">
            <v>12809.039037586932</v>
          </cell>
          <cell r="K629">
            <v>0</v>
          </cell>
          <cell r="M629">
            <v>0</v>
          </cell>
          <cell r="N629">
            <v>0.787554996857322</v>
          </cell>
        </row>
        <row r="630">
          <cell r="A630">
            <v>2031</v>
          </cell>
          <cell r="B630" t="str">
            <v>Lithium</v>
          </cell>
          <cell r="C630" t="str">
            <v>Global Net-zero</v>
          </cell>
          <cell r="D630" t="str">
            <v>Production potential</v>
          </cell>
          <cell r="E630" t="str">
            <v>Current shares</v>
          </cell>
          <cell r="F630" t="str">
            <v>Expansion Extractive+Circularity</v>
          </cell>
          <cell r="G630">
            <v>34709.732425890121</v>
          </cell>
          <cell r="H630">
            <v>144924</v>
          </cell>
          <cell r="I630">
            <v>101326.5813269636</v>
          </cell>
          <cell r="J630">
            <v>12809.039037586932</v>
          </cell>
          <cell r="K630">
            <v>0</v>
          </cell>
          <cell r="M630">
            <v>0</v>
          </cell>
          <cell r="N630">
            <v>0.787554996857322</v>
          </cell>
        </row>
        <row r="631">
          <cell r="A631">
            <v>2031</v>
          </cell>
          <cell r="B631" t="str">
            <v>Lithium</v>
          </cell>
          <cell r="C631" t="str">
            <v>Global Net-zero</v>
          </cell>
          <cell r="D631" t="str">
            <v>Production potential</v>
          </cell>
          <cell r="E631" t="str">
            <v>100% CAN</v>
          </cell>
          <cell r="F631" t="str">
            <v>Integrated</v>
          </cell>
          <cell r="G631">
            <v>34709.732425890121</v>
          </cell>
          <cell r="H631">
            <v>144924</v>
          </cell>
          <cell r="I631">
            <v>101326.5813269636</v>
          </cell>
          <cell r="J631">
            <v>12809.039037586932</v>
          </cell>
          <cell r="K631">
            <v>0</v>
          </cell>
          <cell r="M631">
            <v>0</v>
          </cell>
          <cell r="N631">
            <v>0.787554996857322</v>
          </cell>
        </row>
        <row r="632">
          <cell r="A632">
            <v>2032</v>
          </cell>
          <cell r="B632" t="str">
            <v>Cobalt</v>
          </cell>
          <cell r="C632" t="str">
            <v>Canada Net-zero</v>
          </cell>
          <cell r="D632" t="str">
            <v>Existing production</v>
          </cell>
          <cell r="E632" t="str">
            <v>Current shares</v>
          </cell>
          <cell r="F632" t="str">
            <v>NIMBY</v>
          </cell>
          <cell r="G632">
            <v>92402.4738250386</v>
          </cell>
          <cell r="H632">
            <v>0</v>
          </cell>
          <cell r="I632">
            <v>0</v>
          </cell>
          <cell r="J632">
            <v>0</v>
          </cell>
          <cell r="K632">
            <v>210005.62232963319</v>
          </cell>
          <cell r="M632">
            <v>92402.4738250386</v>
          </cell>
          <cell r="N632">
            <v>0.439346565686978</v>
          </cell>
        </row>
        <row r="633">
          <cell r="A633">
            <v>2032</v>
          </cell>
          <cell r="B633" t="str">
            <v>Cobalt</v>
          </cell>
          <cell r="C633" t="str">
            <v>Canada Net-zero</v>
          </cell>
          <cell r="D633" t="str">
            <v>Existing production</v>
          </cell>
          <cell r="E633" t="str">
            <v>Current shares</v>
          </cell>
          <cell r="F633" t="str">
            <v>Status Quo</v>
          </cell>
          <cell r="G633">
            <v>92402.4738250386</v>
          </cell>
          <cell r="H633">
            <v>3392</v>
          </cell>
          <cell r="I633">
            <v>1438.824761843257</v>
          </cell>
          <cell r="J633">
            <v>51.438788966972425</v>
          </cell>
          <cell r="K633">
            <v>206613.62232963319</v>
          </cell>
          <cell r="M633">
            <v>90912.210274228375</v>
          </cell>
          <cell r="N633">
            <v>0.439346565686978</v>
          </cell>
        </row>
        <row r="634">
          <cell r="A634">
            <v>2032</v>
          </cell>
          <cell r="B634" t="str">
            <v>Cobalt</v>
          </cell>
          <cell r="C634" t="str">
            <v>Canada Net-zero</v>
          </cell>
          <cell r="D634" t="str">
            <v>Production potential</v>
          </cell>
          <cell r="E634" t="str">
            <v>Current shares</v>
          </cell>
          <cell r="F634" t="str">
            <v>Expansion Extractive</v>
          </cell>
          <cell r="G634">
            <v>92402.4738250386</v>
          </cell>
          <cell r="H634">
            <v>10201.72293008911</v>
          </cell>
          <cell r="I634">
            <v>4327.3854850460966</v>
          </cell>
          <cell r="J634">
            <v>154.70644837864802</v>
          </cell>
          <cell r="K634">
            <v>199803.89939954411</v>
          </cell>
          <cell r="M634">
            <v>87920.381891613855</v>
          </cell>
          <cell r="N634">
            <v>0.439346565686978</v>
          </cell>
        </row>
        <row r="635">
          <cell r="A635">
            <v>2032</v>
          </cell>
          <cell r="B635" t="str">
            <v>Cobalt</v>
          </cell>
          <cell r="C635" t="str">
            <v>Canada Net-zero</v>
          </cell>
          <cell r="D635" t="str">
            <v>Production potential</v>
          </cell>
          <cell r="E635" t="str">
            <v>Current shares</v>
          </cell>
          <cell r="F635" t="str">
            <v>Expansion Extractive+Circularity</v>
          </cell>
          <cell r="G635">
            <v>92402.4738250386</v>
          </cell>
          <cell r="H635">
            <v>10201.72293008911</v>
          </cell>
          <cell r="I635">
            <v>4327.3854850460966</v>
          </cell>
          <cell r="J635">
            <v>154.70644837864802</v>
          </cell>
          <cell r="K635">
            <v>199803.89939954411</v>
          </cell>
          <cell r="M635">
            <v>87920.381891613855</v>
          </cell>
          <cell r="N635">
            <v>0.439346565686978</v>
          </cell>
        </row>
        <row r="636">
          <cell r="A636">
            <v>2032</v>
          </cell>
          <cell r="B636" t="str">
            <v>Cobalt</v>
          </cell>
          <cell r="C636" t="str">
            <v>Canada Net-zero</v>
          </cell>
          <cell r="D636" t="str">
            <v>Production potential</v>
          </cell>
          <cell r="E636" t="str">
            <v>100% CAN</v>
          </cell>
          <cell r="F636" t="str">
            <v>Integrated</v>
          </cell>
          <cell r="G636">
            <v>92402.4738250386</v>
          </cell>
          <cell r="H636">
            <v>10201.72293008911</v>
          </cell>
          <cell r="I636">
            <v>4482.0919334247501</v>
          </cell>
          <cell r="J636">
            <v>0</v>
          </cell>
          <cell r="K636">
            <v>199803.89939954411</v>
          </cell>
          <cell r="M636">
            <v>87920.381891613855</v>
          </cell>
          <cell r="N636">
            <v>0.439346565686978</v>
          </cell>
        </row>
        <row r="637">
          <cell r="A637">
            <v>2032</v>
          </cell>
          <cell r="B637" t="str">
            <v>Cobalt</v>
          </cell>
          <cell r="C637" t="str">
            <v>Current Measures</v>
          </cell>
          <cell r="D637" t="str">
            <v>Existing production</v>
          </cell>
          <cell r="E637" t="str">
            <v>Current shares</v>
          </cell>
          <cell r="F637" t="str">
            <v>NIMBY</v>
          </cell>
          <cell r="G637">
            <v>38753.635859275622</v>
          </cell>
          <cell r="H637">
            <v>0</v>
          </cell>
          <cell r="I637">
            <v>0</v>
          </cell>
          <cell r="J637">
            <v>0</v>
          </cell>
          <cell r="K637">
            <v>88076.445134717316</v>
          </cell>
          <cell r="M637">
            <v>38753.635859275622</v>
          </cell>
          <cell r="N637">
            <v>0.439346565686978</v>
          </cell>
        </row>
        <row r="638">
          <cell r="A638">
            <v>2032</v>
          </cell>
          <cell r="B638" t="str">
            <v>Cobalt</v>
          </cell>
          <cell r="C638" t="str">
            <v>Current Measures</v>
          </cell>
          <cell r="D638" t="str">
            <v>Existing production</v>
          </cell>
          <cell r="E638" t="str">
            <v>Current shares</v>
          </cell>
          <cell r="F638" t="str">
            <v>Status Quo</v>
          </cell>
          <cell r="G638">
            <v>38753.635859275622</v>
          </cell>
          <cell r="H638">
            <v>3392</v>
          </cell>
          <cell r="I638">
            <v>1438.824761843257</v>
          </cell>
          <cell r="J638">
            <v>51.438788966972425</v>
          </cell>
          <cell r="K638">
            <v>84684.445134717316</v>
          </cell>
          <cell r="M638">
            <v>37263.372308465383</v>
          </cell>
          <cell r="N638">
            <v>0.439346565686978</v>
          </cell>
        </row>
        <row r="639">
          <cell r="A639">
            <v>2032</v>
          </cell>
          <cell r="B639" t="str">
            <v>Cobalt</v>
          </cell>
          <cell r="C639" t="str">
            <v>Current Measures</v>
          </cell>
          <cell r="D639" t="str">
            <v>Production potential</v>
          </cell>
          <cell r="E639" t="str">
            <v>Current shares</v>
          </cell>
          <cell r="F639" t="str">
            <v>Expansion Extractive</v>
          </cell>
          <cell r="G639">
            <v>38753.635859275622</v>
          </cell>
          <cell r="H639">
            <v>10201.72293008911</v>
          </cell>
          <cell r="I639">
            <v>4327.3854850460966</v>
          </cell>
          <cell r="J639">
            <v>154.70644837864802</v>
          </cell>
          <cell r="K639">
            <v>77874.722204628197</v>
          </cell>
          <cell r="M639">
            <v>34271.543925850878</v>
          </cell>
          <cell r="N639">
            <v>0.439346565686978</v>
          </cell>
        </row>
        <row r="640">
          <cell r="A640">
            <v>2032</v>
          </cell>
          <cell r="B640" t="str">
            <v>Cobalt</v>
          </cell>
          <cell r="C640" t="str">
            <v>Current Measures</v>
          </cell>
          <cell r="D640" t="str">
            <v>Production potential</v>
          </cell>
          <cell r="E640" t="str">
            <v>Current shares</v>
          </cell>
          <cell r="F640" t="str">
            <v>Expansion Extractive+Circularity</v>
          </cell>
          <cell r="G640">
            <v>38753.635859275622</v>
          </cell>
          <cell r="H640">
            <v>10201.72293008911</v>
          </cell>
          <cell r="I640">
            <v>4327.3854850460966</v>
          </cell>
          <cell r="J640">
            <v>154.70644837864802</v>
          </cell>
          <cell r="K640">
            <v>77874.722204628197</v>
          </cell>
          <cell r="M640">
            <v>34271.543925850878</v>
          </cell>
          <cell r="N640">
            <v>0.439346565686978</v>
          </cell>
        </row>
        <row r="641">
          <cell r="A641">
            <v>2032</v>
          </cell>
          <cell r="B641" t="str">
            <v>Cobalt</v>
          </cell>
          <cell r="C641" t="str">
            <v>Current Measures</v>
          </cell>
          <cell r="D641" t="str">
            <v>Production potential</v>
          </cell>
          <cell r="E641" t="str">
            <v>100% CAN</v>
          </cell>
          <cell r="F641" t="str">
            <v>Integrated</v>
          </cell>
          <cell r="G641">
            <v>38753.635859275622</v>
          </cell>
          <cell r="H641">
            <v>10201.72293008911</v>
          </cell>
          <cell r="I641">
            <v>4482.0919334247501</v>
          </cell>
          <cell r="J641">
            <v>0</v>
          </cell>
          <cell r="K641">
            <v>77874.722204628197</v>
          </cell>
          <cell r="M641">
            <v>34271.54392585087</v>
          </cell>
          <cell r="N641">
            <v>0.439346565686978</v>
          </cell>
        </row>
        <row r="642">
          <cell r="A642">
            <v>2032</v>
          </cell>
          <cell r="B642" t="str">
            <v>Cobalt</v>
          </cell>
          <cell r="C642" t="str">
            <v>Global Net-zero</v>
          </cell>
          <cell r="D642" t="str">
            <v>Existing production</v>
          </cell>
          <cell r="E642" t="str">
            <v>Current shares</v>
          </cell>
          <cell r="F642" t="str">
            <v>NIMBY</v>
          </cell>
          <cell r="G642">
            <v>87567.768233932453</v>
          </cell>
          <cell r="H642">
            <v>0</v>
          </cell>
          <cell r="I642">
            <v>0</v>
          </cell>
          <cell r="J642">
            <v>0</v>
          </cell>
          <cell r="K642">
            <v>199017.65507711921</v>
          </cell>
          <cell r="M642">
            <v>87567.768233932453</v>
          </cell>
          <cell r="N642">
            <v>0.439346565686978</v>
          </cell>
        </row>
        <row r="643">
          <cell r="A643">
            <v>2032</v>
          </cell>
          <cell r="B643" t="str">
            <v>Cobalt</v>
          </cell>
          <cell r="C643" t="str">
            <v>Global Net-zero</v>
          </cell>
          <cell r="D643" t="str">
            <v>Existing production</v>
          </cell>
          <cell r="E643" t="str">
            <v>Current shares</v>
          </cell>
          <cell r="F643" t="str">
            <v>Status Quo</v>
          </cell>
          <cell r="G643">
            <v>87567.768233932453</v>
          </cell>
          <cell r="H643">
            <v>3392</v>
          </cell>
          <cell r="I643">
            <v>1438.824761843257</v>
          </cell>
          <cell r="J643">
            <v>51.438788966972425</v>
          </cell>
          <cell r="K643">
            <v>195625.65507711921</v>
          </cell>
          <cell r="M643">
            <v>86077.504683122228</v>
          </cell>
          <cell r="N643">
            <v>0.439346565686978</v>
          </cell>
        </row>
        <row r="644">
          <cell r="A644">
            <v>2032</v>
          </cell>
          <cell r="B644" t="str">
            <v>Cobalt</v>
          </cell>
          <cell r="C644" t="str">
            <v>Global Net-zero</v>
          </cell>
          <cell r="D644" t="str">
            <v>Production potential</v>
          </cell>
          <cell r="E644" t="str">
            <v>Current shares</v>
          </cell>
          <cell r="F644" t="str">
            <v>Expansion Extractive</v>
          </cell>
          <cell r="G644">
            <v>87567.768233932453</v>
          </cell>
          <cell r="H644">
            <v>10201.72293008911</v>
          </cell>
          <cell r="I644">
            <v>4327.3854850460966</v>
          </cell>
          <cell r="J644">
            <v>154.70644837864802</v>
          </cell>
          <cell r="K644">
            <v>188815.93214703011</v>
          </cell>
          <cell r="M644">
            <v>83085.676300507708</v>
          </cell>
          <cell r="N644">
            <v>0.439346565686978</v>
          </cell>
        </row>
        <row r="645">
          <cell r="A645">
            <v>2032</v>
          </cell>
          <cell r="B645" t="str">
            <v>Cobalt</v>
          </cell>
          <cell r="C645" t="str">
            <v>Global Net-zero</v>
          </cell>
          <cell r="D645" t="str">
            <v>Production potential</v>
          </cell>
          <cell r="E645" t="str">
            <v>Current shares</v>
          </cell>
          <cell r="F645" t="str">
            <v>Expansion Extractive+Circularity</v>
          </cell>
          <cell r="G645">
            <v>87567.768233932453</v>
          </cell>
          <cell r="H645">
            <v>10201.72293008911</v>
          </cell>
          <cell r="I645">
            <v>4327.3854850460966</v>
          </cell>
          <cell r="J645">
            <v>154.70644837864802</v>
          </cell>
          <cell r="K645">
            <v>188815.93214703011</v>
          </cell>
          <cell r="M645">
            <v>83085.676300507708</v>
          </cell>
          <cell r="N645">
            <v>0.439346565686978</v>
          </cell>
        </row>
        <row r="646">
          <cell r="A646">
            <v>2032</v>
          </cell>
          <cell r="B646" t="str">
            <v>Cobalt</v>
          </cell>
          <cell r="C646" t="str">
            <v>Global Net-zero</v>
          </cell>
          <cell r="D646" t="str">
            <v>Production potential</v>
          </cell>
          <cell r="E646" t="str">
            <v>100% CAN</v>
          </cell>
          <cell r="F646" t="str">
            <v>Integrated</v>
          </cell>
          <cell r="G646">
            <v>87567.768233932453</v>
          </cell>
          <cell r="H646">
            <v>10201.72293008911</v>
          </cell>
          <cell r="I646">
            <v>4482.0919334247501</v>
          </cell>
          <cell r="J646">
            <v>0</v>
          </cell>
          <cell r="K646">
            <v>188815.93214703011</v>
          </cell>
          <cell r="M646">
            <v>83085.676300507708</v>
          </cell>
          <cell r="N646">
            <v>0.439346565686978</v>
          </cell>
        </row>
        <row r="647">
          <cell r="A647">
            <v>2032</v>
          </cell>
          <cell r="B647" t="str">
            <v>Copper</v>
          </cell>
          <cell r="C647" t="str">
            <v>Canada Net-zero</v>
          </cell>
          <cell r="D647" t="str">
            <v>Existing production</v>
          </cell>
          <cell r="E647" t="str">
            <v>Current shares</v>
          </cell>
          <cell r="F647" t="str">
            <v>NIMBY</v>
          </cell>
          <cell r="G647">
            <v>1157294.299877228</v>
          </cell>
          <cell r="H647">
            <v>0</v>
          </cell>
          <cell r="I647">
            <v>0</v>
          </cell>
          <cell r="J647">
            <v>0</v>
          </cell>
          <cell r="K647">
            <v>1394330.481779793</v>
          </cell>
          <cell r="M647">
            <v>1157294.299877228</v>
          </cell>
          <cell r="N647">
            <v>0.83474576271186396</v>
          </cell>
        </row>
        <row r="648">
          <cell r="A648">
            <v>2032</v>
          </cell>
          <cell r="B648" t="str">
            <v>Copper</v>
          </cell>
          <cell r="C648" t="str">
            <v>Canada Net-zero</v>
          </cell>
          <cell r="D648" t="str">
            <v>Existing production</v>
          </cell>
          <cell r="E648" t="str">
            <v>Current shares</v>
          </cell>
          <cell r="F648" t="str">
            <v>Status Quo</v>
          </cell>
          <cell r="G648">
            <v>1157294.299877228</v>
          </cell>
          <cell r="H648">
            <v>309453</v>
          </cell>
          <cell r="I648">
            <v>162651.1851674339</v>
          </cell>
          <cell r="J648">
            <v>95663.395341040537</v>
          </cell>
          <cell r="K648">
            <v>1084877.481779793</v>
          </cell>
          <cell r="M648">
            <v>898979.71936875349</v>
          </cell>
          <cell r="N648">
            <v>0.83474576271186396</v>
          </cell>
        </row>
        <row r="649">
          <cell r="A649">
            <v>2032</v>
          </cell>
          <cell r="B649" t="str">
            <v>Copper</v>
          </cell>
          <cell r="C649" t="str">
            <v>Canada Net-zero</v>
          </cell>
          <cell r="D649" t="str">
            <v>Production potential</v>
          </cell>
          <cell r="E649" t="str">
            <v>Current shares</v>
          </cell>
          <cell r="F649" t="str">
            <v>Expansion Extractive</v>
          </cell>
          <cell r="G649">
            <v>1157294.299877228</v>
          </cell>
          <cell r="H649">
            <v>758265.43720270914</v>
          </cell>
          <cell r="I649">
            <v>398550.90121124388</v>
          </cell>
          <cell r="J649">
            <v>234407.95950457657</v>
          </cell>
          <cell r="K649">
            <v>636065.04457708367</v>
          </cell>
          <cell r="M649">
            <v>524335.43916140753</v>
          </cell>
          <cell r="N649">
            <v>0.83474576271186396</v>
          </cell>
        </row>
        <row r="650">
          <cell r="A650">
            <v>2032</v>
          </cell>
          <cell r="B650" t="str">
            <v>Copper</v>
          </cell>
          <cell r="C650" t="str">
            <v>Canada Net-zero</v>
          </cell>
          <cell r="D650" t="str">
            <v>Production potential</v>
          </cell>
          <cell r="E650" t="str">
            <v>Current shares</v>
          </cell>
          <cell r="F650" t="str">
            <v>Expansion Extractive+Circularity</v>
          </cell>
          <cell r="G650">
            <v>1157294.299877228</v>
          </cell>
          <cell r="H650">
            <v>758265.43720270914</v>
          </cell>
          <cell r="I650">
            <v>398550.90121124388</v>
          </cell>
          <cell r="J650">
            <v>234407.95950457657</v>
          </cell>
          <cell r="K650">
            <v>636065.04457708367</v>
          </cell>
          <cell r="M650">
            <v>524335.43916140753</v>
          </cell>
          <cell r="N650">
            <v>0.83474576271186396</v>
          </cell>
        </row>
        <row r="651">
          <cell r="A651">
            <v>2032</v>
          </cell>
          <cell r="B651" t="str">
            <v>Copper</v>
          </cell>
          <cell r="C651" t="str">
            <v>Canada Net-zero</v>
          </cell>
          <cell r="D651" t="str">
            <v>Production potential</v>
          </cell>
          <cell r="E651" t="str">
            <v>100% CAN</v>
          </cell>
          <cell r="F651" t="str">
            <v>Integrated</v>
          </cell>
          <cell r="G651">
            <v>1157294.299877228</v>
          </cell>
          <cell r="H651">
            <v>758265.43720270914</v>
          </cell>
          <cell r="I651">
            <v>632958.8607158208</v>
          </cell>
          <cell r="J651">
            <v>0</v>
          </cell>
          <cell r="K651">
            <v>636065.04457708367</v>
          </cell>
          <cell r="M651">
            <v>524335.43916140718</v>
          </cell>
          <cell r="N651">
            <v>0.83474576271186396</v>
          </cell>
        </row>
        <row r="652">
          <cell r="A652">
            <v>2032</v>
          </cell>
          <cell r="B652" t="str">
            <v>Copper</v>
          </cell>
          <cell r="C652" t="str">
            <v>Current Measures</v>
          </cell>
          <cell r="D652" t="str">
            <v>Existing production</v>
          </cell>
          <cell r="E652" t="str">
            <v>Current shares</v>
          </cell>
          <cell r="F652" t="str">
            <v>NIMBY</v>
          </cell>
          <cell r="G652">
            <v>989816.62019349821</v>
          </cell>
          <cell r="H652">
            <v>0</v>
          </cell>
          <cell r="I652">
            <v>0</v>
          </cell>
          <cell r="J652">
            <v>0</v>
          </cell>
          <cell r="K652">
            <v>1192550.144811444</v>
          </cell>
          <cell r="M652">
            <v>989816.62019349821</v>
          </cell>
          <cell r="N652">
            <v>0.83474576271186396</v>
          </cell>
        </row>
        <row r="653">
          <cell r="A653">
            <v>2032</v>
          </cell>
          <cell r="B653" t="str">
            <v>Copper</v>
          </cell>
          <cell r="C653" t="str">
            <v>Current Measures</v>
          </cell>
          <cell r="D653" t="str">
            <v>Existing production</v>
          </cell>
          <cell r="E653" t="str">
            <v>Current shares</v>
          </cell>
          <cell r="F653" t="str">
            <v>Status Quo</v>
          </cell>
          <cell r="G653">
            <v>989816.62019349821</v>
          </cell>
          <cell r="H653">
            <v>309453</v>
          </cell>
          <cell r="I653">
            <v>162651.1851674339</v>
          </cell>
          <cell r="J653">
            <v>95663.395341040537</v>
          </cell>
          <cell r="K653">
            <v>883097.14481144375</v>
          </cell>
          <cell r="M653">
            <v>731502.03968502372</v>
          </cell>
          <cell r="N653">
            <v>0.83474576271186396</v>
          </cell>
        </row>
        <row r="654">
          <cell r="A654">
            <v>2032</v>
          </cell>
          <cell r="B654" t="str">
            <v>Copper</v>
          </cell>
          <cell r="C654" t="str">
            <v>Current Measures</v>
          </cell>
          <cell r="D654" t="str">
            <v>Production potential</v>
          </cell>
          <cell r="E654" t="str">
            <v>Current shares</v>
          </cell>
          <cell r="F654" t="str">
            <v>Expansion Extractive</v>
          </cell>
          <cell r="G654">
            <v>989816.62019349821</v>
          </cell>
          <cell r="H654">
            <v>758265.43720270914</v>
          </cell>
          <cell r="I654">
            <v>398550.90121124388</v>
          </cell>
          <cell r="J654">
            <v>234407.95950457657</v>
          </cell>
          <cell r="K654">
            <v>434284.70760873461</v>
          </cell>
          <cell r="M654">
            <v>356857.7594776777</v>
          </cell>
          <cell r="N654">
            <v>0.83474576271186396</v>
          </cell>
        </row>
        <row r="655">
          <cell r="A655">
            <v>2032</v>
          </cell>
          <cell r="B655" t="str">
            <v>Copper</v>
          </cell>
          <cell r="C655" t="str">
            <v>Current Measures</v>
          </cell>
          <cell r="D655" t="str">
            <v>Production potential</v>
          </cell>
          <cell r="E655" t="str">
            <v>Current shares</v>
          </cell>
          <cell r="F655" t="str">
            <v>Expansion Extractive+Circularity</v>
          </cell>
          <cell r="G655">
            <v>989816.62019349821</v>
          </cell>
          <cell r="H655">
            <v>758265.43720270914</v>
          </cell>
          <cell r="I655">
            <v>398550.90121124388</v>
          </cell>
          <cell r="J655">
            <v>234407.95950457657</v>
          </cell>
          <cell r="K655">
            <v>434284.70760873461</v>
          </cell>
          <cell r="M655">
            <v>356857.7594776777</v>
          </cell>
          <cell r="N655">
            <v>0.83474576271186396</v>
          </cell>
        </row>
        <row r="656">
          <cell r="A656">
            <v>2032</v>
          </cell>
          <cell r="B656" t="str">
            <v>Copper</v>
          </cell>
          <cell r="C656" t="str">
            <v>Current Measures</v>
          </cell>
          <cell r="D656" t="str">
            <v>Production potential</v>
          </cell>
          <cell r="E656" t="str">
            <v>100% CAN</v>
          </cell>
          <cell r="F656" t="str">
            <v>Integrated</v>
          </cell>
          <cell r="G656">
            <v>989816.62019349821</v>
          </cell>
          <cell r="H656">
            <v>758265.43720270914</v>
          </cell>
          <cell r="I656">
            <v>632958.8607158208</v>
          </cell>
          <cell r="J656">
            <v>0</v>
          </cell>
          <cell r="K656">
            <v>434284.70760873461</v>
          </cell>
          <cell r="M656">
            <v>356857.75947767741</v>
          </cell>
          <cell r="N656">
            <v>0.83474576271186396</v>
          </cell>
        </row>
        <row r="657">
          <cell r="A657">
            <v>2032</v>
          </cell>
          <cell r="B657" t="str">
            <v>Copper</v>
          </cell>
          <cell r="C657" t="str">
            <v>Global Net-zero</v>
          </cell>
          <cell r="D657" t="str">
            <v>Existing production</v>
          </cell>
          <cell r="E657" t="str">
            <v>Current shares</v>
          </cell>
          <cell r="F657" t="str">
            <v>NIMBY</v>
          </cell>
          <cell r="G657">
            <v>1117400.391829256</v>
          </cell>
          <cell r="H657">
            <v>0</v>
          </cell>
          <cell r="I657">
            <v>0</v>
          </cell>
          <cell r="J657">
            <v>0</v>
          </cell>
          <cell r="K657">
            <v>1346265.5323244049</v>
          </cell>
          <cell r="M657">
            <v>1117400.391829256</v>
          </cell>
          <cell r="N657">
            <v>0.83474576271186396</v>
          </cell>
        </row>
        <row r="658">
          <cell r="A658">
            <v>2032</v>
          </cell>
          <cell r="B658" t="str">
            <v>Copper</v>
          </cell>
          <cell r="C658" t="str">
            <v>Global Net-zero</v>
          </cell>
          <cell r="D658" t="str">
            <v>Existing production</v>
          </cell>
          <cell r="E658" t="str">
            <v>Current shares</v>
          </cell>
          <cell r="F658" t="str">
            <v>Status Quo</v>
          </cell>
          <cell r="G658">
            <v>1117400.391829256</v>
          </cell>
          <cell r="H658">
            <v>309453</v>
          </cell>
          <cell r="I658">
            <v>162651.1851674339</v>
          </cell>
          <cell r="J658">
            <v>95663.395341040537</v>
          </cell>
          <cell r="K658">
            <v>1036812.532324405</v>
          </cell>
          <cell r="M658">
            <v>859085.81132078147</v>
          </cell>
          <cell r="N658">
            <v>0.83474576271186396</v>
          </cell>
        </row>
        <row r="659">
          <cell r="A659">
            <v>2032</v>
          </cell>
          <cell r="B659" t="str">
            <v>Copper</v>
          </cell>
          <cell r="C659" t="str">
            <v>Global Net-zero</v>
          </cell>
          <cell r="D659" t="str">
            <v>Production potential</v>
          </cell>
          <cell r="E659" t="str">
            <v>Current shares</v>
          </cell>
          <cell r="F659" t="str">
            <v>Expansion Extractive</v>
          </cell>
          <cell r="G659">
            <v>1117400.391829256</v>
          </cell>
          <cell r="H659">
            <v>758265.43720270914</v>
          </cell>
          <cell r="I659">
            <v>398550.90121124388</v>
          </cell>
          <cell r="J659">
            <v>234407.95950457657</v>
          </cell>
          <cell r="K659">
            <v>588000.09512169578</v>
          </cell>
          <cell r="M659">
            <v>484441.53111343546</v>
          </cell>
          <cell r="N659">
            <v>0.83474576271186396</v>
          </cell>
        </row>
        <row r="660">
          <cell r="A660">
            <v>2032</v>
          </cell>
          <cell r="B660" t="str">
            <v>Copper</v>
          </cell>
          <cell r="C660" t="str">
            <v>Global Net-zero</v>
          </cell>
          <cell r="D660" t="str">
            <v>Production potential</v>
          </cell>
          <cell r="E660" t="str">
            <v>Current shares</v>
          </cell>
          <cell r="F660" t="str">
            <v>Expansion Extractive+Circularity</v>
          </cell>
          <cell r="G660">
            <v>1117400.391829256</v>
          </cell>
          <cell r="H660">
            <v>758265.43720270914</v>
          </cell>
          <cell r="I660">
            <v>398550.90121124388</v>
          </cell>
          <cell r="J660">
            <v>234407.95950457657</v>
          </cell>
          <cell r="K660">
            <v>588000.09512169578</v>
          </cell>
          <cell r="M660">
            <v>484441.53111343546</v>
          </cell>
          <cell r="N660">
            <v>0.83474576271186396</v>
          </cell>
        </row>
        <row r="661">
          <cell r="A661">
            <v>2032</v>
          </cell>
          <cell r="B661" t="str">
            <v>Copper</v>
          </cell>
          <cell r="C661" t="str">
            <v>Global Net-zero</v>
          </cell>
          <cell r="D661" t="str">
            <v>Production potential</v>
          </cell>
          <cell r="E661" t="str">
            <v>100% CAN</v>
          </cell>
          <cell r="F661" t="str">
            <v>Integrated</v>
          </cell>
          <cell r="G661">
            <v>1117400.391829256</v>
          </cell>
          <cell r="H661">
            <v>758265.43720270914</v>
          </cell>
          <cell r="I661">
            <v>632958.8607158208</v>
          </cell>
          <cell r="J661">
            <v>0</v>
          </cell>
          <cell r="K661">
            <v>588000.09512169578</v>
          </cell>
          <cell r="M661">
            <v>484441.53111343522</v>
          </cell>
          <cell r="N661">
            <v>0.83474576271186396</v>
          </cell>
        </row>
        <row r="662">
          <cell r="A662">
            <v>2032</v>
          </cell>
          <cell r="B662" t="str">
            <v>Neodymium</v>
          </cell>
          <cell r="C662" t="str">
            <v>Canada Net-zero</v>
          </cell>
          <cell r="D662" t="str">
            <v>Existing production</v>
          </cell>
          <cell r="E662" t="str">
            <v>Current shares</v>
          </cell>
          <cell r="F662" t="str">
            <v>NIMBY</v>
          </cell>
          <cell r="G662">
            <v>3229.5787882307568</v>
          </cell>
          <cell r="H662">
            <v>0</v>
          </cell>
          <cell r="I662">
            <v>0</v>
          </cell>
          <cell r="J662">
            <v>0</v>
          </cell>
          <cell r="K662">
            <v>5382.6313137179286</v>
          </cell>
          <cell r="M662">
            <v>3229.5787882307568</v>
          </cell>
          <cell r="N662">
            <v>1</v>
          </cell>
        </row>
        <row r="663">
          <cell r="A663">
            <v>2032</v>
          </cell>
          <cell r="B663" t="str">
            <v>Neodymium</v>
          </cell>
          <cell r="C663" t="str">
            <v>Canada Net-zero</v>
          </cell>
          <cell r="D663" t="str">
            <v>Existing production</v>
          </cell>
          <cell r="E663" t="str">
            <v>Current shares</v>
          </cell>
          <cell r="F663" t="str">
            <v>Status Quo</v>
          </cell>
          <cell r="G663">
            <v>3229.5787882307568</v>
          </cell>
          <cell r="H663">
            <v>0</v>
          </cell>
          <cell r="I663">
            <v>0</v>
          </cell>
          <cell r="J663">
            <v>0</v>
          </cell>
          <cell r="K663">
            <v>5382.6313137179286</v>
          </cell>
          <cell r="M663">
            <v>3229.5787882307568</v>
          </cell>
          <cell r="N663">
            <v>1</v>
          </cell>
        </row>
        <row r="664">
          <cell r="A664">
            <v>2032</v>
          </cell>
          <cell r="B664" t="str">
            <v>Neodymium</v>
          </cell>
          <cell r="C664" t="str">
            <v>Canada Net-zero</v>
          </cell>
          <cell r="D664" t="str">
            <v>Production potential</v>
          </cell>
          <cell r="E664" t="str">
            <v>Current shares</v>
          </cell>
          <cell r="F664" t="str">
            <v>Expansion Extractive</v>
          </cell>
          <cell r="G664">
            <v>3229.5787882307568</v>
          </cell>
          <cell r="H664">
            <v>29.109663626080231</v>
          </cell>
          <cell r="I664">
            <v>17.42341200168546</v>
          </cell>
          <cell r="J664">
            <v>11.686251624394771</v>
          </cell>
          <cell r="K664">
            <v>5353.5216500918486</v>
          </cell>
          <cell r="M664">
            <v>3200.4691246046764</v>
          </cell>
          <cell r="N664">
            <v>1</v>
          </cell>
        </row>
        <row r="665">
          <cell r="A665">
            <v>2032</v>
          </cell>
          <cell r="B665" t="str">
            <v>Neodymium</v>
          </cell>
          <cell r="C665" t="str">
            <v>Canada Net-zero</v>
          </cell>
          <cell r="D665" t="str">
            <v>Production potential</v>
          </cell>
          <cell r="E665" t="str">
            <v>Current shares</v>
          </cell>
          <cell r="F665" t="str">
            <v>Expansion Extractive+Circularity</v>
          </cell>
          <cell r="G665">
            <v>3229.5787882307568</v>
          </cell>
          <cell r="H665">
            <v>29.109663626080231</v>
          </cell>
          <cell r="I665">
            <v>17.42341200168546</v>
          </cell>
          <cell r="J665">
            <v>11.686251624394771</v>
          </cell>
          <cell r="K665">
            <v>5353.5216500918486</v>
          </cell>
          <cell r="M665">
            <v>3200.4691246046764</v>
          </cell>
          <cell r="N665">
            <v>1</v>
          </cell>
        </row>
        <row r="666">
          <cell r="A666">
            <v>2032</v>
          </cell>
          <cell r="B666" t="str">
            <v>Neodymium</v>
          </cell>
          <cell r="C666" t="str">
            <v>Canada Net-zero</v>
          </cell>
          <cell r="D666" t="str">
            <v>Production potential</v>
          </cell>
          <cell r="E666" t="str">
            <v>100% CAN</v>
          </cell>
          <cell r="F666" t="str">
            <v>Integrated</v>
          </cell>
          <cell r="G666">
            <v>3229.5787882307568</v>
          </cell>
          <cell r="H666">
            <v>29.109663626080231</v>
          </cell>
          <cell r="I666">
            <v>17.42341200168546</v>
          </cell>
          <cell r="J666">
            <v>11.686251624394771</v>
          </cell>
          <cell r="K666">
            <v>5353.5216500918486</v>
          </cell>
          <cell r="M666">
            <v>3200.4691246046764</v>
          </cell>
          <cell r="N666">
            <v>1</v>
          </cell>
        </row>
        <row r="667">
          <cell r="A667">
            <v>2032</v>
          </cell>
          <cell r="B667" t="str">
            <v>Neodymium</v>
          </cell>
          <cell r="C667" t="str">
            <v>Current Measures</v>
          </cell>
          <cell r="D667" t="str">
            <v>Existing production</v>
          </cell>
          <cell r="E667" t="str">
            <v>Current shares</v>
          </cell>
          <cell r="F667" t="str">
            <v>NIMBY</v>
          </cell>
          <cell r="G667">
            <v>1128.9836988018969</v>
          </cell>
          <cell r="H667">
            <v>0</v>
          </cell>
          <cell r="I667">
            <v>0</v>
          </cell>
          <cell r="J667">
            <v>0</v>
          </cell>
          <cell r="K667">
            <v>1881.6394980031621</v>
          </cell>
          <cell r="M667">
            <v>1128.9836988018969</v>
          </cell>
          <cell r="N667">
            <v>1</v>
          </cell>
        </row>
        <row r="668">
          <cell r="A668">
            <v>2032</v>
          </cell>
          <cell r="B668" t="str">
            <v>Neodymium</v>
          </cell>
          <cell r="C668" t="str">
            <v>Current Measures</v>
          </cell>
          <cell r="D668" t="str">
            <v>Existing production</v>
          </cell>
          <cell r="E668" t="str">
            <v>Current shares</v>
          </cell>
          <cell r="F668" t="str">
            <v>Status Quo</v>
          </cell>
          <cell r="G668">
            <v>1128.9836988018969</v>
          </cell>
          <cell r="H668">
            <v>0</v>
          </cell>
          <cell r="I668">
            <v>0</v>
          </cell>
          <cell r="J668">
            <v>0</v>
          </cell>
          <cell r="K668">
            <v>1881.6394980031621</v>
          </cell>
          <cell r="M668">
            <v>1128.9836988018969</v>
          </cell>
          <cell r="N668">
            <v>1</v>
          </cell>
        </row>
        <row r="669">
          <cell r="A669">
            <v>2032</v>
          </cell>
          <cell r="B669" t="str">
            <v>Neodymium</v>
          </cell>
          <cell r="C669" t="str">
            <v>Current Measures</v>
          </cell>
          <cell r="D669" t="str">
            <v>Production potential</v>
          </cell>
          <cell r="E669" t="str">
            <v>Current shares</v>
          </cell>
          <cell r="F669" t="str">
            <v>Expansion Extractive</v>
          </cell>
          <cell r="G669">
            <v>1128.9836988018969</v>
          </cell>
          <cell r="H669">
            <v>29.109663626080231</v>
          </cell>
          <cell r="I669">
            <v>17.42341200168546</v>
          </cell>
          <cell r="J669">
            <v>11.686251624394771</v>
          </cell>
          <cell r="K669">
            <v>1852.529834377081</v>
          </cell>
          <cell r="M669">
            <v>1099.8740351758172</v>
          </cell>
          <cell r="N669">
            <v>1</v>
          </cell>
        </row>
        <row r="670">
          <cell r="A670">
            <v>2032</v>
          </cell>
          <cell r="B670" t="str">
            <v>Neodymium</v>
          </cell>
          <cell r="C670" t="str">
            <v>Current Measures</v>
          </cell>
          <cell r="D670" t="str">
            <v>Production potential</v>
          </cell>
          <cell r="E670" t="str">
            <v>Current shares</v>
          </cell>
          <cell r="F670" t="str">
            <v>Expansion Extractive+Circularity</v>
          </cell>
          <cell r="G670">
            <v>1128.9836988018969</v>
          </cell>
          <cell r="H670">
            <v>29.109663626080231</v>
          </cell>
          <cell r="I670">
            <v>17.42341200168546</v>
          </cell>
          <cell r="J670">
            <v>11.686251624394771</v>
          </cell>
          <cell r="K670">
            <v>1852.529834377081</v>
          </cell>
          <cell r="M670">
            <v>1099.8740351758172</v>
          </cell>
          <cell r="N670">
            <v>1</v>
          </cell>
        </row>
        <row r="671">
          <cell r="A671">
            <v>2032</v>
          </cell>
          <cell r="B671" t="str">
            <v>Neodymium</v>
          </cell>
          <cell r="C671" t="str">
            <v>Current Measures</v>
          </cell>
          <cell r="D671" t="str">
            <v>Production potential</v>
          </cell>
          <cell r="E671" t="str">
            <v>100% CAN</v>
          </cell>
          <cell r="F671" t="str">
            <v>Integrated</v>
          </cell>
          <cell r="G671">
            <v>1128.9836988018969</v>
          </cell>
          <cell r="H671">
            <v>29.109663626080231</v>
          </cell>
          <cell r="I671">
            <v>17.42341200168546</v>
          </cell>
          <cell r="J671">
            <v>11.686251624394771</v>
          </cell>
          <cell r="K671">
            <v>1852.529834377081</v>
          </cell>
          <cell r="M671">
            <v>1099.8740351758172</v>
          </cell>
          <cell r="N671">
            <v>1</v>
          </cell>
        </row>
        <row r="672">
          <cell r="A672">
            <v>2032</v>
          </cell>
          <cell r="B672" t="str">
            <v>Neodymium</v>
          </cell>
          <cell r="C672" t="str">
            <v>Global Net-zero</v>
          </cell>
          <cell r="D672" t="str">
            <v>Existing production</v>
          </cell>
          <cell r="E672" t="str">
            <v>Current shares</v>
          </cell>
          <cell r="F672" t="str">
            <v>NIMBY</v>
          </cell>
          <cell r="G672">
            <v>3088.6760232568031</v>
          </cell>
          <cell r="H672">
            <v>0</v>
          </cell>
          <cell r="I672">
            <v>0</v>
          </cell>
          <cell r="J672">
            <v>0</v>
          </cell>
          <cell r="K672">
            <v>5147.7933720946721</v>
          </cell>
          <cell r="M672">
            <v>3088.6760232568031</v>
          </cell>
          <cell r="N672">
            <v>1</v>
          </cell>
        </row>
        <row r="673">
          <cell r="A673">
            <v>2032</v>
          </cell>
          <cell r="B673" t="str">
            <v>Neodymium</v>
          </cell>
          <cell r="C673" t="str">
            <v>Global Net-zero</v>
          </cell>
          <cell r="D673" t="str">
            <v>Existing production</v>
          </cell>
          <cell r="E673" t="str">
            <v>Current shares</v>
          </cell>
          <cell r="F673" t="str">
            <v>Status Quo</v>
          </cell>
          <cell r="G673">
            <v>3088.6760232568031</v>
          </cell>
          <cell r="H673">
            <v>0</v>
          </cell>
          <cell r="I673">
            <v>0</v>
          </cell>
          <cell r="J673">
            <v>0</v>
          </cell>
          <cell r="K673">
            <v>5147.7933720946721</v>
          </cell>
          <cell r="M673">
            <v>3088.6760232568031</v>
          </cell>
          <cell r="N673">
            <v>1</v>
          </cell>
        </row>
        <row r="674">
          <cell r="A674">
            <v>2032</v>
          </cell>
          <cell r="B674" t="str">
            <v>Neodymium</v>
          </cell>
          <cell r="C674" t="str">
            <v>Global Net-zero</v>
          </cell>
          <cell r="D674" t="str">
            <v>Production potential</v>
          </cell>
          <cell r="E674" t="str">
            <v>Current shares</v>
          </cell>
          <cell r="F674" t="str">
            <v>Expansion Extractive</v>
          </cell>
          <cell r="G674">
            <v>3088.6760232568031</v>
          </cell>
          <cell r="H674">
            <v>29.109663626080231</v>
          </cell>
          <cell r="I674">
            <v>17.42341200168546</v>
          </cell>
          <cell r="J674">
            <v>11.686251624394771</v>
          </cell>
          <cell r="K674">
            <v>5118.6837084685922</v>
          </cell>
          <cell r="M674">
            <v>3059.5663596307236</v>
          </cell>
          <cell r="N674">
            <v>1</v>
          </cell>
        </row>
        <row r="675">
          <cell r="A675">
            <v>2032</v>
          </cell>
          <cell r="B675" t="str">
            <v>Neodymium</v>
          </cell>
          <cell r="C675" t="str">
            <v>Global Net-zero</v>
          </cell>
          <cell r="D675" t="str">
            <v>Production potential</v>
          </cell>
          <cell r="E675" t="str">
            <v>Current shares</v>
          </cell>
          <cell r="F675" t="str">
            <v>Expansion Extractive+Circularity</v>
          </cell>
          <cell r="G675">
            <v>3088.6760232568031</v>
          </cell>
          <cell r="H675">
            <v>29.109663626080231</v>
          </cell>
          <cell r="I675">
            <v>17.42341200168546</v>
          </cell>
          <cell r="J675">
            <v>11.686251624394771</v>
          </cell>
          <cell r="K675">
            <v>5118.6837084685922</v>
          </cell>
          <cell r="M675">
            <v>3059.5663596307236</v>
          </cell>
          <cell r="N675">
            <v>1</v>
          </cell>
        </row>
        <row r="676">
          <cell r="A676">
            <v>2032</v>
          </cell>
          <cell r="B676" t="str">
            <v>Neodymium</v>
          </cell>
          <cell r="C676" t="str">
            <v>Global Net-zero</v>
          </cell>
          <cell r="D676" t="str">
            <v>Production potential</v>
          </cell>
          <cell r="E676" t="str">
            <v>100% CAN</v>
          </cell>
          <cell r="F676" t="str">
            <v>Integrated</v>
          </cell>
          <cell r="G676">
            <v>3088.6760232568031</v>
          </cell>
          <cell r="H676">
            <v>29.109663626080231</v>
          </cell>
          <cell r="I676">
            <v>17.42341200168546</v>
          </cell>
          <cell r="J676">
            <v>11.686251624394771</v>
          </cell>
          <cell r="K676">
            <v>5118.6837084685922</v>
          </cell>
          <cell r="M676">
            <v>3059.5663596307236</v>
          </cell>
          <cell r="N676">
            <v>1</v>
          </cell>
        </row>
        <row r="677">
          <cell r="A677">
            <v>2032</v>
          </cell>
          <cell r="B677" t="str">
            <v>Nickel</v>
          </cell>
          <cell r="C677" t="str">
            <v>Canada Net-zero</v>
          </cell>
          <cell r="D677" t="str">
            <v>Existing production</v>
          </cell>
          <cell r="E677" t="str">
            <v>Current shares</v>
          </cell>
          <cell r="F677" t="str">
            <v>NIMBY</v>
          </cell>
          <cell r="G677">
            <v>108954.6041363616</v>
          </cell>
          <cell r="H677">
            <v>0</v>
          </cell>
          <cell r="I677">
            <v>0</v>
          </cell>
          <cell r="J677">
            <v>0</v>
          </cell>
          <cell r="K677">
            <v>137917.2204257742</v>
          </cell>
          <cell r="M677">
            <v>108954.6041363616</v>
          </cell>
          <cell r="N677">
            <v>0.69917047091553897</v>
          </cell>
        </row>
        <row r="678">
          <cell r="A678">
            <v>2032</v>
          </cell>
          <cell r="B678" t="str">
            <v>Nickel</v>
          </cell>
          <cell r="C678" t="str">
            <v>Canada Net-zero</v>
          </cell>
          <cell r="D678" t="str">
            <v>Existing production</v>
          </cell>
          <cell r="E678" t="str">
            <v>Current shares</v>
          </cell>
          <cell r="F678" t="str">
            <v>Status Quo</v>
          </cell>
          <cell r="G678">
            <v>108954.6041363616</v>
          </cell>
          <cell r="H678">
            <v>139278</v>
          </cell>
          <cell r="I678">
            <v>78118.250613288372</v>
          </cell>
          <cell r="J678">
            <v>19260.814234886071</v>
          </cell>
          <cell r="K678">
            <v>0</v>
          </cell>
          <cell r="M678">
            <v>11575.539288187148</v>
          </cell>
          <cell r="N678">
            <v>0.69917047091553897</v>
          </cell>
        </row>
        <row r="679">
          <cell r="A679">
            <v>2032</v>
          </cell>
          <cell r="B679" t="str">
            <v>Nickel</v>
          </cell>
          <cell r="C679" t="str">
            <v>Canada Net-zero</v>
          </cell>
          <cell r="D679" t="str">
            <v>Production potential</v>
          </cell>
          <cell r="E679" t="str">
            <v>Current shares</v>
          </cell>
          <cell r="F679" t="str">
            <v>Expansion Extractive</v>
          </cell>
          <cell r="G679">
            <v>108954.6041363616</v>
          </cell>
          <cell r="H679">
            <v>197582.18962964119</v>
          </cell>
          <cell r="I679">
            <v>110819.9069932838</v>
          </cell>
          <cell r="J679">
            <v>27323.725574595737</v>
          </cell>
          <cell r="K679">
            <v>0</v>
          </cell>
          <cell r="M679">
            <v>0</v>
          </cell>
          <cell r="N679">
            <v>0.69917047091553897</v>
          </cell>
        </row>
        <row r="680">
          <cell r="A680">
            <v>2032</v>
          </cell>
          <cell r="B680" t="str">
            <v>Nickel</v>
          </cell>
          <cell r="C680" t="str">
            <v>Canada Net-zero</v>
          </cell>
          <cell r="D680" t="str">
            <v>Production potential</v>
          </cell>
          <cell r="E680" t="str">
            <v>Current shares</v>
          </cell>
          <cell r="F680" t="str">
            <v>Expansion Extractive+Circularity</v>
          </cell>
          <cell r="G680">
            <v>108954.6041363616</v>
          </cell>
          <cell r="H680">
            <v>197582.18962964119</v>
          </cell>
          <cell r="I680">
            <v>110819.9069932838</v>
          </cell>
          <cell r="J680">
            <v>27323.725574595737</v>
          </cell>
          <cell r="K680">
            <v>0</v>
          </cell>
          <cell r="M680">
            <v>0</v>
          </cell>
          <cell r="N680">
            <v>0.69917047091553897</v>
          </cell>
        </row>
        <row r="681">
          <cell r="A681">
            <v>2032</v>
          </cell>
          <cell r="B681" t="str">
            <v>Nickel</v>
          </cell>
          <cell r="C681" t="str">
            <v>Canada Net-zero</v>
          </cell>
          <cell r="D681" t="str">
            <v>Production potential</v>
          </cell>
          <cell r="E681" t="str">
            <v>100% CAN</v>
          </cell>
          <cell r="F681" t="str">
            <v>Integrated</v>
          </cell>
          <cell r="G681">
            <v>108954.6041363616</v>
          </cell>
          <cell r="H681">
            <v>197582.18962964119</v>
          </cell>
          <cell r="I681">
            <v>155606.84073283491</v>
          </cell>
          <cell r="J681">
            <v>-17463.208164955373</v>
          </cell>
          <cell r="K681">
            <v>0</v>
          </cell>
          <cell r="M681">
            <v>17463.208164955373</v>
          </cell>
          <cell r="N681">
            <v>0.69917047091553897</v>
          </cell>
        </row>
        <row r="682">
          <cell r="A682">
            <v>2032</v>
          </cell>
          <cell r="B682" t="str">
            <v>Nickel</v>
          </cell>
          <cell r="C682" t="str">
            <v>Current Measures</v>
          </cell>
          <cell r="D682" t="str">
            <v>Existing production</v>
          </cell>
          <cell r="E682" t="str">
            <v>Current shares</v>
          </cell>
          <cell r="F682" t="str">
            <v>NIMBY</v>
          </cell>
          <cell r="G682">
            <v>49277.628426306859</v>
          </cell>
          <cell r="H682">
            <v>0</v>
          </cell>
          <cell r="I682">
            <v>0</v>
          </cell>
          <cell r="J682">
            <v>0</v>
          </cell>
          <cell r="K682">
            <v>62376.744843426401</v>
          </cell>
          <cell r="M682">
            <v>49277.628426306859</v>
          </cell>
          <cell r="N682">
            <v>0.69917047091553897</v>
          </cell>
        </row>
        <row r="683">
          <cell r="A683">
            <v>2032</v>
          </cell>
          <cell r="B683" t="str">
            <v>Nickel</v>
          </cell>
          <cell r="C683" t="str">
            <v>Current Measures</v>
          </cell>
          <cell r="D683" t="str">
            <v>Existing production</v>
          </cell>
          <cell r="E683" t="str">
            <v>Current shares</v>
          </cell>
          <cell r="F683" t="str">
            <v>Status Quo</v>
          </cell>
          <cell r="G683">
            <v>49277.628426306859</v>
          </cell>
          <cell r="H683">
            <v>139278</v>
          </cell>
          <cell r="I683">
            <v>78118.250613288372</v>
          </cell>
          <cell r="J683">
            <v>19260.814234886071</v>
          </cell>
          <cell r="K683">
            <v>0</v>
          </cell>
          <cell r="M683">
            <v>0</v>
          </cell>
          <cell r="N683">
            <v>0.69917047091553897</v>
          </cell>
        </row>
        <row r="684">
          <cell r="A684">
            <v>2032</v>
          </cell>
          <cell r="B684" t="str">
            <v>Nickel</v>
          </cell>
          <cell r="C684" t="str">
            <v>Current Measures</v>
          </cell>
          <cell r="D684" t="str">
            <v>Production potential</v>
          </cell>
          <cell r="E684" t="str">
            <v>Current shares</v>
          </cell>
          <cell r="F684" t="str">
            <v>Expansion Extractive</v>
          </cell>
          <cell r="G684">
            <v>49277.628426306859</v>
          </cell>
          <cell r="H684">
            <v>197582.18962964119</v>
          </cell>
          <cell r="I684">
            <v>110819.9069932838</v>
          </cell>
          <cell r="J684">
            <v>27323.725574595737</v>
          </cell>
          <cell r="K684">
            <v>0</v>
          </cell>
          <cell r="M684">
            <v>0</v>
          </cell>
          <cell r="N684">
            <v>0.69917047091553897</v>
          </cell>
        </row>
        <row r="685">
          <cell r="A685">
            <v>2032</v>
          </cell>
          <cell r="B685" t="str">
            <v>Nickel</v>
          </cell>
          <cell r="C685" t="str">
            <v>Current Measures</v>
          </cell>
          <cell r="D685" t="str">
            <v>Production potential</v>
          </cell>
          <cell r="E685" t="str">
            <v>Current shares</v>
          </cell>
          <cell r="F685" t="str">
            <v>Expansion Extractive+Circularity</v>
          </cell>
          <cell r="G685">
            <v>49277.628426306859</v>
          </cell>
          <cell r="H685">
            <v>197582.18962964119</v>
          </cell>
          <cell r="I685">
            <v>110819.9069932838</v>
          </cell>
          <cell r="J685">
            <v>27323.725574595737</v>
          </cell>
          <cell r="K685">
            <v>0</v>
          </cell>
          <cell r="M685">
            <v>0</v>
          </cell>
          <cell r="N685">
            <v>0.69917047091553897</v>
          </cell>
        </row>
        <row r="686">
          <cell r="A686">
            <v>2032</v>
          </cell>
          <cell r="B686" t="str">
            <v>Nickel</v>
          </cell>
          <cell r="C686" t="str">
            <v>Current Measures</v>
          </cell>
          <cell r="D686" t="str">
            <v>Production potential</v>
          </cell>
          <cell r="E686" t="str">
            <v>100% CAN</v>
          </cell>
          <cell r="F686" t="str">
            <v>Integrated</v>
          </cell>
          <cell r="G686">
            <v>49277.628426306859</v>
          </cell>
          <cell r="H686">
            <v>197582.18962964119</v>
          </cell>
          <cell r="I686">
            <v>155606.84073283491</v>
          </cell>
          <cell r="J686">
            <v>-17463.208164955373</v>
          </cell>
          <cell r="K686">
            <v>0</v>
          </cell>
          <cell r="M686">
            <v>17463.208164955373</v>
          </cell>
          <cell r="N686">
            <v>0.69917047091553897</v>
          </cell>
        </row>
        <row r="687">
          <cell r="A687">
            <v>2032</v>
          </cell>
          <cell r="B687" t="str">
            <v>Nickel</v>
          </cell>
          <cell r="C687" t="str">
            <v>Global Net-zero</v>
          </cell>
          <cell r="D687" t="str">
            <v>Existing production</v>
          </cell>
          <cell r="E687" t="str">
            <v>Current shares</v>
          </cell>
          <cell r="F687" t="str">
            <v>NIMBY</v>
          </cell>
          <cell r="G687">
            <v>103780.1262842799</v>
          </cell>
          <cell r="H687">
            <v>0</v>
          </cell>
          <cell r="I687">
            <v>0</v>
          </cell>
          <cell r="J687">
            <v>0</v>
          </cell>
          <cell r="K687">
            <v>131367.24846111381</v>
          </cell>
          <cell r="M687">
            <v>103780.1262842799</v>
          </cell>
          <cell r="N687">
            <v>0.69917047091553897</v>
          </cell>
        </row>
        <row r="688">
          <cell r="A688">
            <v>2032</v>
          </cell>
          <cell r="B688" t="str">
            <v>Nickel</v>
          </cell>
          <cell r="C688" t="str">
            <v>Global Net-zero</v>
          </cell>
          <cell r="D688" t="str">
            <v>Existing production</v>
          </cell>
          <cell r="E688" t="str">
            <v>Current shares</v>
          </cell>
          <cell r="F688" t="str">
            <v>Status Quo</v>
          </cell>
          <cell r="G688">
            <v>103780.1262842799</v>
          </cell>
          <cell r="H688">
            <v>139278</v>
          </cell>
          <cell r="I688">
            <v>78118.250613288372</v>
          </cell>
          <cell r="J688">
            <v>19260.814234886071</v>
          </cell>
          <cell r="K688">
            <v>0</v>
          </cell>
          <cell r="M688">
            <v>6401.0614361054577</v>
          </cell>
          <cell r="N688">
            <v>0.69917047091553897</v>
          </cell>
        </row>
        <row r="689">
          <cell r="A689">
            <v>2032</v>
          </cell>
          <cell r="B689" t="str">
            <v>Nickel</v>
          </cell>
          <cell r="C689" t="str">
            <v>Global Net-zero</v>
          </cell>
          <cell r="D689" t="str">
            <v>Production potential</v>
          </cell>
          <cell r="E689" t="str">
            <v>Current shares</v>
          </cell>
          <cell r="F689" t="str">
            <v>Expansion Extractive</v>
          </cell>
          <cell r="G689">
            <v>103780.1262842799</v>
          </cell>
          <cell r="H689">
            <v>197582.18962964119</v>
          </cell>
          <cell r="I689">
            <v>110819.9069932838</v>
          </cell>
          <cell r="J689">
            <v>27323.725574595737</v>
          </cell>
          <cell r="K689">
            <v>0</v>
          </cell>
          <cell r="M689">
            <v>0</v>
          </cell>
          <cell r="N689">
            <v>0.69917047091553897</v>
          </cell>
        </row>
        <row r="690">
          <cell r="A690">
            <v>2032</v>
          </cell>
          <cell r="B690" t="str">
            <v>Nickel</v>
          </cell>
          <cell r="C690" t="str">
            <v>Global Net-zero</v>
          </cell>
          <cell r="D690" t="str">
            <v>Production potential</v>
          </cell>
          <cell r="E690" t="str">
            <v>Current shares</v>
          </cell>
          <cell r="F690" t="str">
            <v>Expansion Extractive+Circularity</v>
          </cell>
          <cell r="G690">
            <v>103780.1262842799</v>
          </cell>
          <cell r="H690">
            <v>197582.18962964119</v>
          </cell>
          <cell r="I690">
            <v>110819.9069932838</v>
          </cell>
          <cell r="J690">
            <v>27323.725574595737</v>
          </cell>
          <cell r="K690">
            <v>0</v>
          </cell>
          <cell r="M690">
            <v>0</v>
          </cell>
          <cell r="N690">
            <v>0.69917047091553897</v>
          </cell>
        </row>
        <row r="691">
          <cell r="A691">
            <v>2032</v>
          </cell>
          <cell r="B691" t="str">
            <v>Nickel</v>
          </cell>
          <cell r="C691" t="str">
            <v>Global Net-zero</v>
          </cell>
          <cell r="D691" t="str">
            <v>Production potential</v>
          </cell>
          <cell r="E691" t="str">
            <v>100% CAN</v>
          </cell>
          <cell r="F691" t="str">
            <v>Integrated</v>
          </cell>
          <cell r="G691">
            <v>103780.1262842799</v>
          </cell>
          <cell r="H691">
            <v>197582.18962964119</v>
          </cell>
          <cell r="I691">
            <v>155606.84073283491</v>
          </cell>
          <cell r="J691">
            <v>-17463.208164955373</v>
          </cell>
          <cell r="K691">
            <v>0</v>
          </cell>
          <cell r="M691">
            <v>17463.208164955373</v>
          </cell>
          <cell r="N691">
            <v>0.69917047091553897</v>
          </cell>
        </row>
        <row r="692">
          <cell r="A692">
            <v>2032</v>
          </cell>
          <cell r="B692" t="str">
            <v>Graphite</v>
          </cell>
          <cell r="C692" t="str">
            <v>Canada Net-zero</v>
          </cell>
          <cell r="D692" t="str">
            <v>Existing production</v>
          </cell>
          <cell r="E692" t="str">
            <v>Current shares</v>
          </cell>
          <cell r="F692" t="str">
            <v>NIMBY</v>
          </cell>
          <cell r="G692">
            <v>2450.943187437073</v>
          </cell>
          <cell r="H692">
            <v>0</v>
          </cell>
          <cell r="I692">
            <v>0</v>
          </cell>
          <cell r="J692">
            <v>0</v>
          </cell>
          <cell r="K692">
            <v>2450.943187437073</v>
          </cell>
          <cell r="M692">
            <v>2450.943187437073</v>
          </cell>
          <cell r="N692">
            <v>0.59854391398996798</v>
          </cell>
        </row>
        <row r="693">
          <cell r="A693">
            <v>2032</v>
          </cell>
          <cell r="B693" t="str">
            <v>Graphite</v>
          </cell>
          <cell r="C693" t="str">
            <v>Canada Net-zero</v>
          </cell>
          <cell r="D693" t="str">
            <v>Existing production</v>
          </cell>
          <cell r="E693" t="str">
            <v>Current shares</v>
          </cell>
          <cell r="F693" t="str">
            <v>Status Quo</v>
          </cell>
          <cell r="G693">
            <v>2450.943187437073</v>
          </cell>
          <cell r="H693">
            <v>0</v>
          </cell>
          <cell r="I693">
            <v>0</v>
          </cell>
          <cell r="J693">
            <v>0</v>
          </cell>
          <cell r="K693">
            <v>2450.943187437073</v>
          </cell>
          <cell r="M693">
            <v>2450.943187437073</v>
          </cell>
          <cell r="N693">
            <v>0.59854391398996798</v>
          </cell>
        </row>
        <row r="694">
          <cell r="A694">
            <v>2032</v>
          </cell>
          <cell r="B694" t="str">
            <v>Graphite</v>
          </cell>
          <cell r="C694" t="str">
            <v>Canada Net-zero</v>
          </cell>
          <cell r="D694" t="str">
            <v>Production potential</v>
          </cell>
          <cell r="E694" t="str">
            <v>Current shares</v>
          </cell>
          <cell r="F694" t="str">
            <v>Expansion Extractive</v>
          </cell>
          <cell r="G694">
            <v>2450.943187437073</v>
          </cell>
          <cell r="H694">
            <v>88936.044742334896</v>
          </cell>
          <cell r="I694">
            <v>29348.894764970519</v>
          </cell>
          <cell r="J694">
            <v>23883.233549893524</v>
          </cell>
          <cell r="K694">
            <v>0</v>
          </cell>
          <cell r="M694">
            <v>0</v>
          </cell>
          <cell r="N694">
            <v>0.59854391398996798</v>
          </cell>
        </row>
        <row r="695">
          <cell r="A695">
            <v>2032</v>
          </cell>
          <cell r="B695" t="str">
            <v>Graphite</v>
          </cell>
          <cell r="C695" t="str">
            <v>Canada Net-zero</v>
          </cell>
          <cell r="D695" t="str">
            <v>Production potential</v>
          </cell>
          <cell r="E695" t="str">
            <v>Current shares</v>
          </cell>
          <cell r="F695" t="str">
            <v>Expansion Extractive+Circularity</v>
          </cell>
          <cell r="G695">
            <v>2450.943187437073</v>
          </cell>
          <cell r="H695">
            <v>88936.044742334896</v>
          </cell>
          <cell r="I695">
            <v>29348.894764970519</v>
          </cell>
          <cell r="J695">
            <v>23883.233549893524</v>
          </cell>
          <cell r="K695">
            <v>0</v>
          </cell>
          <cell r="M695">
            <v>0</v>
          </cell>
          <cell r="N695">
            <v>0.59854391398996798</v>
          </cell>
        </row>
        <row r="696">
          <cell r="A696">
            <v>2032</v>
          </cell>
          <cell r="B696" t="str">
            <v>Graphite</v>
          </cell>
          <cell r="C696" t="str">
            <v>Canada Net-zero</v>
          </cell>
          <cell r="D696" t="str">
            <v>Production potential</v>
          </cell>
          <cell r="E696" t="str">
            <v>100% CAN</v>
          </cell>
          <cell r="F696" t="str">
            <v>Integrated</v>
          </cell>
          <cell r="G696">
            <v>2450.943187437073</v>
          </cell>
          <cell r="H696">
            <v>88936.044742334896</v>
          </cell>
          <cell r="I696">
            <v>29348.894764970519</v>
          </cell>
          <cell r="J696">
            <v>23883.233549893524</v>
          </cell>
          <cell r="K696">
            <v>0</v>
          </cell>
          <cell r="M696">
            <v>0</v>
          </cell>
          <cell r="N696">
            <v>0.59854391398996798</v>
          </cell>
        </row>
        <row r="697">
          <cell r="A697">
            <v>2032</v>
          </cell>
          <cell r="B697" t="str">
            <v>Graphite</v>
          </cell>
          <cell r="C697" t="str">
            <v>Current Measures</v>
          </cell>
          <cell r="D697" t="str">
            <v>Existing production</v>
          </cell>
          <cell r="E697" t="str">
            <v>Current shares</v>
          </cell>
          <cell r="F697" t="str">
            <v>NIMBY</v>
          </cell>
          <cell r="G697">
            <v>1004.026198286667</v>
          </cell>
          <cell r="H697">
            <v>0</v>
          </cell>
          <cell r="I697">
            <v>0</v>
          </cell>
          <cell r="J697">
            <v>0</v>
          </cell>
          <cell r="K697">
            <v>1004.026198286667</v>
          </cell>
          <cell r="M697">
            <v>1004.026198286667</v>
          </cell>
          <cell r="N697">
            <v>0.59854391398996798</v>
          </cell>
        </row>
        <row r="698">
          <cell r="A698">
            <v>2032</v>
          </cell>
          <cell r="B698" t="str">
            <v>Graphite</v>
          </cell>
          <cell r="C698" t="str">
            <v>Current Measures</v>
          </cell>
          <cell r="D698" t="str">
            <v>Existing production</v>
          </cell>
          <cell r="E698" t="str">
            <v>Current shares</v>
          </cell>
          <cell r="F698" t="str">
            <v>Status Quo</v>
          </cell>
          <cell r="G698">
            <v>1004.026198286667</v>
          </cell>
          <cell r="H698">
            <v>0</v>
          </cell>
          <cell r="I698">
            <v>0</v>
          </cell>
          <cell r="J698">
            <v>0</v>
          </cell>
          <cell r="K698">
            <v>1004.026198286667</v>
          </cell>
          <cell r="M698">
            <v>1004.026198286667</v>
          </cell>
          <cell r="N698">
            <v>0.59854391398996798</v>
          </cell>
        </row>
        <row r="699">
          <cell r="A699">
            <v>2032</v>
          </cell>
          <cell r="B699" t="str">
            <v>Graphite</v>
          </cell>
          <cell r="C699" t="str">
            <v>Current Measures</v>
          </cell>
          <cell r="D699" t="str">
            <v>Production potential</v>
          </cell>
          <cell r="E699" t="str">
            <v>Current shares</v>
          </cell>
          <cell r="F699" t="str">
            <v>Expansion Extractive</v>
          </cell>
          <cell r="G699">
            <v>1004.026198286667</v>
          </cell>
          <cell r="H699">
            <v>88936.044742334896</v>
          </cell>
          <cell r="I699">
            <v>29348.894764970519</v>
          </cell>
          <cell r="J699">
            <v>23883.233549893524</v>
          </cell>
          <cell r="K699">
            <v>0</v>
          </cell>
          <cell r="M699">
            <v>0</v>
          </cell>
          <cell r="N699">
            <v>0.59854391398996798</v>
          </cell>
        </row>
        <row r="700">
          <cell r="A700">
            <v>2032</v>
          </cell>
          <cell r="B700" t="str">
            <v>Graphite</v>
          </cell>
          <cell r="C700" t="str">
            <v>Current Measures</v>
          </cell>
          <cell r="D700" t="str">
            <v>Production potential</v>
          </cell>
          <cell r="E700" t="str">
            <v>Current shares</v>
          </cell>
          <cell r="F700" t="str">
            <v>Expansion Extractive+Circularity</v>
          </cell>
          <cell r="G700">
            <v>1004.026198286667</v>
          </cell>
          <cell r="H700">
            <v>88936.044742334896</v>
          </cell>
          <cell r="I700">
            <v>29348.894764970519</v>
          </cell>
          <cell r="J700">
            <v>23883.233549893524</v>
          </cell>
          <cell r="K700">
            <v>0</v>
          </cell>
          <cell r="M700">
            <v>0</v>
          </cell>
          <cell r="N700">
            <v>0.59854391398996798</v>
          </cell>
        </row>
        <row r="701">
          <cell r="A701">
            <v>2032</v>
          </cell>
          <cell r="B701" t="str">
            <v>Graphite</v>
          </cell>
          <cell r="C701" t="str">
            <v>Current Measures</v>
          </cell>
          <cell r="D701" t="str">
            <v>Production potential</v>
          </cell>
          <cell r="E701" t="str">
            <v>100% CAN</v>
          </cell>
          <cell r="F701" t="str">
            <v>Integrated</v>
          </cell>
          <cell r="G701">
            <v>1004.026198286667</v>
          </cell>
          <cell r="H701">
            <v>88936.044742334896</v>
          </cell>
          <cell r="I701">
            <v>29348.894764970519</v>
          </cell>
          <cell r="J701">
            <v>23883.233549893524</v>
          </cell>
          <cell r="K701">
            <v>0</v>
          </cell>
          <cell r="M701">
            <v>0</v>
          </cell>
          <cell r="N701">
            <v>0.59854391398996798</v>
          </cell>
        </row>
        <row r="702">
          <cell r="A702">
            <v>2032</v>
          </cell>
          <cell r="B702" t="str">
            <v>Graphite</v>
          </cell>
          <cell r="C702" t="str">
            <v>Global Net-zero</v>
          </cell>
          <cell r="D702" t="str">
            <v>Existing production</v>
          </cell>
          <cell r="E702" t="str">
            <v>Current shares</v>
          </cell>
          <cell r="F702" t="str">
            <v>NIMBY</v>
          </cell>
          <cell r="G702">
            <v>2325.6357382728388</v>
          </cell>
          <cell r="H702">
            <v>0</v>
          </cell>
          <cell r="I702">
            <v>0</v>
          </cell>
          <cell r="J702">
            <v>0</v>
          </cell>
          <cell r="K702">
            <v>2325.6357382728388</v>
          </cell>
          <cell r="M702">
            <v>2325.6357382728388</v>
          </cell>
          <cell r="N702">
            <v>0.59854391398996798</v>
          </cell>
        </row>
        <row r="703">
          <cell r="A703">
            <v>2032</v>
          </cell>
          <cell r="B703" t="str">
            <v>Graphite</v>
          </cell>
          <cell r="C703" t="str">
            <v>Global Net-zero</v>
          </cell>
          <cell r="D703" t="str">
            <v>Existing production</v>
          </cell>
          <cell r="E703" t="str">
            <v>Current shares</v>
          </cell>
          <cell r="F703" t="str">
            <v>Status Quo</v>
          </cell>
          <cell r="G703">
            <v>2325.6357382728388</v>
          </cell>
          <cell r="H703">
            <v>0</v>
          </cell>
          <cell r="I703">
            <v>0</v>
          </cell>
          <cell r="J703">
            <v>0</v>
          </cell>
          <cell r="K703">
            <v>2325.6357382728388</v>
          </cell>
          <cell r="M703">
            <v>2325.6357382728388</v>
          </cell>
          <cell r="N703">
            <v>0.59854391398996798</v>
          </cell>
        </row>
        <row r="704">
          <cell r="A704">
            <v>2032</v>
          </cell>
          <cell r="B704" t="str">
            <v>Graphite</v>
          </cell>
          <cell r="C704" t="str">
            <v>Global Net-zero</v>
          </cell>
          <cell r="D704" t="str">
            <v>Production potential</v>
          </cell>
          <cell r="E704" t="str">
            <v>Current shares</v>
          </cell>
          <cell r="F704" t="str">
            <v>Expansion Extractive</v>
          </cell>
          <cell r="G704">
            <v>2325.6357382728388</v>
          </cell>
          <cell r="H704">
            <v>88936.044742334896</v>
          </cell>
          <cell r="I704">
            <v>29348.894764970519</v>
          </cell>
          <cell r="J704">
            <v>23883.233549893524</v>
          </cell>
          <cell r="K704">
            <v>0</v>
          </cell>
          <cell r="M704">
            <v>0</v>
          </cell>
          <cell r="N704">
            <v>0.59854391398996798</v>
          </cell>
        </row>
        <row r="705">
          <cell r="A705">
            <v>2032</v>
          </cell>
          <cell r="B705" t="str">
            <v>Graphite</v>
          </cell>
          <cell r="C705" t="str">
            <v>Global Net-zero</v>
          </cell>
          <cell r="D705" t="str">
            <v>Production potential</v>
          </cell>
          <cell r="E705" t="str">
            <v>Current shares</v>
          </cell>
          <cell r="F705" t="str">
            <v>Expansion Extractive+Circularity</v>
          </cell>
          <cell r="G705">
            <v>2325.6357382728388</v>
          </cell>
          <cell r="H705">
            <v>88936.044742334896</v>
          </cell>
          <cell r="I705">
            <v>29348.894764970519</v>
          </cell>
          <cell r="J705">
            <v>23883.233549893524</v>
          </cell>
          <cell r="K705">
            <v>0</v>
          </cell>
          <cell r="M705">
            <v>0</v>
          </cell>
          <cell r="N705">
            <v>0.59854391398996798</v>
          </cell>
        </row>
        <row r="706">
          <cell r="A706">
            <v>2032</v>
          </cell>
          <cell r="B706" t="str">
            <v>Graphite</v>
          </cell>
          <cell r="C706" t="str">
            <v>Global Net-zero</v>
          </cell>
          <cell r="D706" t="str">
            <v>Production potential</v>
          </cell>
          <cell r="E706" t="str">
            <v>100% CAN</v>
          </cell>
          <cell r="F706" t="str">
            <v>Integrated</v>
          </cell>
          <cell r="G706">
            <v>2325.6357382728388</v>
          </cell>
          <cell r="H706">
            <v>88936.044742334896</v>
          </cell>
          <cell r="I706">
            <v>29348.894764970519</v>
          </cell>
          <cell r="J706">
            <v>23883.233549893524</v>
          </cell>
          <cell r="K706">
            <v>0</v>
          </cell>
          <cell r="M706">
            <v>0</v>
          </cell>
          <cell r="N706">
            <v>0.59854391398996798</v>
          </cell>
        </row>
        <row r="707">
          <cell r="A707">
            <v>2032</v>
          </cell>
          <cell r="B707" t="str">
            <v>Lithium</v>
          </cell>
          <cell r="C707" t="str">
            <v>Canada Net-zero</v>
          </cell>
          <cell r="D707" t="str">
            <v>Existing production</v>
          </cell>
          <cell r="E707" t="str">
            <v>Current shares</v>
          </cell>
          <cell r="F707" t="str">
            <v>NIMBY</v>
          </cell>
          <cell r="G707">
            <v>43216.40196908595</v>
          </cell>
          <cell r="H707">
            <v>0</v>
          </cell>
          <cell r="I707">
            <v>0</v>
          </cell>
          <cell r="J707">
            <v>0</v>
          </cell>
          <cell r="K707">
            <v>61737.717098694207</v>
          </cell>
          <cell r="M707">
            <v>43216.40196908595</v>
          </cell>
          <cell r="N707">
            <v>0.787554996857322</v>
          </cell>
        </row>
        <row r="708">
          <cell r="A708">
            <v>2032</v>
          </cell>
          <cell r="B708" t="str">
            <v>Lithium</v>
          </cell>
          <cell r="C708" t="str">
            <v>Canada Net-zero</v>
          </cell>
          <cell r="D708" t="str">
            <v>Existing production</v>
          </cell>
          <cell r="E708" t="str">
            <v>Current shares</v>
          </cell>
          <cell r="F708" t="str">
            <v>Status Quo</v>
          </cell>
          <cell r="G708">
            <v>43216.40196908595</v>
          </cell>
          <cell r="H708">
            <v>40610</v>
          </cell>
          <cell r="I708">
            <v>28393.312823880038</v>
          </cell>
          <cell r="J708">
            <v>3589.2955984958098</v>
          </cell>
          <cell r="K708">
            <v>21127.717098694211</v>
          </cell>
          <cell r="M708">
            <v>11233.7935467101</v>
          </cell>
          <cell r="N708">
            <v>0.787554996857322</v>
          </cell>
        </row>
        <row r="709">
          <cell r="A709">
            <v>2032</v>
          </cell>
          <cell r="B709" t="str">
            <v>Lithium</v>
          </cell>
          <cell r="C709" t="str">
            <v>Canada Net-zero</v>
          </cell>
          <cell r="D709" t="str">
            <v>Production potential</v>
          </cell>
          <cell r="E709" t="str">
            <v>Current shares</v>
          </cell>
          <cell r="F709" t="str">
            <v>Expansion Extractive</v>
          </cell>
          <cell r="G709">
            <v>43216.40196908595</v>
          </cell>
          <cell r="H709">
            <v>147257</v>
          </cell>
          <cell r="I709">
            <v>102957.7460356095</v>
          </cell>
          <cell r="J709">
            <v>13015.240136609165</v>
          </cell>
          <cell r="K709">
            <v>0</v>
          </cell>
          <cell r="M709">
            <v>0</v>
          </cell>
          <cell r="N709">
            <v>0.787554996857322</v>
          </cell>
        </row>
        <row r="710">
          <cell r="A710">
            <v>2032</v>
          </cell>
          <cell r="B710" t="str">
            <v>Lithium</v>
          </cell>
          <cell r="C710" t="str">
            <v>Canada Net-zero</v>
          </cell>
          <cell r="D710" t="str">
            <v>Production potential</v>
          </cell>
          <cell r="E710" t="str">
            <v>Current shares</v>
          </cell>
          <cell r="F710" t="str">
            <v>Expansion Extractive+Circularity</v>
          </cell>
          <cell r="G710">
            <v>43216.40196908595</v>
          </cell>
          <cell r="H710">
            <v>147257</v>
          </cell>
          <cell r="I710">
            <v>102957.7460356095</v>
          </cell>
          <cell r="J710">
            <v>13015.240136609165</v>
          </cell>
          <cell r="K710">
            <v>0</v>
          </cell>
          <cell r="M710">
            <v>0</v>
          </cell>
          <cell r="N710">
            <v>0.787554996857322</v>
          </cell>
        </row>
        <row r="711">
          <cell r="A711">
            <v>2032</v>
          </cell>
          <cell r="B711" t="str">
            <v>Lithium</v>
          </cell>
          <cell r="C711" t="str">
            <v>Canada Net-zero</v>
          </cell>
          <cell r="D711" t="str">
            <v>Production potential</v>
          </cell>
          <cell r="E711" t="str">
            <v>100% CAN</v>
          </cell>
          <cell r="F711" t="str">
            <v>Integrated</v>
          </cell>
          <cell r="G711">
            <v>43216.40196908595</v>
          </cell>
          <cell r="H711">
            <v>147257</v>
          </cell>
          <cell r="I711">
            <v>102957.7460356095</v>
          </cell>
          <cell r="J711">
            <v>13015.240136609165</v>
          </cell>
          <cell r="K711">
            <v>0</v>
          </cell>
          <cell r="M711">
            <v>0</v>
          </cell>
          <cell r="N711">
            <v>0.787554996857322</v>
          </cell>
        </row>
        <row r="712">
          <cell r="A712">
            <v>2032</v>
          </cell>
          <cell r="B712" t="str">
            <v>Lithium</v>
          </cell>
          <cell r="C712" t="str">
            <v>Current Measures</v>
          </cell>
          <cell r="D712" t="str">
            <v>Existing production</v>
          </cell>
          <cell r="E712" t="str">
            <v>Current shares</v>
          </cell>
          <cell r="F712" t="str">
            <v>NIMBY</v>
          </cell>
          <cell r="G712">
            <v>17703.55183876073</v>
          </cell>
          <cell r="H712">
            <v>0</v>
          </cell>
          <cell r="I712">
            <v>0</v>
          </cell>
          <cell r="J712">
            <v>0</v>
          </cell>
          <cell r="K712">
            <v>25290.788341086762</v>
          </cell>
          <cell r="M712">
            <v>17703.55183876073</v>
          </cell>
          <cell r="N712">
            <v>0.787554996857322</v>
          </cell>
        </row>
        <row r="713">
          <cell r="A713">
            <v>2032</v>
          </cell>
          <cell r="B713" t="str">
            <v>Lithium</v>
          </cell>
          <cell r="C713" t="str">
            <v>Current Measures</v>
          </cell>
          <cell r="D713" t="str">
            <v>Existing production</v>
          </cell>
          <cell r="E713" t="str">
            <v>Current shares</v>
          </cell>
          <cell r="F713" t="str">
            <v>Status Quo</v>
          </cell>
          <cell r="G713">
            <v>17703.55183876073</v>
          </cell>
          <cell r="H713">
            <v>40610</v>
          </cell>
          <cell r="I713">
            <v>28393.312823880038</v>
          </cell>
          <cell r="J713">
            <v>3589.2955984958098</v>
          </cell>
          <cell r="K713">
            <v>0</v>
          </cell>
          <cell r="M713">
            <v>0</v>
          </cell>
          <cell r="N713">
            <v>0.787554996857322</v>
          </cell>
        </row>
        <row r="714">
          <cell r="A714">
            <v>2032</v>
          </cell>
          <cell r="B714" t="str">
            <v>Lithium</v>
          </cell>
          <cell r="C714" t="str">
            <v>Current Measures</v>
          </cell>
          <cell r="D714" t="str">
            <v>Production potential</v>
          </cell>
          <cell r="E714" t="str">
            <v>Current shares</v>
          </cell>
          <cell r="F714" t="str">
            <v>Expansion Extractive</v>
          </cell>
          <cell r="G714">
            <v>17703.55183876073</v>
          </cell>
          <cell r="H714">
            <v>147257</v>
          </cell>
          <cell r="I714">
            <v>102957.7460356095</v>
          </cell>
          <cell r="J714">
            <v>13015.240136609165</v>
          </cell>
          <cell r="K714">
            <v>0</v>
          </cell>
          <cell r="M714">
            <v>0</v>
          </cell>
          <cell r="N714">
            <v>0.787554996857322</v>
          </cell>
        </row>
        <row r="715">
          <cell r="A715">
            <v>2032</v>
          </cell>
          <cell r="B715" t="str">
            <v>Lithium</v>
          </cell>
          <cell r="C715" t="str">
            <v>Current Measures</v>
          </cell>
          <cell r="D715" t="str">
            <v>Production potential</v>
          </cell>
          <cell r="E715" t="str">
            <v>Current shares</v>
          </cell>
          <cell r="F715" t="str">
            <v>Expansion Extractive+Circularity</v>
          </cell>
          <cell r="G715">
            <v>17703.55183876073</v>
          </cell>
          <cell r="H715">
            <v>147257</v>
          </cell>
          <cell r="I715">
            <v>102957.7460356095</v>
          </cell>
          <cell r="J715">
            <v>13015.240136609165</v>
          </cell>
          <cell r="K715">
            <v>0</v>
          </cell>
          <cell r="M715">
            <v>0</v>
          </cell>
          <cell r="N715">
            <v>0.787554996857322</v>
          </cell>
        </row>
        <row r="716">
          <cell r="A716">
            <v>2032</v>
          </cell>
          <cell r="B716" t="str">
            <v>Lithium</v>
          </cell>
          <cell r="C716" t="str">
            <v>Current Measures</v>
          </cell>
          <cell r="D716" t="str">
            <v>Production potential</v>
          </cell>
          <cell r="E716" t="str">
            <v>100% CAN</v>
          </cell>
          <cell r="F716" t="str">
            <v>Integrated</v>
          </cell>
          <cell r="G716">
            <v>17703.55183876073</v>
          </cell>
          <cell r="H716">
            <v>147257</v>
          </cell>
          <cell r="I716">
            <v>102957.7460356095</v>
          </cell>
          <cell r="J716">
            <v>13015.240136609165</v>
          </cell>
          <cell r="K716">
            <v>0</v>
          </cell>
          <cell r="M716">
            <v>0</v>
          </cell>
          <cell r="N716">
            <v>0.787554996857322</v>
          </cell>
        </row>
        <row r="717">
          <cell r="A717">
            <v>2032</v>
          </cell>
          <cell r="B717" t="str">
            <v>Lithium</v>
          </cell>
          <cell r="C717" t="str">
            <v>Global Net-zero</v>
          </cell>
          <cell r="D717" t="str">
            <v>Existing production</v>
          </cell>
          <cell r="E717" t="str">
            <v>Current shares</v>
          </cell>
          <cell r="F717" t="str">
            <v>NIMBY</v>
          </cell>
          <cell r="G717">
            <v>41006.910896196001</v>
          </cell>
          <cell r="H717">
            <v>0</v>
          </cell>
          <cell r="I717">
            <v>0</v>
          </cell>
          <cell r="J717">
            <v>0</v>
          </cell>
          <cell r="K717">
            <v>58581.301280280008</v>
          </cell>
          <cell r="M717">
            <v>41006.910896196001</v>
          </cell>
          <cell r="N717">
            <v>0.787554996857322</v>
          </cell>
        </row>
        <row r="718">
          <cell r="A718">
            <v>2032</v>
          </cell>
          <cell r="B718" t="str">
            <v>Lithium</v>
          </cell>
          <cell r="C718" t="str">
            <v>Global Net-zero</v>
          </cell>
          <cell r="D718" t="str">
            <v>Existing production</v>
          </cell>
          <cell r="E718" t="str">
            <v>Current shares</v>
          </cell>
          <cell r="F718" t="str">
            <v>Status Quo</v>
          </cell>
          <cell r="G718">
            <v>41006.910896196001</v>
          </cell>
          <cell r="H718">
            <v>40610</v>
          </cell>
          <cell r="I718">
            <v>28393.312823880038</v>
          </cell>
          <cell r="J718">
            <v>3589.2955984958098</v>
          </cell>
          <cell r="K718">
            <v>17971.301280280011</v>
          </cell>
          <cell r="M718">
            <v>9024.3024738201493</v>
          </cell>
          <cell r="N718">
            <v>0.787554996857322</v>
          </cell>
        </row>
        <row r="719">
          <cell r="A719">
            <v>2032</v>
          </cell>
          <cell r="B719" t="str">
            <v>Lithium</v>
          </cell>
          <cell r="C719" t="str">
            <v>Global Net-zero</v>
          </cell>
          <cell r="D719" t="str">
            <v>Production potential</v>
          </cell>
          <cell r="E719" t="str">
            <v>Current shares</v>
          </cell>
          <cell r="F719" t="str">
            <v>Expansion Extractive</v>
          </cell>
          <cell r="G719">
            <v>41006.910896196001</v>
          </cell>
          <cell r="H719">
            <v>147257</v>
          </cell>
          <cell r="I719">
            <v>102957.7460356095</v>
          </cell>
          <cell r="J719">
            <v>13015.240136609165</v>
          </cell>
          <cell r="K719">
            <v>0</v>
          </cell>
          <cell r="M719">
            <v>0</v>
          </cell>
          <cell r="N719">
            <v>0.787554996857322</v>
          </cell>
        </row>
        <row r="720">
          <cell r="A720">
            <v>2032</v>
          </cell>
          <cell r="B720" t="str">
            <v>Lithium</v>
          </cell>
          <cell r="C720" t="str">
            <v>Global Net-zero</v>
          </cell>
          <cell r="D720" t="str">
            <v>Production potential</v>
          </cell>
          <cell r="E720" t="str">
            <v>Current shares</v>
          </cell>
          <cell r="F720" t="str">
            <v>Expansion Extractive+Circularity</v>
          </cell>
          <cell r="G720">
            <v>41006.910896196001</v>
          </cell>
          <cell r="H720">
            <v>147257</v>
          </cell>
          <cell r="I720">
            <v>102957.7460356095</v>
          </cell>
          <cell r="J720">
            <v>13015.240136609165</v>
          </cell>
          <cell r="K720">
            <v>0</v>
          </cell>
          <cell r="M720">
            <v>0</v>
          </cell>
          <cell r="N720">
            <v>0.787554996857322</v>
          </cell>
        </row>
        <row r="721">
          <cell r="A721">
            <v>2032</v>
          </cell>
          <cell r="B721" t="str">
            <v>Lithium</v>
          </cell>
          <cell r="C721" t="str">
            <v>Global Net-zero</v>
          </cell>
          <cell r="D721" t="str">
            <v>Production potential</v>
          </cell>
          <cell r="E721" t="str">
            <v>100% CAN</v>
          </cell>
          <cell r="F721" t="str">
            <v>Integrated</v>
          </cell>
          <cell r="G721">
            <v>41006.910896196001</v>
          </cell>
          <cell r="H721">
            <v>147257</v>
          </cell>
          <cell r="I721">
            <v>102957.7460356095</v>
          </cell>
          <cell r="J721">
            <v>13015.240136609165</v>
          </cell>
          <cell r="K721">
            <v>0</v>
          </cell>
          <cell r="M721">
            <v>0</v>
          </cell>
          <cell r="N721">
            <v>0.787554996857322</v>
          </cell>
        </row>
        <row r="722">
          <cell r="A722">
            <v>2033</v>
          </cell>
          <cell r="B722" t="str">
            <v>Cobalt</v>
          </cell>
          <cell r="C722" t="str">
            <v>Canada Net-zero</v>
          </cell>
          <cell r="D722" t="str">
            <v>Existing production</v>
          </cell>
          <cell r="E722" t="str">
            <v>Current shares</v>
          </cell>
          <cell r="F722" t="str">
            <v>NIMBY</v>
          </cell>
          <cell r="G722">
            <v>111767.924194804</v>
          </cell>
          <cell r="H722">
            <v>0</v>
          </cell>
          <cell r="I722">
            <v>0</v>
          </cell>
          <cell r="J722">
            <v>0</v>
          </cell>
          <cell r="K722">
            <v>254018.00953364541</v>
          </cell>
          <cell r="M722">
            <v>111767.924194804</v>
          </cell>
          <cell r="N722">
            <v>0.439346565686978</v>
          </cell>
        </row>
        <row r="723">
          <cell r="A723">
            <v>2033</v>
          </cell>
          <cell r="B723" t="str">
            <v>Cobalt</v>
          </cell>
          <cell r="C723" t="str">
            <v>Canada Net-zero</v>
          </cell>
          <cell r="D723" t="str">
            <v>Existing production</v>
          </cell>
          <cell r="E723" t="str">
            <v>Current shares</v>
          </cell>
          <cell r="F723" t="str">
            <v>Status Quo</v>
          </cell>
          <cell r="G723">
            <v>111767.924194804</v>
          </cell>
          <cell r="H723">
            <v>3079</v>
          </cell>
          <cell r="I723">
            <v>1306.05584956232</v>
          </cell>
          <cell r="J723">
            <v>46.692226187885353</v>
          </cell>
          <cell r="K723">
            <v>250939.00953364541</v>
          </cell>
          <cell r="M723">
            <v>110415.17611905382</v>
          </cell>
          <cell r="N723">
            <v>0.439346565686978</v>
          </cell>
        </row>
        <row r="724">
          <cell r="A724">
            <v>2033</v>
          </cell>
          <cell r="B724" t="str">
            <v>Cobalt</v>
          </cell>
          <cell r="C724" t="str">
            <v>Canada Net-zero</v>
          </cell>
          <cell r="D724" t="str">
            <v>Production potential</v>
          </cell>
          <cell r="E724" t="str">
            <v>Current shares</v>
          </cell>
          <cell r="F724" t="str">
            <v>Expansion Extractive</v>
          </cell>
          <cell r="G724">
            <v>111767.924194804</v>
          </cell>
          <cell r="H724">
            <v>11725.35368790235</v>
          </cell>
          <cell r="I724">
            <v>4973.6819656615726</v>
          </cell>
          <cell r="J724">
            <v>177.8119085834669</v>
          </cell>
          <cell r="K724">
            <v>242292.65584574311</v>
          </cell>
          <cell r="M724">
            <v>106616.43032055894</v>
          </cell>
          <cell r="N724">
            <v>0.439346565686978</v>
          </cell>
        </row>
        <row r="725">
          <cell r="A725">
            <v>2033</v>
          </cell>
          <cell r="B725" t="str">
            <v>Cobalt</v>
          </cell>
          <cell r="C725" t="str">
            <v>Canada Net-zero</v>
          </cell>
          <cell r="D725" t="str">
            <v>Production potential</v>
          </cell>
          <cell r="E725" t="str">
            <v>Current shares</v>
          </cell>
          <cell r="F725" t="str">
            <v>Expansion Extractive+Circularity</v>
          </cell>
          <cell r="G725">
            <v>111767.924194804</v>
          </cell>
          <cell r="H725">
            <v>11725.35368790235</v>
          </cell>
          <cell r="I725">
            <v>4973.6819656615726</v>
          </cell>
          <cell r="J725">
            <v>177.8119085834669</v>
          </cell>
          <cell r="K725">
            <v>242292.65584574311</v>
          </cell>
          <cell r="M725">
            <v>106616.43032055894</v>
          </cell>
          <cell r="N725">
            <v>0.439346565686978</v>
          </cell>
        </row>
        <row r="726">
          <cell r="A726">
            <v>2033</v>
          </cell>
          <cell r="B726" t="str">
            <v>Cobalt</v>
          </cell>
          <cell r="C726" t="str">
            <v>Canada Net-zero</v>
          </cell>
          <cell r="D726" t="str">
            <v>Production potential</v>
          </cell>
          <cell r="E726" t="str">
            <v>100% CAN</v>
          </cell>
          <cell r="F726" t="str">
            <v>Integrated</v>
          </cell>
          <cell r="G726">
            <v>111767.924194804</v>
          </cell>
          <cell r="H726">
            <v>11725.35368790235</v>
          </cell>
          <cell r="I726">
            <v>5151.4938742450449</v>
          </cell>
          <cell r="J726">
            <v>0</v>
          </cell>
          <cell r="K726">
            <v>242292.65584574311</v>
          </cell>
          <cell r="M726">
            <v>106616.430320559</v>
          </cell>
          <cell r="N726">
            <v>0.439346565686978</v>
          </cell>
        </row>
        <row r="727">
          <cell r="A727">
            <v>2033</v>
          </cell>
          <cell r="B727" t="str">
            <v>Cobalt</v>
          </cell>
          <cell r="C727" t="str">
            <v>Current Measures</v>
          </cell>
          <cell r="D727" t="str">
            <v>Existing production</v>
          </cell>
          <cell r="E727" t="str">
            <v>Current shares</v>
          </cell>
          <cell r="F727" t="str">
            <v>NIMBY</v>
          </cell>
          <cell r="G727">
            <v>44810.916790988493</v>
          </cell>
          <cell r="H727">
            <v>0</v>
          </cell>
          <cell r="I727">
            <v>0</v>
          </cell>
          <cell r="J727">
            <v>0</v>
          </cell>
          <cell r="K727">
            <v>101842.99270679201</v>
          </cell>
          <cell r="M727">
            <v>44810.916790988493</v>
          </cell>
          <cell r="N727">
            <v>0.439346565686978</v>
          </cell>
        </row>
        <row r="728">
          <cell r="A728">
            <v>2033</v>
          </cell>
          <cell r="B728" t="str">
            <v>Cobalt</v>
          </cell>
          <cell r="C728" t="str">
            <v>Current Measures</v>
          </cell>
          <cell r="D728" t="str">
            <v>Existing production</v>
          </cell>
          <cell r="E728" t="str">
            <v>Current shares</v>
          </cell>
          <cell r="F728" t="str">
            <v>Status Quo</v>
          </cell>
          <cell r="G728">
            <v>44810.916790988493</v>
          </cell>
          <cell r="H728">
            <v>3079</v>
          </cell>
          <cell r="I728">
            <v>1306.05584956232</v>
          </cell>
          <cell r="J728">
            <v>46.692226187885353</v>
          </cell>
          <cell r="K728">
            <v>98763.992706792022</v>
          </cell>
          <cell r="M728">
            <v>43458.16871523828</v>
          </cell>
          <cell r="N728">
            <v>0.439346565686978</v>
          </cell>
        </row>
        <row r="729">
          <cell r="A729">
            <v>2033</v>
          </cell>
          <cell r="B729" t="str">
            <v>Cobalt</v>
          </cell>
          <cell r="C729" t="str">
            <v>Current Measures</v>
          </cell>
          <cell r="D729" t="str">
            <v>Production potential</v>
          </cell>
          <cell r="E729" t="str">
            <v>Current shares</v>
          </cell>
          <cell r="F729" t="str">
            <v>Expansion Extractive</v>
          </cell>
          <cell r="G729">
            <v>44810.916790988493</v>
          </cell>
          <cell r="H729">
            <v>11725.35368790235</v>
          </cell>
          <cell r="I729">
            <v>4973.6819656615726</v>
          </cell>
          <cell r="J729">
            <v>177.8119085834669</v>
          </cell>
          <cell r="K729">
            <v>90117.639018889662</v>
          </cell>
          <cell r="M729">
            <v>39659.422916743453</v>
          </cell>
          <cell r="N729">
            <v>0.439346565686978</v>
          </cell>
        </row>
        <row r="730">
          <cell r="A730">
            <v>2033</v>
          </cell>
          <cell r="B730" t="str">
            <v>Cobalt</v>
          </cell>
          <cell r="C730" t="str">
            <v>Current Measures</v>
          </cell>
          <cell r="D730" t="str">
            <v>Production potential</v>
          </cell>
          <cell r="E730" t="str">
            <v>Current shares</v>
          </cell>
          <cell r="F730" t="str">
            <v>Expansion Extractive+Circularity</v>
          </cell>
          <cell r="G730">
            <v>44810.916790988493</v>
          </cell>
          <cell r="H730">
            <v>11725.35368790235</v>
          </cell>
          <cell r="I730">
            <v>4973.6819656615726</v>
          </cell>
          <cell r="J730">
            <v>177.8119085834669</v>
          </cell>
          <cell r="K730">
            <v>90117.639018889662</v>
          </cell>
          <cell r="M730">
            <v>39659.422916743453</v>
          </cell>
          <cell r="N730">
            <v>0.439346565686978</v>
          </cell>
        </row>
        <row r="731">
          <cell r="A731">
            <v>2033</v>
          </cell>
          <cell r="B731" t="str">
            <v>Cobalt</v>
          </cell>
          <cell r="C731" t="str">
            <v>Current Measures</v>
          </cell>
          <cell r="D731" t="str">
            <v>Production potential</v>
          </cell>
          <cell r="E731" t="str">
            <v>100% CAN</v>
          </cell>
          <cell r="F731" t="str">
            <v>Integrated</v>
          </cell>
          <cell r="G731">
            <v>44810.916790988493</v>
          </cell>
          <cell r="H731">
            <v>11725.35368790235</v>
          </cell>
          <cell r="I731">
            <v>5151.4938742450449</v>
          </cell>
          <cell r="J731">
            <v>0</v>
          </cell>
          <cell r="K731">
            <v>90117.639018889662</v>
          </cell>
          <cell r="M731">
            <v>39659.422916743453</v>
          </cell>
          <cell r="N731">
            <v>0.439346565686978</v>
          </cell>
        </row>
        <row r="732">
          <cell r="A732">
            <v>2033</v>
          </cell>
          <cell r="B732" t="str">
            <v>Cobalt</v>
          </cell>
          <cell r="C732" t="str">
            <v>Global Net-zero</v>
          </cell>
          <cell r="D732" t="str">
            <v>Existing production</v>
          </cell>
          <cell r="E732" t="str">
            <v>Current shares</v>
          </cell>
          <cell r="F732" t="str">
            <v>NIMBY</v>
          </cell>
          <cell r="G732">
            <v>106145.67716186729</v>
          </cell>
          <cell r="H732">
            <v>0</v>
          </cell>
          <cell r="I732">
            <v>0</v>
          </cell>
          <cell r="J732">
            <v>0</v>
          </cell>
          <cell r="K732">
            <v>241240.17536788021</v>
          </cell>
          <cell r="M732">
            <v>106145.67716186729</v>
          </cell>
          <cell r="N732">
            <v>0.439346565686978</v>
          </cell>
        </row>
        <row r="733">
          <cell r="A733">
            <v>2033</v>
          </cell>
          <cell r="B733" t="str">
            <v>Cobalt</v>
          </cell>
          <cell r="C733" t="str">
            <v>Global Net-zero</v>
          </cell>
          <cell r="D733" t="str">
            <v>Existing production</v>
          </cell>
          <cell r="E733" t="str">
            <v>Current shares</v>
          </cell>
          <cell r="F733" t="str">
            <v>Status Quo</v>
          </cell>
          <cell r="G733">
            <v>106145.67716186729</v>
          </cell>
          <cell r="H733">
            <v>3079</v>
          </cell>
          <cell r="I733">
            <v>1306.05584956232</v>
          </cell>
          <cell r="J733">
            <v>46.692226187885353</v>
          </cell>
          <cell r="K733">
            <v>238161.17536788021</v>
          </cell>
          <cell r="M733">
            <v>104792.92908611712</v>
          </cell>
          <cell r="N733">
            <v>0.439346565686978</v>
          </cell>
        </row>
        <row r="734">
          <cell r="A734">
            <v>2033</v>
          </cell>
          <cell r="B734" t="str">
            <v>Cobalt</v>
          </cell>
          <cell r="C734" t="str">
            <v>Global Net-zero</v>
          </cell>
          <cell r="D734" t="str">
            <v>Production potential</v>
          </cell>
          <cell r="E734" t="str">
            <v>Current shares</v>
          </cell>
          <cell r="F734" t="str">
            <v>Expansion Extractive</v>
          </cell>
          <cell r="G734">
            <v>106145.67716186729</v>
          </cell>
          <cell r="H734">
            <v>11725.35368790235</v>
          </cell>
          <cell r="I734">
            <v>4973.6819656615726</v>
          </cell>
          <cell r="J734">
            <v>177.8119085834669</v>
          </cell>
          <cell r="K734">
            <v>229514.82167997779</v>
          </cell>
          <cell r="M734">
            <v>100994.18328762223</v>
          </cell>
          <cell r="N734">
            <v>0.439346565686978</v>
          </cell>
        </row>
        <row r="735">
          <cell r="A735">
            <v>2033</v>
          </cell>
          <cell r="B735" t="str">
            <v>Cobalt</v>
          </cell>
          <cell r="C735" t="str">
            <v>Global Net-zero</v>
          </cell>
          <cell r="D735" t="str">
            <v>Production potential</v>
          </cell>
          <cell r="E735" t="str">
            <v>Current shares</v>
          </cell>
          <cell r="F735" t="str">
            <v>Expansion Extractive+Circularity</v>
          </cell>
          <cell r="G735">
            <v>106145.67716186729</v>
          </cell>
          <cell r="H735">
            <v>11725.35368790235</v>
          </cell>
          <cell r="I735">
            <v>4973.6819656615726</v>
          </cell>
          <cell r="J735">
            <v>177.8119085834669</v>
          </cell>
          <cell r="K735">
            <v>229514.82167997779</v>
          </cell>
          <cell r="M735">
            <v>100994.18328762223</v>
          </cell>
          <cell r="N735">
            <v>0.439346565686978</v>
          </cell>
        </row>
        <row r="736">
          <cell r="A736">
            <v>2033</v>
          </cell>
          <cell r="B736" t="str">
            <v>Cobalt</v>
          </cell>
          <cell r="C736" t="str">
            <v>Global Net-zero</v>
          </cell>
          <cell r="D736" t="str">
            <v>Production potential</v>
          </cell>
          <cell r="E736" t="str">
            <v>100% CAN</v>
          </cell>
          <cell r="F736" t="str">
            <v>Integrated</v>
          </cell>
          <cell r="G736">
            <v>106145.67716186729</v>
          </cell>
          <cell r="H736">
            <v>11725.35368790235</v>
          </cell>
          <cell r="I736">
            <v>5151.4938742450449</v>
          </cell>
          <cell r="J736">
            <v>0</v>
          </cell>
          <cell r="K736">
            <v>229514.82167997779</v>
          </cell>
          <cell r="M736">
            <v>100994.1832876222</v>
          </cell>
          <cell r="N736">
            <v>0.439346565686978</v>
          </cell>
        </row>
        <row r="737">
          <cell r="A737">
            <v>2033</v>
          </cell>
          <cell r="B737" t="str">
            <v>Copper</v>
          </cell>
          <cell r="C737" t="str">
            <v>Canada Net-zero</v>
          </cell>
          <cell r="D737" t="str">
            <v>Existing production</v>
          </cell>
          <cell r="E737" t="str">
            <v>Current shares</v>
          </cell>
          <cell r="F737" t="str">
            <v>NIMBY</v>
          </cell>
          <cell r="G737">
            <v>1239302.9775620999</v>
          </cell>
          <cell r="H737">
            <v>0</v>
          </cell>
          <cell r="I737">
            <v>0</v>
          </cell>
          <cell r="J737">
            <v>0</v>
          </cell>
          <cell r="K737">
            <v>1493136.117544699</v>
          </cell>
          <cell r="M737">
            <v>1239302.9775620999</v>
          </cell>
          <cell r="N737">
            <v>0.83474576271186396</v>
          </cell>
        </row>
        <row r="738">
          <cell r="A738">
            <v>2033</v>
          </cell>
          <cell r="B738" t="str">
            <v>Copper</v>
          </cell>
          <cell r="C738" t="str">
            <v>Canada Net-zero</v>
          </cell>
          <cell r="D738" t="str">
            <v>Existing production</v>
          </cell>
          <cell r="E738" t="str">
            <v>Current shares</v>
          </cell>
          <cell r="F738" t="str">
            <v>Status Quo</v>
          </cell>
          <cell r="G738">
            <v>1239302.9775620999</v>
          </cell>
          <cell r="H738">
            <v>276878</v>
          </cell>
          <cell r="I738">
            <v>145529.48217270081</v>
          </cell>
          <cell r="J738">
            <v>85593.255115434673</v>
          </cell>
          <cell r="K738">
            <v>1216258.117544699</v>
          </cell>
          <cell r="M738">
            <v>1008180.2402739642</v>
          </cell>
          <cell r="N738">
            <v>0.83474576271186396</v>
          </cell>
        </row>
        <row r="739">
          <cell r="A739">
            <v>2033</v>
          </cell>
          <cell r="B739" t="str">
            <v>Copper</v>
          </cell>
          <cell r="C739" t="str">
            <v>Canada Net-zero</v>
          </cell>
          <cell r="D739" t="str">
            <v>Production potential</v>
          </cell>
          <cell r="E739" t="str">
            <v>Current shares</v>
          </cell>
          <cell r="F739" t="str">
            <v>Expansion Extractive</v>
          </cell>
          <cell r="G739">
            <v>1239302.9775620999</v>
          </cell>
          <cell r="H739">
            <v>797055.2750032586</v>
          </cell>
          <cell r="I739">
            <v>418939.17694523872</v>
          </cell>
          <cell r="J739">
            <v>246399.33651087084</v>
          </cell>
          <cell r="K739">
            <v>696080.84254144016</v>
          </cell>
          <cell r="M739">
            <v>573964.46410599037</v>
          </cell>
          <cell r="N739">
            <v>0.83474576271186396</v>
          </cell>
        </row>
        <row r="740">
          <cell r="A740">
            <v>2033</v>
          </cell>
          <cell r="B740" t="str">
            <v>Copper</v>
          </cell>
          <cell r="C740" t="str">
            <v>Canada Net-zero</v>
          </cell>
          <cell r="D740" t="str">
            <v>Production potential</v>
          </cell>
          <cell r="E740" t="str">
            <v>Current shares</v>
          </cell>
          <cell r="F740" t="str">
            <v>Expansion Extractive+Circularity</v>
          </cell>
          <cell r="G740">
            <v>1239302.9775620999</v>
          </cell>
          <cell r="H740">
            <v>797055.2750032586</v>
          </cell>
          <cell r="I740">
            <v>418939.17694523872</v>
          </cell>
          <cell r="J740">
            <v>246399.33651087084</v>
          </cell>
          <cell r="K740">
            <v>696080.84254144016</v>
          </cell>
          <cell r="M740">
            <v>573964.46410599037</v>
          </cell>
          <cell r="N740">
            <v>0.83474576271186396</v>
          </cell>
        </row>
        <row r="741">
          <cell r="A741">
            <v>2033</v>
          </cell>
          <cell r="B741" t="str">
            <v>Copper</v>
          </cell>
          <cell r="C741" t="str">
            <v>Canada Net-zero</v>
          </cell>
          <cell r="D741" t="str">
            <v>Production potential</v>
          </cell>
          <cell r="E741" t="str">
            <v>100% CAN</v>
          </cell>
          <cell r="F741" t="str">
            <v>Integrated</v>
          </cell>
          <cell r="G741">
            <v>1239302.9775620999</v>
          </cell>
          <cell r="H741">
            <v>797055.2750032586</v>
          </cell>
          <cell r="I741">
            <v>665338.51345610991</v>
          </cell>
          <cell r="J741">
            <v>0</v>
          </cell>
          <cell r="K741">
            <v>696080.84254144016</v>
          </cell>
          <cell r="M741">
            <v>573964.46410599002</v>
          </cell>
          <cell r="N741">
            <v>0.83474576271186396</v>
          </cell>
        </row>
        <row r="742">
          <cell r="A742">
            <v>2033</v>
          </cell>
          <cell r="B742" t="str">
            <v>Copper</v>
          </cell>
          <cell r="C742" t="str">
            <v>Current Measures</v>
          </cell>
          <cell r="D742" t="str">
            <v>Existing production</v>
          </cell>
          <cell r="E742" t="str">
            <v>Current shares</v>
          </cell>
          <cell r="F742" t="str">
            <v>NIMBY</v>
          </cell>
          <cell r="G742">
            <v>1017419.138443246</v>
          </cell>
          <cell r="H742">
            <v>0</v>
          </cell>
          <cell r="I742">
            <v>0</v>
          </cell>
          <cell r="J742">
            <v>0</v>
          </cell>
          <cell r="K742">
            <v>1225806.1908954771</v>
          </cell>
          <cell r="M742">
            <v>1017419.138443246</v>
          </cell>
          <cell r="N742">
            <v>0.83474576271186396</v>
          </cell>
        </row>
        <row r="743">
          <cell r="A743">
            <v>2033</v>
          </cell>
          <cell r="B743" t="str">
            <v>Copper</v>
          </cell>
          <cell r="C743" t="str">
            <v>Current Measures</v>
          </cell>
          <cell r="D743" t="str">
            <v>Existing production</v>
          </cell>
          <cell r="E743" t="str">
            <v>Current shares</v>
          </cell>
          <cell r="F743" t="str">
            <v>Status Quo</v>
          </cell>
          <cell r="G743">
            <v>1017419.138443246</v>
          </cell>
          <cell r="H743">
            <v>276878</v>
          </cell>
          <cell r="I743">
            <v>145529.48217270081</v>
          </cell>
          <cell r="J743">
            <v>85593.255115434673</v>
          </cell>
          <cell r="K743">
            <v>948928.19089547708</v>
          </cell>
          <cell r="M743">
            <v>786296.40115511057</v>
          </cell>
          <cell r="N743">
            <v>0.83474576271186396</v>
          </cell>
        </row>
        <row r="744">
          <cell r="A744">
            <v>2033</v>
          </cell>
          <cell r="B744" t="str">
            <v>Copper</v>
          </cell>
          <cell r="C744" t="str">
            <v>Current Measures</v>
          </cell>
          <cell r="D744" t="str">
            <v>Production potential</v>
          </cell>
          <cell r="E744" t="str">
            <v>Current shares</v>
          </cell>
          <cell r="F744" t="str">
            <v>Expansion Extractive</v>
          </cell>
          <cell r="G744">
            <v>1017419.138443246</v>
          </cell>
          <cell r="H744">
            <v>797055.2750032586</v>
          </cell>
          <cell r="I744">
            <v>418939.17694523872</v>
          </cell>
          <cell r="J744">
            <v>246399.33651087084</v>
          </cell>
          <cell r="K744">
            <v>428750.91589221847</v>
          </cell>
          <cell r="M744">
            <v>352080.62498713646</v>
          </cell>
          <cell r="N744">
            <v>0.83474576271186396</v>
          </cell>
        </row>
        <row r="745">
          <cell r="A745">
            <v>2033</v>
          </cell>
          <cell r="B745" t="str">
            <v>Copper</v>
          </cell>
          <cell r="C745" t="str">
            <v>Current Measures</v>
          </cell>
          <cell r="D745" t="str">
            <v>Production potential</v>
          </cell>
          <cell r="E745" t="str">
            <v>Current shares</v>
          </cell>
          <cell r="F745" t="str">
            <v>Expansion Extractive+Circularity</v>
          </cell>
          <cell r="G745">
            <v>1017419.138443246</v>
          </cell>
          <cell r="H745">
            <v>797055.2750032586</v>
          </cell>
          <cell r="I745">
            <v>418939.17694523872</v>
          </cell>
          <cell r="J745">
            <v>246399.33651087084</v>
          </cell>
          <cell r="K745">
            <v>428750.91589221847</v>
          </cell>
          <cell r="M745">
            <v>352080.62498713646</v>
          </cell>
          <cell r="N745">
            <v>0.83474576271186396</v>
          </cell>
        </row>
        <row r="746">
          <cell r="A746">
            <v>2033</v>
          </cell>
          <cell r="B746" t="str">
            <v>Copper</v>
          </cell>
          <cell r="C746" t="str">
            <v>Current Measures</v>
          </cell>
          <cell r="D746" t="str">
            <v>Production potential</v>
          </cell>
          <cell r="E746" t="str">
            <v>100% CAN</v>
          </cell>
          <cell r="F746" t="str">
            <v>Integrated</v>
          </cell>
          <cell r="G746">
            <v>1017419.138443246</v>
          </cell>
          <cell r="H746">
            <v>797055.2750032586</v>
          </cell>
          <cell r="I746">
            <v>665338.51345610991</v>
          </cell>
          <cell r="J746">
            <v>0</v>
          </cell>
          <cell r="K746">
            <v>428750.91589221847</v>
          </cell>
          <cell r="M746">
            <v>352080.62498713611</v>
          </cell>
          <cell r="N746">
            <v>0.83474576271186396</v>
          </cell>
        </row>
        <row r="747">
          <cell r="A747">
            <v>2033</v>
          </cell>
          <cell r="B747" t="str">
            <v>Copper</v>
          </cell>
          <cell r="C747" t="str">
            <v>Global Net-zero</v>
          </cell>
          <cell r="D747" t="str">
            <v>Existing production</v>
          </cell>
          <cell r="E747" t="str">
            <v>Current shares</v>
          </cell>
          <cell r="F747" t="str">
            <v>NIMBY</v>
          </cell>
          <cell r="G747">
            <v>1193828.75003416</v>
          </cell>
          <cell r="H747">
            <v>0</v>
          </cell>
          <cell r="I747">
            <v>0</v>
          </cell>
          <cell r="J747">
            <v>0</v>
          </cell>
          <cell r="K747">
            <v>1438347.8916074219</v>
          </cell>
          <cell r="M747">
            <v>1193828.75003416</v>
          </cell>
          <cell r="N747">
            <v>0.83474576271186396</v>
          </cell>
        </row>
        <row r="748">
          <cell r="A748">
            <v>2033</v>
          </cell>
          <cell r="B748" t="str">
            <v>Copper</v>
          </cell>
          <cell r="C748" t="str">
            <v>Global Net-zero</v>
          </cell>
          <cell r="D748" t="str">
            <v>Existing production</v>
          </cell>
          <cell r="E748" t="str">
            <v>Current shares</v>
          </cell>
          <cell r="F748" t="str">
            <v>Status Quo</v>
          </cell>
          <cell r="G748">
            <v>1193828.75003416</v>
          </cell>
          <cell r="H748">
            <v>276878</v>
          </cell>
          <cell r="I748">
            <v>145529.48217270081</v>
          </cell>
          <cell r="J748">
            <v>85593.255115434673</v>
          </cell>
          <cell r="K748">
            <v>1161469.8916074219</v>
          </cell>
          <cell r="M748">
            <v>962706.01274602441</v>
          </cell>
          <cell r="N748">
            <v>0.83474576271186396</v>
          </cell>
        </row>
        <row r="749">
          <cell r="A749">
            <v>2033</v>
          </cell>
          <cell r="B749" t="str">
            <v>Copper</v>
          </cell>
          <cell r="C749" t="str">
            <v>Global Net-zero</v>
          </cell>
          <cell r="D749" t="str">
            <v>Production potential</v>
          </cell>
          <cell r="E749" t="str">
            <v>Current shares</v>
          </cell>
          <cell r="F749" t="str">
            <v>Expansion Extractive</v>
          </cell>
          <cell r="G749">
            <v>1193828.75003416</v>
          </cell>
          <cell r="H749">
            <v>797055.2750032586</v>
          </cell>
          <cell r="I749">
            <v>418939.17694523872</v>
          </cell>
          <cell r="J749">
            <v>246399.33651087084</v>
          </cell>
          <cell r="K749">
            <v>641292.61660416308</v>
          </cell>
          <cell r="M749">
            <v>528490.23657805042</v>
          </cell>
          <cell r="N749">
            <v>0.83474576271186396</v>
          </cell>
        </row>
        <row r="750">
          <cell r="A750">
            <v>2033</v>
          </cell>
          <cell r="B750" t="str">
            <v>Copper</v>
          </cell>
          <cell r="C750" t="str">
            <v>Global Net-zero</v>
          </cell>
          <cell r="D750" t="str">
            <v>Production potential</v>
          </cell>
          <cell r="E750" t="str">
            <v>Current shares</v>
          </cell>
          <cell r="F750" t="str">
            <v>Expansion Extractive+Circularity</v>
          </cell>
          <cell r="G750">
            <v>1193828.75003416</v>
          </cell>
          <cell r="H750">
            <v>797055.2750032586</v>
          </cell>
          <cell r="I750">
            <v>418939.17694523872</v>
          </cell>
          <cell r="J750">
            <v>246399.33651087084</v>
          </cell>
          <cell r="K750">
            <v>641292.61660416308</v>
          </cell>
          <cell r="M750">
            <v>528490.23657805042</v>
          </cell>
          <cell r="N750">
            <v>0.83474576271186396</v>
          </cell>
        </row>
        <row r="751">
          <cell r="A751">
            <v>2033</v>
          </cell>
          <cell r="B751" t="str">
            <v>Copper</v>
          </cell>
          <cell r="C751" t="str">
            <v>Global Net-zero</v>
          </cell>
          <cell r="D751" t="str">
            <v>Production potential</v>
          </cell>
          <cell r="E751" t="str">
            <v>100% CAN</v>
          </cell>
          <cell r="F751" t="str">
            <v>Integrated</v>
          </cell>
          <cell r="G751">
            <v>1193828.75003416</v>
          </cell>
          <cell r="H751">
            <v>797055.2750032586</v>
          </cell>
          <cell r="I751">
            <v>665338.51345610991</v>
          </cell>
          <cell r="J751">
            <v>0</v>
          </cell>
          <cell r="K751">
            <v>641292.61660416308</v>
          </cell>
          <cell r="M751">
            <v>528490.23657805007</v>
          </cell>
          <cell r="N751">
            <v>0.83474576271186396</v>
          </cell>
        </row>
        <row r="752">
          <cell r="A752">
            <v>2033</v>
          </cell>
          <cell r="B752" t="str">
            <v>Neodymium</v>
          </cell>
          <cell r="C752" t="str">
            <v>Canada Net-zero</v>
          </cell>
          <cell r="D752" t="str">
            <v>Existing production</v>
          </cell>
          <cell r="E752" t="str">
            <v>Current shares</v>
          </cell>
          <cell r="F752" t="str">
            <v>NIMBY</v>
          </cell>
          <cell r="G752">
            <v>3811.6436184189829</v>
          </cell>
          <cell r="H752">
            <v>0</v>
          </cell>
          <cell r="I752">
            <v>0</v>
          </cell>
          <cell r="J752">
            <v>0</v>
          </cell>
          <cell r="K752">
            <v>6352.7393640316386</v>
          </cell>
          <cell r="M752">
            <v>3811.6436184189829</v>
          </cell>
          <cell r="N752">
            <v>1</v>
          </cell>
        </row>
        <row r="753">
          <cell r="A753">
            <v>2033</v>
          </cell>
          <cell r="B753" t="str">
            <v>Neodymium</v>
          </cell>
          <cell r="C753" t="str">
            <v>Canada Net-zero</v>
          </cell>
          <cell r="D753" t="str">
            <v>Existing production</v>
          </cell>
          <cell r="E753" t="str">
            <v>Current shares</v>
          </cell>
          <cell r="F753" t="str">
            <v>Status Quo</v>
          </cell>
          <cell r="G753">
            <v>3811.6436184189829</v>
          </cell>
          <cell r="H753">
            <v>0</v>
          </cell>
          <cell r="I753">
            <v>0</v>
          </cell>
          <cell r="J753">
            <v>0</v>
          </cell>
          <cell r="K753">
            <v>6352.7393640316386</v>
          </cell>
          <cell r="M753">
            <v>3811.6436184189829</v>
          </cell>
          <cell r="N753">
            <v>1</v>
          </cell>
        </row>
        <row r="754">
          <cell r="A754">
            <v>2033</v>
          </cell>
          <cell r="B754" t="str">
            <v>Neodymium</v>
          </cell>
          <cell r="C754" t="str">
            <v>Canada Net-zero</v>
          </cell>
          <cell r="D754" t="str">
            <v>Production potential</v>
          </cell>
          <cell r="E754" t="str">
            <v>Current shares</v>
          </cell>
          <cell r="F754" t="str">
            <v>Expansion Extractive</v>
          </cell>
          <cell r="G754">
            <v>3811.6436184189829</v>
          </cell>
          <cell r="H754">
            <v>40.779406961821003</v>
          </cell>
          <cell r="I754">
            <v>24.408265853118081</v>
          </cell>
          <cell r="J754">
            <v>16.371141108702922</v>
          </cell>
          <cell r="K754">
            <v>6311.9599570698174</v>
          </cell>
          <cell r="M754">
            <v>3770.8642114571621</v>
          </cell>
          <cell r="N754">
            <v>1</v>
          </cell>
        </row>
        <row r="755">
          <cell r="A755">
            <v>2033</v>
          </cell>
          <cell r="B755" t="str">
            <v>Neodymium</v>
          </cell>
          <cell r="C755" t="str">
            <v>Canada Net-zero</v>
          </cell>
          <cell r="D755" t="str">
            <v>Production potential</v>
          </cell>
          <cell r="E755" t="str">
            <v>Current shares</v>
          </cell>
          <cell r="F755" t="str">
            <v>Expansion Extractive+Circularity</v>
          </cell>
          <cell r="G755">
            <v>3811.6436184189829</v>
          </cell>
          <cell r="H755">
            <v>40.779406961821003</v>
          </cell>
          <cell r="I755">
            <v>24.408265853118081</v>
          </cell>
          <cell r="J755">
            <v>16.371141108702922</v>
          </cell>
          <cell r="K755">
            <v>6311.9599570698174</v>
          </cell>
          <cell r="M755">
            <v>3770.8642114571621</v>
          </cell>
          <cell r="N755">
            <v>1</v>
          </cell>
        </row>
        <row r="756">
          <cell r="A756">
            <v>2033</v>
          </cell>
          <cell r="B756" t="str">
            <v>Neodymium</v>
          </cell>
          <cell r="C756" t="str">
            <v>Canada Net-zero</v>
          </cell>
          <cell r="D756" t="str">
            <v>Production potential</v>
          </cell>
          <cell r="E756" t="str">
            <v>100% CAN</v>
          </cell>
          <cell r="F756" t="str">
            <v>Integrated</v>
          </cell>
          <cell r="G756">
            <v>3811.6436184189829</v>
          </cell>
          <cell r="H756">
            <v>40.779406961821003</v>
          </cell>
          <cell r="I756">
            <v>24.408265853118081</v>
          </cell>
          <cell r="J756">
            <v>16.371141108702922</v>
          </cell>
          <cell r="K756">
            <v>6311.9599570698174</v>
          </cell>
          <cell r="M756">
            <v>3770.8642114571621</v>
          </cell>
          <cell r="N756">
            <v>1</v>
          </cell>
        </row>
        <row r="757">
          <cell r="A757">
            <v>2033</v>
          </cell>
          <cell r="B757" t="str">
            <v>Neodymium</v>
          </cell>
          <cell r="C757" t="str">
            <v>Current Measures</v>
          </cell>
          <cell r="D757" t="str">
            <v>Existing production</v>
          </cell>
          <cell r="E757" t="str">
            <v>Current shares</v>
          </cell>
          <cell r="F757" t="str">
            <v>NIMBY</v>
          </cell>
          <cell r="G757">
            <v>1273.1494864569349</v>
          </cell>
          <cell r="H757">
            <v>0</v>
          </cell>
          <cell r="I757">
            <v>0</v>
          </cell>
          <cell r="J757">
            <v>0</v>
          </cell>
          <cell r="K757">
            <v>2121.915810761559</v>
          </cell>
          <cell r="M757">
            <v>1273.1494864569349</v>
          </cell>
          <cell r="N757">
            <v>1</v>
          </cell>
        </row>
        <row r="758">
          <cell r="A758">
            <v>2033</v>
          </cell>
          <cell r="B758" t="str">
            <v>Neodymium</v>
          </cell>
          <cell r="C758" t="str">
            <v>Current Measures</v>
          </cell>
          <cell r="D758" t="str">
            <v>Existing production</v>
          </cell>
          <cell r="E758" t="str">
            <v>Current shares</v>
          </cell>
          <cell r="F758" t="str">
            <v>Status Quo</v>
          </cell>
          <cell r="G758">
            <v>1273.1494864569349</v>
          </cell>
          <cell r="H758">
            <v>0</v>
          </cell>
          <cell r="I758">
            <v>0</v>
          </cell>
          <cell r="J758">
            <v>0</v>
          </cell>
          <cell r="K758">
            <v>2121.915810761559</v>
          </cell>
          <cell r="M758">
            <v>1273.1494864569349</v>
          </cell>
          <cell r="N758">
            <v>1</v>
          </cell>
        </row>
        <row r="759">
          <cell r="A759">
            <v>2033</v>
          </cell>
          <cell r="B759" t="str">
            <v>Neodymium</v>
          </cell>
          <cell r="C759" t="str">
            <v>Current Measures</v>
          </cell>
          <cell r="D759" t="str">
            <v>Production potential</v>
          </cell>
          <cell r="E759" t="str">
            <v>Current shares</v>
          </cell>
          <cell r="F759" t="str">
            <v>Expansion Extractive</v>
          </cell>
          <cell r="G759">
            <v>1273.1494864569349</v>
          </cell>
          <cell r="H759">
            <v>40.779406961821003</v>
          </cell>
          <cell r="I759">
            <v>24.408265853118081</v>
          </cell>
          <cell r="J759">
            <v>16.371141108702922</v>
          </cell>
          <cell r="K759">
            <v>2081.1364037997369</v>
          </cell>
          <cell r="M759">
            <v>1232.3700794951142</v>
          </cell>
          <cell r="N759">
            <v>1</v>
          </cell>
        </row>
        <row r="760">
          <cell r="A760">
            <v>2033</v>
          </cell>
          <cell r="B760" t="str">
            <v>Neodymium</v>
          </cell>
          <cell r="C760" t="str">
            <v>Current Measures</v>
          </cell>
          <cell r="D760" t="str">
            <v>Production potential</v>
          </cell>
          <cell r="E760" t="str">
            <v>Current shares</v>
          </cell>
          <cell r="F760" t="str">
            <v>Expansion Extractive+Circularity</v>
          </cell>
          <cell r="G760">
            <v>1273.1494864569349</v>
          </cell>
          <cell r="H760">
            <v>40.779406961821003</v>
          </cell>
          <cell r="I760">
            <v>24.408265853118081</v>
          </cell>
          <cell r="J760">
            <v>16.371141108702922</v>
          </cell>
          <cell r="K760">
            <v>2081.1364037997369</v>
          </cell>
          <cell r="M760">
            <v>1232.3700794951142</v>
          </cell>
          <cell r="N760">
            <v>1</v>
          </cell>
        </row>
        <row r="761">
          <cell r="A761">
            <v>2033</v>
          </cell>
          <cell r="B761" t="str">
            <v>Neodymium</v>
          </cell>
          <cell r="C761" t="str">
            <v>Current Measures</v>
          </cell>
          <cell r="D761" t="str">
            <v>Production potential</v>
          </cell>
          <cell r="E761" t="str">
            <v>100% CAN</v>
          </cell>
          <cell r="F761" t="str">
            <v>Integrated</v>
          </cell>
          <cell r="G761">
            <v>1273.1494864569349</v>
          </cell>
          <cell r="H761">
            <v>40.779406961821003</v>
          </cell>
          <cell r="I761">
            <v>24.408265853118081</v>
          </cell>
          <cell r="J761">
            <v>16.371141108702922</v>
          </cell>
          <cell r="K761">
            <v>2081.1364037997369</v>
          </cell>
          <cell r="M761">
            <v>1232.3700794951142</v>
          </cell>
          <cell r="N761">
            <v>1</v>
          </cell>
        </row>
        <row r="762">
          <cell r="A762">
            <v>2033</v>
          </cell>
          <cell r="B762" t="str">
            <v>Neodymium</v>
          </cell>
          <cell r="C762" t="str">
            <v>Global Net-zero</v>
          </cell>
          <cell r="D762" t="str">
            <v>Existing production</v>
          </cell>
          <cell r="E762" t="str">
            <v>Current shares</v>
          </cell>
          <cell r="F762" t="str">
            <v>NIMBY</v>
          </cell>
          <cell r="G762">
            <v>3651.300473373256</v>
          </cell>
          <cell r="H762">
            <v>0</v>
          </cell>
          <cell r="I762">
            <v>0</v>
          </cell>
          <cell r="J762">
            <v>0</v>
          </cell>
          <cell r="K762">
            <v>6085.5007889554272</v>
          </cell>
          <cell r="M762">
            <v>3651.300473373256</v>
          </cell>
          <cell r="N762">
            <v>1</v>
          </cell>
        </row>
        <row r="763">
          <cell r="A763">
            <v>2033</v>
          </cell>
          <cell r="B763" t="str">
            <v>Neodymium</v>
          </cell>
          <cell r="C763" t="str">
            <v>Global Net-zero</v>
          </cell>
          <cell r="D763" t="str">
            <v>Existing production</v>
          </cell>
          <cell r="E763" t="str">
            <v>Current shares</v>
          </cell>
          <cell r="F763" t="str">
            <v>Status Quo</v>
          </cell>
          <cell r="G763">
            <v>3651.300473373256</v>
          </cell>
          <cell r="H763">
            <v>0</v>
          </cell>
          <cell r="I763">
            <v>0</v>
          </cell>
          <cell r="J763">
            <v>0</v>
          </cell>
          <cell r="K763">
            <v>6085.5007889554272</v>
          </cell>
          <cell r="M763">
            <v>3651.300473373256</v>
          </cell>
          <cell r="N763">
            <v>1</v>
          </cell>
        </row>
        <row r="764">
          <cell r="A764">
            <v>2033</v>
          </cell>
          <cell r="B764" t="str">
            <v>Neodymium</v>
          </cell>
          <cell r="C764" t="str">
            <v>Global Net-zero</v>
          </cell>
          <cell r="D764" t="str">
            <v>Production potential</v>
          </cell>
          <cell r="E764" t="str">
            <v>Current shares</v>
          </cell>
          <cell r="F764" t="str">
            <v>Expansion Extractive</v>
          </cell>
          <cell r="G764">
            <v>3651.300473373256</v>
          </cell>
          <cell r="H764">
            <v>40.779406961821003</v>
          </cell>
          <cell r="I764">
            <v>24.408265853118081</v>
          </cell>
          <cell r="J764">
            <v>16.371141108702922</v>
          </cell>
          <cell r="K764">
            <v>6044.721381993606</v>
          </cell>
          <cell r="M764">
            <v>3610.5210664114352</v>
          </cell>
          <cell r="N764">
            <v>1</v>
          </cell>
        </row>
        <row r="765">
          <cell r="A765">
            <v>2033</v>
          </cell>
          <cell r="B765" t="str">
            <v>Neodymium</v>
          </cell>
          <cell r="C765" t="str">
            <v>Global Net-zero</v>
          </cell>
          <cell r="D765" t="str">
            <v>Production potential</v>
          </cell>
          <cell r="E765" t="str">
            <v>Current shares</v>
          </cell>
          <cell r="F765" t="str">
            <v>Expansion Extractive+Circularity</v>
          </cell>
          <cell r="G765">
            <v>3651.300473373256</v>
          </cell>
          <cell r="H765">
            <v>40.779406961821003</v>
          </cell>
          <cell r="I765">
            <v>24.408265853118081</v>
          </cell>
          <cell r="J765">
            <v>16.371141108702922</v>
          </cell>
          <cell r="K765">
            <v>6044.721381993606</v>
          </cell>
          <cell r="M765">
            <v>3610.5210664114352</v>
          </cell>
          <cell r="N765">
            <v>1</v>
          </cell>
        </row>
        <row r="766">
          <cell r="A766">
            <v>2033</v>
          </cell>
          <cell r="B766" t="str">
            <v>Neodymium</v>
          </cell>
          <cell r="C766" t="str">
            <v>Global Net-zero</v>
          </cell>
          <cell r="D766" t="str">
            <v>Production potential</v>
          </cell>
          <cell r="E766" t="str">
            <v>100% CAN</v>
          </cell>
          <cell r="F766" t="str">
            <v>Integrated</v>
          </cell>
          <cell r="G766">
            <v>3651.300473373256</v>
          </cell>
          <cell r="H766">
            <v>40.779406961821003</v>
          </cell>
          <cell r="I766">
            <v>24.408265853118081</v>
          </cell>
          <cell r="J766">
            <v>16.371141108702922</v>
          </cell>
          <cell r="K766">
            <v>6044.721381993606</v>
          </cell>
          <cell r="M766">
            <v>3610.5210664114352</v>
          </cell>
          <cell r="N766">
            <v>1</v>
          </cell>
        </row>
        <row r="767">
          <cell r="A767">
            <v>2033</v>
          </cell>
          <cell r="B767" t="str">
            <v>Nickel</v>
          </cell>
          <cell r="C767" t="str">
            <v>Canada Net-zero</v>
          </cell>
          <cell r="D767" t="str">
            <v>Existing production</v>
          </cell>
          <cell r="E767" t="str">
            <v>Current shares</v>
          </cell>
          <cell r="F767" t="str">
            <v>NIMBY</v>
          </cell>
          <cell r="G767">
            <v>124090.4972141906</v>
          </cell>
          <cell r="H767">
            <v>0</v>
          </cell>
          <cell r="I767">
            <v>0</v>
          </cell>
          <cell r="J767">
            <v>0</v>
          </cell>
          <cell r="K767">
            <v>157076.57875213999</v>
          </cell>
          <cell r="M767">
            <v>124090.4972141906</v>
          </cell>
          <cell r="N767">
            <v>0.69917047091553897</v>
          </cell>
        </row>
        <row r="768">
          <cell r="A768">
            <v>2033</v>
          </cell>
          <cell r="B768" t="str">
            <v>Nickel</v>
          </cell>
          <cell r="C768" t="str">
            <v>Canada Net-zero</v>
          </cell>
          <cell r="D768" t="str">
            <v>Existing production</v>
          </cell>
          <cell r="E768" t="str">
            <v>Current shares</v>
          </cell>
          <cell r="F768" t="str">
            <v>Status Quo</v>
          </cell>
          <cell r="G768">
            <v>124090.4972141906</v>
          </cell>
          <cell r="H768">
            <v>120288</v>
          </cell>
          <cell r="I768">
            <v>67467.138598854319</v>
          </cell>
          <cell r="J768">
            <v>16634.679006634033</v>
          </cell>
          <cell r="K768">
            <v>36788.578752139991</v>
          </cell>
          <cell r="M768">
            <v>39988.679608702245</v>
          </cell>
          <cell r="N768">
            <v>0.69917047091553897</v>
          </cell>
        </row>
        <row r="769">
          <cell r="A769">
            <v>2033</v>
          </cell>
          <cell r="B769" t="str">
            <v>Nickel</v>
          </cell>
          <cell r="C769" t="str">
            <v>Canada Net-zero</v>
          </cell>
          <cell r="D769" t="str">
            <v>Production potential</v>
          </cell>
          <cell r="E769" t="str">
            <v>Current shares</v>
          </cell>
          <cell r="F769" t="str">
            <v>Expansion Extractive</v>
          </cell>
          <cell r="G769">
            <v>124090.4972141906</v>
          </cell>
          <cell r="H769">
            <v>206578.6229524189</v>
          </cell>
          <cell r="I769">
            <v>115865.8269011981</v>
          </cell>
          <cell r="J769">
            <v>28567.84618952818</v>
          </cell>
          <cell r="K769">
            <v>0</v>
          </cell>
          <cell r="M769">
            <v>0</v>
          </cell>
          <cell r="N769">
            <v>0.69917047091553897</v>
          </cell>
        </row>
        <row r="770">
          <cell r="A770">
            <v>2033</v>
          </cell>
          <cell r="B770" t="str">
            <v>Nickel</v>
          </cell>
          <cell r="C770" t="str">
            <v>Canada Net-zero</v>
          </cell>
          <cell r="D770" t="str">
            <v>Production potential</v>
          </cell>
          <cell r="E770" t="str">
            <v>Current shares</v>
          </cell>
          <cell r="F770" t="str">
            <v>Expansion Extractive+Circularity</v>
          </cell>
          <cell r="G770">
            <v>124090.4972141906</v>
          </cell>
          <cell r="H770">
            <v>206578.6229524189</v>
          </cell>
          <cell r="I770">
            <v>115865.8269011981</v>
          </cell>
          <cell r="J770">
            <v>28567.84618952818</v>
          </cell>
          <cell r="K770">
            <v>0</v>
          </cell>
          <cell r="M770">
            <v>0</v>
          </cell>
          <cell r="N770">
            <v>0.69917047091553897</v>
          </cell>
        </row>
        <row r="771">
          <cell r="A771">
            <v>2033</v>
          </cell>
          <cell r="B771" t="str">
            <v>Nickel</v>
          </cell>
          <cell r="C771" t="str">
            <v>Canada Net-zero</v>
          </cell>
          <cell r="D771" t="str">
            <v>Production potential</v>
          </cell>
          <cell r="E771" t="str">
            <v>100% CAN</v>
          </cell>
          <cell r="F771" t="str">
            <v>Integrated</v>
          </cell>
          <cell r="G771">
            <v>124090.4972141906</v>
          </cell>
          <cell r="H771">
            <v>206578.6229524189</v>
          </cell>
          <cell r="I771">
            <v>162692.0267500823</v>
          </cell>
          <cell r="J771">
            <v>-18258.353659356013</v>
          </cell>
          <cell r="K771">
            <v>0</v>
          </cell>
          <cell r="M771">
            <v>18258.353659356013</v>
          </cell>
          <cell r="N771">
            <v>0.69917047091553897</v>
          </cell>
        </row>
        <row r="772">
          <cell r="A772">
            <v>2033</v>
          </cell>
          <cell r="B772" t="str">
            <v>Nickel</v>
          </cell>
          <cell r="C772" t="str">
            <v>Current Measures</v>
          </cell>
          <cell r="D772" t="str">
            <v>Existing production</v>
          </cell>
          <cell r="E772" t="str">
            <v>Current shares</v>
          </cell>
          <cell r="F772" t="str">
            <v>NIMBY</v>
          </cell>
          <cell r="G772">
            <v>53307.585959490927</v>
          </cell>
          <cell r="H772">
            <v>0</v>
          </cell>
          <cell r="I772">
            <v>0</v>
          </cell>
          <cell r="J772">
            <v>0</v>
          </cell>
          <cell r="K772">
            <v>67477.956910748006</v>
          </cell>
          <cell r="M772">
            <v>53307.585959490927</v>
          </cell>
          <cell r="N772">
            <v>0.69917047091553897</v>
          </cell>
        </row>
        <row r="773">
          <cell r="A773">
            <v>2033</v>
          </cell>
          <cell r="B773" t="str">
            <v>Nickel</v>
          </cell>
          <cell r="C773" t="str">
            <v>Current Measures</v>
          </cell>
          <cell r="D773" t="str">
            <v>Existing production</v>
          </cell>
          <cell r="E773" t="str">
            <v>Current shares</v>
          </cell>
          <cell r="F773" t="str">
            <v>Status Quo</v>
          </cell>
          <cell r="G773">
            <v>53307.585959490927</v>
          </cell>
          <cell r="H773">
            <v>120288</v>
          </cell>
          <cell r="I773">
            <v>67467.138598854319</v>
          </cell>
          <cell r="J773">
            <v>16634.679006634033</v>
          </cell>
          <cell r="K773">
            <v>0</v>
          </cell>
          <cell r="M773">
            <v>0</v>
          </cell>
          <cell r="N773">
            <v>0.69917047091553897</v>
          </cell>
        </row>
        <row r="774">
          <cell r="A774">
            <v>2033</v>
          </cell>
          <cell r="B774" t="str">
            <v>Nickel</v>
          </cell>
          <cell r="C774" t="str">
            <v>Current Measures</v>
          </cell>
          <cell r="D774" t="str">
            <v>Production potential</v>
          </cell>
          <cell r="E774" t="str">
            <v>Current shares</v>
          </cell>
          <cell r="F774" t="str">
            <v>Expansion Extractive</v>
          </cell>
          <cell r="G774">
            <v>53307.585959490927</v>
          </cell>
          <cell r="H774">
            <v>206578.6229524189</v>
          </cell>
          <cell r="I774">
            <v>115865.8269011981</v>
          </cell>
          <cell r="J774">
            <v>28567.84618952818</v>
          </cell>
          <cell r="K774">
            <v>0</v>
          </cell>
          <cell r="M774">
            <v>0</v>
          </cell>
          <cell r="N774">
            <v>0.69917047091553897</v>
          </cell>
        </row>
        <row r="775">
          <cell r="A775">
            <v>2033</v>
          </cell>
          <cell r="B775" t="str">
            <v>Nickel</v>
          </cell>
          <cell r="C775" t="str">
            <v>Current Measures</v>
          </cell>
          <cell r="D775" t="str">
            <v>Production potential</v>
          </cell>
          <cell r="E775" t="str">
            <v>Current shares</v>
          </cell>
          <cell r="F775" t="str">
            <v>Expansion Extractive+Circularity</v>
          </cell>
          <cell r="G775">
            <v>53307.585959490927</v>
          </cell>
          <cell r="H775">
            <v>206578.6229524189</v>
          </cell>
          <cell r="I775">
            <v>115865.8269011981</v>
          </cell>
          <cell r="J775">
            <v>28567.84618952818</v>
          </cell>
          <cell r="K775">
            <v>0</v>
          </cell>
          <cell r="M775">
            <v>0</v>
          </cell>
          <cell r="N775">
            <v>0.69917047091553897</v>
          </cell>
        </row>
        <row r="776">
          <cell r="A776">
            <v>2033</v>
          </cell>
          <cell r="B776" t="str">
            <v>Nickel</v>
          </cell>
          <cell r="C776" t="str">
            <v>Current Measures</v>
          </cell>
          <cell r="D776" t="str">
            <v>Production potential</v>
          </cell>
          <cell r="E776" t="str">
            <v>100% CAN</v>
          </cell>
          <cell r="F776" t="str">
            <v>Integrated</v>
          </cell>
          <cell r="G776">
            <v>53307.585959490927</v>
          </cell>
          <cell r="H776">
            <v>206578.6229524189</v>
          </cell>
          <cell r="I776">
            <v>162692.0267500823</v>
          </cell>
          <cell r="J776">
            <v>-18258.353659356013</v>
          </cell>
          <cell r="K776">
            <v>0</v>
          </cell>
          <cell r="M776">
            <v>18258.353659356013</v>
          </cell>
          <cell r="N776">
            <v>0.69917047091553897</v>
          </cell>
        </row>
        <row r="777">
          <cell r="A777">
            <v>2033</v>
          </cell>
          <cell r="B777" t="str">
            <v>Nickel</v>
          </cell>
          <cell r="C777" t="str">
            <v>Global Net-zero</v>
          </cell>
          <cell r="D777" t="str">
            <v>Existing production</v>
          </cell>
          <cell r="E777" t="str">
            <v>Current shares</v>
          </cell>
          <cell r="F777" t="str">
            <v>NIMBY</v>
          </cell>
          <cell r="G777">
            <v>118786.33724341739</v>
          </cell>
          <cell r="H777">
            <v>0</v>
          </cell>
          <cell r="I777">
            <v>0</v>
          </cell>
          <cell r="J777">
            <v>0</v>
          </cell>
          <cell r="K777">
            <v>150362.45220685739</v>
          </cell>
          <cell r="M777">
            <v>118786.33724341739</v>
          </cell>
          <cell r="N777">
            <v>0.69917047091553897</v>
          </cell>
        </row>
        <row r="778">
          <cell r="A778">
            <v>2033</v>
          </cell>
          <cell r="B778" t="str">
            <v>Nickel</v>
          </cell>
          <cell r="C778" t="str">
            <v>Global Net-zero</v>
          </cell>
          <cell r="D778" t="str">
            <v>Existing production</v>
          </cell>
          <cell r="E778" t="str">
            <v>Current shares</v>
          </cell>
          <cell r="F778" t="str">
            <v>Status Quo</v>
          </cell>
          <cell r="G778">
            <v>118786.33724341739</v>
          </cell>
          <cell r="H778">
            <v>120288</v>
          </cell>
          <cell r="I778">
            <v>67467.138598854319</v>
          </cell>
          <cell r="J778">
            <v>16634.679006634033</v>
          </cell>
          <cell r="K778">
            <v>30074.452206857441</v>
          </cell>
          <cell r="M778">
            <v>34684.51963792905</v>
          </cell>
          <cell r="N778">
            <v>0.69917047091553897</v>
          </cell>
        </row>
        <row r="779">
          <cell r="A779">
            <v>2033</v>
          </cell>
          <cell r="B779" t="str">
            <v>Nickel</v>
          </cell>
          <cell r="C779" t="str">
            <v>Global Net-zero</v>
          </cell>
          <cell r="D779" t="str">
            <v>Production potential</v>
          </cell>
          <cell r="E779" t="str">
            <v>Current shares</v>
          </cell>
          <cell r="F779" t="str">
            <v>Expansion Extractive</v>
          </cell>
          <cell r="G779">
            <v>118786.33724341739</v>
          </cell>
          <cell r="H779">
            <v>206578.6229524189</v>
          </cell>
          <cell r="I779">
            <v>115865.8269011981</v>
          </cell>
          <cell r="J779">
            <v>28567.84618952818</v>
          </cell>
          <cell r="K779">
            <v>0</v>
          </cell>
          <cell r="M779">
            <v>0</v>
          </cell>
          <cell r="N779">
            <v>0.69917047091553897</v>
          </cell>
        </row>
        <row r="780">
          <cell r="A780">
            <v>2033</v>
          </cell>
          <cell r="B780" t="str">
            <v>Nickel</v>
          </cell>
          <cell r="C780" t="str">
            <v>Global Net-zero</v>
          </cell>
          <cell r="D780" t="str">
            <v>Production potential</v>
          </cell>
          <cell r="E780" t="str">
            <v>Current shares</v>
          </cell>
          <cell r="F780" t="str">
            <v>Expansion Extractive+Circularity</v>
          </cell>
          <cell r="G780">
            <v>118786.33724341739</v>
          </cell>
          <cell r="H780">
            <v>206578.6229524189</v>
          </cell>
          <cell r="I780">
            <v>115865.8269011981</v>
          </cell>
          <cell r="J780">
            <v>28567.84618952818</v>
          </cell>
          <cell r="K780">
            <v>0</v>
          </cell>
          <cell r="M780">
            <v>0</v>
          </cell>
          <cell r="N780">
            <v>0.69917047091553897</v>
          </cell>
        </row>
        <row r="781">
          <cell r="A781">
            <v>2033</v>
          </cell>
          <cell r="B781" t="str">
            <v>Nickel</v>
          </cell>
          <cell r="C781" t="str">
            <v>Global Net-zero</v>
          </cell>
          <cell r="D781" t="str">
            <v>Production potential</v>
          </cell>
          <cell r="E781" t="str">
            <v>100% CAN</v>
          </cell>
          <cell r="F781" t="str">
            <v>Integrated</v>
          </cell>
          <cell r="G781">
            <v>118786.33724341739</v>
          </cell>
          <cell r="H781">
            <v>206578.6229524189</v>
          </cell>
          <cell r="I781">
            <v>162692.0267500823</v>
          </cell>
          <cell r="J781">
            <v>-18258.353659356013</v>
          </cell>
          <cell r="K781">
            <v>0</v>
          </cell>
          <cell r="M781">
            <v>18258.353659356013</v>
          </cell>
          <cell r="N781">
            <v>0.69917047091553897</v>
          </cell>
        </row>
        <row r="782">
          <cell r="A782">
            <v>2033</v>
          </cell>
          <cell r="B782" t="str">
            <v>Graphite</v>
          </cell>
          <cell r="C782" t="str">
            <v>Canada Net-zero</v>
          </cell>
          <cell r="D782" t="str">
            <v>Existing production</v>
          </cell>
          <cell r="E782" t="str">
            <v>Current shares</v>
          </cell>
          <cell r="F782" t="str">
            <v>NIMBY</v>
          </cell>
          <cell r="G782">
            <v>2712.6977060483359</v>
          </cell>
          <cell r="H782">
            <v>0</v>
          </cell>
          <cell r="I782">
            <v>0</v>
          </cell>
          <cell r="J782">
            <v>0</v>
          </cell>
          <cell r="K782">
            <v>2712.6977060483359</v>
          </cell>
          <cell r="M782">
            <v>2712.6977060483359</v>
          </cell>
          <cell r="N782">
            <v>0.59854391398996798</v>
          </cell>
        </row>
        <row r="783">
          <cell r="A783">
            <v>2033</v>
          </cell>
          <cell r="B783" t="str">
            <v>Graphite</v>
          </cell>
          <cell r="C783" t="str">
            <v>Canada Net-zero</v>
          </cell>
          <cell r="D783" t="str">
            <v>Existing production</v>
          </cell>
          <cell r="E783" t="str">
            <v>Current shares</v>
          </cell>
          <cell r="F783" t="str">
            <v>Status Quo</v>
          </cell>
          <cell r="G783">
            <v>2712.6977060483359</v>
          </cell>
          <cell r="H783">
            <v>0</v>
          </cell>
          <cell r="I783">
            <v>0</v>
          </cell>
          <cell r="J783">
            <v>0</v>
          </cell>
          <cell r="K783">
            <v>2712.6977060483359</v>
          </cell>
          <cell r="M783">
            <v>2712.6977060483359</v>
          </cell>
          <cell r="N783">
            <v>0.59854391398996798</v>
          </cell>
        </row>
        <row r="784">
          <cell r="A784">
            <v>2033</v>
          </cell>
          <cell r="B784" t="str">
            <v>Graphite</v>
          </cell>
          <cell r="C784" t="str">
            <v>Canada Net-zero</v>
          </cell>
          <cell r="D784" t="str">
            <v>Production potential</v>
          </cell>
          <cell r="E784" t="str">
            <v>Current shares</v>
          </cell>
          <cell r="F784" t="str">
            <v>Expansion Extractive</v>
          </cell>
          <cell r="G784">
            <v>2712.6977060483359</v>
          </cell>
          <cell r="H784">
            <v>107337.13919856019</v>
          </cell>
          <cell r="I784">
            <v>35421.255935524867</v>
          </cell>
          <cell r="J784">
            <v>28824.735476867369</v>
          </cell>
          <cell r="K784">
            <v>0</v>
          </cell>
          <cell r="M784">
            <v>0</v>
          </cell>
          <cell r="N784">
            <v>0.59854391398996798</v>
          </cell>
        </row>
        <row r="785">
          <cell r="A785">
            <v>2033</v>
          </cell>
          <cell r="B785" t="str">
            <v>Graphite</v>
          </cell>
          <cell r="C785" t="str">
            <v>Canada Net-zero</v>
          </cell>
          <cell r="D785" t="str">
            <v>Production potential</v>
          </cell>
          <cell r="E785" t="str">
            <v>Current shares</v>
          </cell>
          <cell r="F785" t="str">
            <v>Expansion Extractive+Circularity</v>
          </cell>
          <cell r="G785">
            <v>2712.6977060483359</v>
          </cell>
          <cell r="H785">
            <v>107337.13919856019</v>
          </cell>
          <cell r="I785">
            <v>35421.255935524867</v>
          </cell>
          <cell r="J785">
            <v>28824.735476867369</v>
          </cell>
          <cell r="K785">
            <v>0</v>
          </cell>
          <cell r="M785">
            <v>0</v>
          </cell>
          <cell r="N785">
            <v>0.59854391398996798</v>
          </cell>
        </row>
        <row r="786">
          <cell r="A786">
            <v>2033</v>
          </cell>
          <cell r="B786" t="str">
            <v>Graphite</v>
          </cell>
          <cell r="C786" t="str">
            <v>Canada Net-zero</v>
          </cell>
          <cell r="D786" t="str">
            <v>Production potential</v>
          </cell>
          <cell r="E786" t="str">
            <v>100% CAN</v>
          </cell>
          <cell r="F786" t="str">
            <v>Integrated</v>
          </cell>
          <cell r="G786">
            <v>2712.6977060483359</v>
          </cell>
          <cell r="H786">
            <v>107337.13919856019</v>
          </cell>
          <cell r="I786">
            <v>35421.255935524867</v>
          </cell>
          <cell r="J786">
            <v>28824.735476867369</v>
          </cell>
          <cell r="K786">
            <v>0</v>
          </cell>
          <cell r="M786">
            <v>0</v>
          </cell>
          <cell r="N786">
            <v>0.59854391398996798</v>
          </cell>
        </row>
        <row r="787">
          <cell r="A787">
            <v>2033</v>
          </cell>
          <cell r="B787" t="str">
            <v>Graphite</v>
          </cell>
          <cell r="C787" t="str">
            <v>Current Measures</v>
          </cell>
          <cell r="D787" t="str">
            <v>Existing production</v>
          </cell>
          <cell r="E787" t="str">
            <v>Current shares</v>
          </cell>
          <cell r="F787" t="str">
            <v>NIMBY</v>
          </cell>
          <cell r="G787">
            <v>1062.914972515613</v>
          </cell>
          <cell r="H787">
            <v>0</v>
          </cell>
          <cell r="I787">
            <v>0</v>
          </cell>
          <cell r="J787">
            <v>0</v>
          </cell>
          <cell r="K787">
            <v>1062.914972515613</v>
          </cell>
          <cell r="M787">
            <v>1062.914972515613</v>
          </cell>
          <cell r="N787">
            <v>0.59854391398996798</v>
          </cell>
        </row>
        <row r="788">
          <cell r="A788">
            <v>2033</v>
          </cell>
          <cell r="B788" t="str">
            <v>Graphite</v>
          </cell>
          <cell r="C788" t="str">
            <v>Current Measures</v>
          </cell>
          <cell r="D788" t="str">
            <v>Existing production</v>
          </cell>
          <cell r="E788" t="str">
            <v>Current shares</v>
          </cell>
          <cell r="F788" t="str">
            <v>Status Quo</v>
          </cell>
          <cell r="G788">
            <v>1062.914972515613</v>
          </cell>
          <cell r="H788">
            <v>0</v>
          </cell>
          <cell r="I788">
            <v>0</v>
          </cell>
          <cell r="J788">
            <v>0</v>
          </cell>
          <cell r="K788">
            <v>1062.914972515613</v>
          </cell>
          <cell r="M788">
            <v>1062.914972515613</v>
          </cell>
          <cell r="N788">
            <v>0.59854391398996798</v>
          </cell>
        </row>
        <row r="789">
          <cell r="A789">
            <v>2033</v>
          </cell>
          <cell r="B789" t="str">
            <v>Graphite</v>
          </cell>
          <cell r="C789" t="str">
            <v>Current Measures</v>
          </cell>
          <cell r="D789" t="str">
            <v>Production potential</v>
          </cell>
          <cell r="E789" t="str">
            <v>Current shares</v>
          </cell>
          <cell r="F789" t="str">
            <v>Expansion Extractive</v>
          </cell>
          <cell r="G789">
            <v>1062.914972515613</v>
          </cell>
          <cell r="H789">
            <v>107337.13919856019</v>
          </cell>
          <cell r="I789">
            <v>35421.255935524867</v>
          </cell>
          <cell r="J789">
            <v>28824.735476867369</v>
          </cell>
          <cell r="K789">
            <v>0</v>
          </cell>
          <cell r="M789">
            <v>0</v>
          </cell>
          <cell r="N789">
            <v>0.59854391398996798</v>
          </cell>
        </row>
        <row r="790">
          <cell r="A790">
            <v>2033</v>
          </cell>
          <cell r="B790" t="str">
            <v>Graphite</v>
          </cell>
          <cell r="C790" t="str">
            <v>Current Measures</v>
          </cell>
          <cell r="D790" t="str">
            <v>Production potential</v>
          </cell>
          <cell r="E790" t="str">
            <v>Current shares</v>
          </cell>
          <cell r="F790" t="str">
            <v>Expansion Extractive+Circularity</v>
          </cell>
          <cell r="G790">
            <v>1062.914972515613</v>
          </cell>
          <cell r="H790">
            <v>107337.13919856019</v>
          </cell>
          <cell r="I790">
            <v>35421.255935524867</v>
          </cell>
          <cell r="J790">
            <v>28824.735476867369</v>
          </cell>
          <cell r="K790">
            <v>0</v>
          </cell>
          <cell r="M790">
            <v>0</v>
          </cell>
          <cell r="N790">
            <v>0.59854391398996798</v>
          </cell>
        </row>
        <row r="791">
          <cell r="A791">
            <v>2033</v>
          </cell>
          <cell r="B791" t="str">
            <v>Graphite</v>
          </cell>
          <cell r="C791" t="str">
            <v>Current Measures</v>
          </cell>
          <cell r="D791" t="str">
            <v>Production potential</v>
          </cell>
          <cell r="E791" t="str">
            <v>100% CAN</v>
          </cell>
          <cell r="F791" t="str">
            <v>Integrated</v>
          </cell>
          <cell r="G791">
            <v>1062.914972515613</v>
          </cell>
          <cell r="H791">
            <v>107337.13919856019</v>
          </cell>
          <cell r="I791">
            <v>35421.255935524867</v>
          </cell>
          <cell r="J791">
            <v>28824.735476867369</v>
          </cell>
          <cell r="K791">
            <v>0</v>
          </cell>
          <cell r="M791">
            <v>0</v>
          </cell>
          <cell r="N791">
            <v>0.59854391398996798</v>
          </cell>
        </row>
        <row r="792">
          <cell r="A792">
            <v>2033</v>
          </cell>
          <cell r="B792" t="str">
            <v>Graphite</v>
          </cell>
          <cell r="C792" t="str">
            <v>Global Net-zero</v>
          </cell>
          <cell r="D792" t="str">
            <v>Existing production</v>
          </cell>
          <cell r="E792" t="str">
            <v>Current shares</v>
          </cell>
          <cell r="F792" t="str">
            <v>NIMBY</v>
          </cell>
          <cell r="G792">
            <v>2578.831941326835</v>
          </cell>
          <cell r="H792">
            <v>0</v>
          </cell>
          <cell r="I792">
            <v>0</v>
          </cell>
          <cell r="J792">
            <v>0</v>
          </cell>
          <cell r="K792">
            <v>2578.831941326835</v>
          </cell>
          <cell r="M792">
            <v>2578.831941326835</v>
          </cell>
          <cell r="N792">
            <v>0.59854391398996798</v>
          </cell>
        </row>
        <row r="793">
          <cell r="A793">
            <v>2033</v>
          </cell>
          <cell r="B793" t="str">
            <v>Graphite</v>
          </cell>
          <cell r="C793" t="str">
            <v>Global Net-zero</v>
          </cell>
          <cell r="D793" t="str">
            <v>Existing production</v>
          </cell>
          <cell r="E793" t="str">
            <v>Current shares</v>
          </cell>
          <cell r="F793" t="str">
            <v>Status Quo</v>
          </cell>
          <cell r="G793">
            <v>2578.831941326835</v>
          </cell>
          <cell r="H793">
            <v>0</v>
          </cell>
          <cell r="I793">
            <v>0</v>
          </cell>
          <cell r="J793">
            <v>0</v>
          </cell>
          <cell r="K793">
            <v>2578.831941326835</v>
          </cell>
          <cell r="M793">
            <v>2578.831941326835</v>
          </cell>
          <cell r="N793">
            <v>0.59854391398996798</v>
          </cell>
        </row>
        <row r="794">
          <cell r="A794">
            <v>2033</v>
          </cell>
          <cell r="B794" t="str">
            <v>Graphite</v>
          </cell>
          <cell r="C794" t="str">
            <v>Global Net-zero</v>
          </cell>
          <cell r="D794" t="str">
            <v>Production potential</v>
          </cell>
          <cell r="E794" t="str">
            <v>Current shares</v>
          </cell>
          <cell r="F794" t="str">
            <v>Expansion Extractive</v>
          </cell>
          <cell r="G794">
            <v>2578.831941326835</v>
          </cell>
          <cell r="H794">
            <v>107337.13919856019</v>
          </cell>
          <cell r="I794">
            <v>35421.255935524867</v>
          </cell>
          <cell r="J794">
            <v>28824.735476867369</v>
          </cell>
          <cell r="K794">
            <v>0</v>
          </cell>
          <cell r="M794">
            <v>0</v>
          </cell>
          <cell r="N794">
            <v>0.59854391398996798</v>
          </cell>
        </row>
        <row r="795">
          <cell r="A795">
            <v>2033</v>
          </cell>
          <cell r="B795" t="str">
            <v>Graphite</v>
          </cell>
          <cell r="C795" t="str">
            <v>Global Net-zero</v>
          </cell>
          <cell r="D795" t="str">
            <v>Production potential</v>
          </cell>
          <cell r="E795" t="str">
            <v>Current shares</v>
          </cell>
          <cell r="F795" t="str">
            <v>Expansion Extractive+Circularity</v>
          </cell>
          <cell r="G795">
            <v>2578.831941326835</v>
          </cell>
          <cell r="H795">
            <v>107337.13919856019</v>
          </cell>
          <cell r="I795">
            <v>35421.255935524867</v>
          </cell>
          <cell r="J795">
            <v>28824.735476867369</v>
          </cell>
          <cell r="K795">
            <v>0</v>
          </cell>
          <cell r="M795">
            <v>0</v>
          </cell>
          <cell r="N795">
            <v>0.59854391398996798</v>
          </cell>
        </row>
        <row r="796">
          <cell r="A796">
            <v>2033</v>
          </cell>
          <cell r="B796" t="str">
            <v>Graphite</v>
          </cell>
          <cell r="C796" t="str">
            <v>Global Net-zero</v>
          </cell>
          <cell r="D796" t="str">
            <v>Production potential</v>
          </cell>
          <cell r="E796" t="str">
            <v>100% CAN</v>
          </cell>
          <cell r="F796" t="str">
            <v>Integrated</v>
          </cell>
          <cell r="G796">
            <v>2578.831941326835</v>
          </cell>
          <cell r="H796">
            <v>107337.13919856019</v>
          </cell>
          <cell r="I796">
            <v>35421.255935524867</v>
          </cell>
          <cell r="J796">
            <v>28824.735476867369</v>
          </cell>
          <cell r="K796">
            <v>0</v>
          </cell>
          <cell r="M796">
            <v>0</v>
          </cell>
          <cell r="N796">
            <v>0.59854391398996798</v>
          </cell>
        </row>
        <row r="797">
          <cell r="A797">
            <v>2033</v>
          </cell>
          <cell r="B797" t="str">
            <v>Lithium</v>
          </cell>
          <cell r="C797" t="str">
            <v>Canada Net-zero</v>
          </cell>
          <cell r="D797" t="str">
            <v>Existing production</v>
          </cell>
          <cell r="E797" t="str">
            <v>Current shares</v>
          </cell>
          <cell r="F797" t="str">
            <v>NIMBY</v>
          </cell>
          <cell r="G797">
            <v>49911.675533361398</v>
          </cell>
          <cell r="H797">
            <v>0</v>
          </cell>
          <cell r="I797">
            <v>0</v>
          </cell>
          <cell r="J797">
            <v>0</v>
          </cell>
          <cell r="K797">
            <v>71302.393619087714</v>
          </cell>
          <cell r="M797">
            <v>49911.675533361398</v>
          </cell>
          <cell r="N797">
            <v>0.787554996857322</v>
          </cell>
        </row>
        <row r="798">
          <cell r="A798">
            <v>2033</v>
          </cell>
          <cell r="B798" t="str">
            <v>Lithium</v>
          </cell>
          <cell r="C798" t="str">
            <v>Canada Net-zero</v>
          </cell>
          <cell r="D798" t="str">
            <v>Existing production</v>
          </cell>
          <cell r="E798" t="str">
            <v>Current shares</v>
          </cell>
          <cell r="F798" t="str">
            <v>Status Quo</v>
          </cell>
          <cell r="G798">
            <v>49911.675533361398</v>
          </cell>
          <cell r="H798">
            <v>37831</v>
          </cell>
          <cell r="I798">
            <v>26450.318085205759</v>
          </cell>
          <cell r="J798">
            <v>3343.6750009035895</v>
          </cell>
          <cell r="K798">
            <v>33471.393619087707</v>
          </cell>
          <cell r="M798">
            <v>20117.682447252049</v>
          </cell>
          <cell r="N798">
            <v>0.787554996857322</v>
          </cell>
        </row>
        <row r="799">
          <cell r="A799">
            <v>2033</v>
          </cell>
          <cell r="B799" t="str">
            <v>Lithium</v>
          </cell>
          <cell r="C799" t="str">
            <v>Canada Net-zero</v>
          </cell>
          <cell r="D799" t="str">
            <v>Production potential</v>
          </cell>
          <cell r="E799" t="str">
            <v>Current shares</v>
          </cell>
          <cell r="F799" t="str">
            <v>Expansion Extractive</v>
          </cell>
          <cell r="G799">
            <v>49911.675533361398</v>
          </cell>
          <cell r="H799">
            <v>137096</v>
          </cell>
          <cell r="I799">
            <v>95853.474880636728</v>
          </cell>
          <cell r="J799">
            <v>12117.164968514684</v>
          </cell>
          <cell r="K799">
            <v>0</v>
          </cell>
          <cell r="M799">
            <v>0</v>
          </cell>
          <cell r="N799">
            <v>0.787554996857322</v>
          </cell>
        </row>
        <row r="800">
          <cell r="A800">
            <v>2033</v>
          </cell>
          <cell r="B800" t="str">
            <v>Lithium</v>
          </cell>
          <cell r="C800" t="str">
            <v>Canada Net-zero</v>
          </cell>
          <cell r="D800" t="str">
            <v>Production potential</v>
          </cell>
          <cell r="E800" t="str">
            <v>Current shares</v>
          </cell>
          <cell r="F800" t="str">
            <v>Expansion Extractive+Circularity</v>
          </cell>
          <cell r="G800">
            <v>49911.675533361398</v>
          </cell>
          <cell r="H800">
            <v>137096</v>
          </cell>
          <cell r="I800">
            <v>95853.474880636728</v>
          </cell>
          <cell r="J800">
            <v>12117.164968514684</v>
          </cell>
          <cell r="K800">
            <v>0</v>
          </cell>
          <cell r="M800">
            <v>0</v>
          </cell>
          <cell r="N800">
            <v>0.787554996857322</v>
          </cell>
        </row>
        <row r="801">
          <cell r="A801">
            <v>2033</v>
          </cell>
          <cell r="B801" t="str">
            <v>Lithium</v>
          </cell>
          <cell r="C801" t="str">
            <v>Canada Net-zero</v>
          </cell>
          <cell r="D801" t="str">
            <v>Production potential</v>
          </cell>
          <cell r="E801" t="str">
            <v>100% CAN</v>
          </cell>
          <cell r="F801" t="str">
            <v>Integrated</v>
          </cell>
          <cell r="G801">
            <v>49911.675533361398</v>
          </cell>
          <cell r="H801">
            <v>137096</v>
          </cell>
          <cell r="I801">
            <v>95853.474880636728</v>
          </cell>
          <cell r="J801">
            <v>12117.164968514684</v>
          </cell>
          <cell r="K801">
            <v>0</v>
          </cell>
          <cell r="M801">
            <v>0</v>
          </cell>
          <cell r="N801">
            <v>0.787554996857322</v>
          </cell>
        </row>
        <row r="802">
          <cell r="A802">
            <v>2033</v>
          </cell>
          <cell r="B802" t="str">
            <v>Lithium</v>
          </cell>
          <cell r="C802" t="str">
            <v>Current Measures</v>
          </cell>
          <cell r="D802" t="str">
            <v>Existing production</v>
          </cell>
          <cell r="E802" t="str">
            <v>Current shares</v>
          </cell>
          <cell r="F802" t="str">
            <v>NIMBY</v>
          </cell>
          <cell r="G802">
            <v>19556.866623754038</v>
          </cell>
          <cell r="H802">
            <v>0</v>
          </cell>
          <cell r="I802">
            <v>0</v>
          </cell>
          <cell r="J802">
            <v>0</v>
          </cell>
          <cell r="K802">
            <v>27938.380891077199</v>
          </cell>
          <cell r="M802">
            <v>19556.866623754038</v>
          </cell>
          <cell r="N802">
            <v>0.787554996857322</v>
          </cell>
        </row>
        <row r="803">
          <cell r="A803">
            <v>2033</v>
          </cell>
          <cell r="B803" t="str">
            <v>Lithium</v>
          </cell>
          <cell r="C803" t="str">
            <v>Current Measures</v>
          </cell>
          <cell r="D803" t="str">
            <v>Existing production</v>
          </cell>
          <cell r="E803" t="str">
            <v>Current shares</v>
          </cell>
          <cell r="F803" t="str">
            <v>Status Quo</v>
          </cell>
          <cell r="G803">
            <v>19556.866623754038</v>
          </cell>
          <cell r="H803">
            <v>37831</v>
          </cell>
          <cell r="I803">
            <v>26450.318085205759</v>
          </cell>
          <cell r="J803">
            <v>3343.6750009035895</v>
          </cell>
          <cell r="K803">
            <v>0</v>
          </cell>
          <cell r="M803">
            <v>0</v>
          </cell>
          <cell r="N803">
            <v>0.787554996857322</v>
          </cell>
        </row>
        <row r="804">
          <cell r="A804">
            <v>2033</v>
          </cell>
          <cell r="B804" t="str">
            <v>Lithium</v>
          </cell>
          <cell r="C804" t="str">
            <v>Current Measures</v>
          </cell>
          <cell r="D804" t="str">
            <v>Production potential</v>
          </cell>
          <cell r="E804" t="str">
            <v>Current shares</v>
          </cell>
          <cell r="F804" t="str">
            <v>Expansion Extractive</v>
          </cell>
          <cell r="G804">
            <v>19556.866623754038</v>
          </cell>
          <cell r="H804">
            <v>137096</v>
          </cell>
          <cell r="I804">
            <v>95853.474880636728</v>
          </cell>
          <cell r="J804">
            <v>12117.164968514684</v>
          </cell>
          <cell r="K804">
            <v>0</v>
          </cell>
          <cell r="M804">
            <v>0</v>
          </cell>
          <cell r="N804">
            <v>0.787554996857322</v>
          </cell>
        </row>
        <row r="805">
          <cell r="A805">
            <v>2033</v>
          </cell>
          <cell r="B805" t="str">
            <v>Lithium</v>
          </cell>
          <cell r="C805" t="str">
            <v>Current Measures</v>
          </cell>
          <cell r="D805" t="str">
            <v>Production potential</v>
          </cell>
          <cell r="E805" t="str">
            <v>Current shares</v>
          </cell>
          <cell r="F805" t="str">
            <v>Expansion Extractive+Circularity</v>
          </cell>
          <cell r="G805">
            <v>19556.866623754038</v>
          </cell>
          <cell r="H805">
            <v>137096</v>
          </cell>
          <cell r="I805">
            <v>95853.474880636728</v>
          </cell>
          <cell r="J805">
            <v>12117.164968514684</v>
          </cell>
          <cell r="K805">
            <v>0</v>
          </cell>
          <cell r="M805">
            <v>0</v>
          </cell>
          <cell r="N805">
            <v>0.787554996857322</v>
          </cell>
        </row>
        <row r="806">
          <cell r="A806">
            <v>2033</v>
          </cell>
          <cell r="B806" t="str">
            <v>Lithium</v>
          </cell>
          <cell r="C806" t="str">
            <v>Current Measures</v>
          </cell>
          <cell r="D806" t="str">
            <v>Production potential</v>
          </cell>
          <cell r="E806" t="str">
            <v>100% CAN</v>
          </cell>
          <cell r="F806" t="str">
            <v>Integrated</v>
          </cell>
          <cell r="G806">
            <v>19556.866623754038</v>
          </cell>
          <cell r="H806">
            <v>137096</v>
          </cell>
          <cell r="I806">
            <v>95853.474880636728</v>
          </cell>
          <cell r="J806">
            <v>12117.164968514684</v>
          </cell>
          <cell r="K806">
            <v>0</v>
          </cell>
          <cell r="M806">
            <v>0</v>
          </cell>
          <cell r="N806">
            <v>0.787554996857322</v>
          </cell>
        </row>
        <row r="807">
          <cell r="A807">
            <v>2033</v>
          </cell>
          <cell r="B807" t="str">
            <v>Lithium</v>
          </cell>
          <cell r="C807" t="str">
            <v>Global Net-zero</v>
          </cell>
          <cell r="D807" t="str">
            <v>Existing production</v>
          </cell>
          <cell r="E807" t="str">
            <v>Current shares</v>
          </cell>
          <cell r="F807" t="str">
            <v>NIMBY</v>
          </cell>
          <cell r="G807">
            <v>47448.642295670557</v>
          </cell>
          <cell r="H807">
            <v>0</v>
          </cell>
          <cell r="I807">
            <v>0</v>
          </cell>
          <cell r="J807">
            <v>0</v>
          </cell>
          <cell r="K807">
            <v>67783.774708100798</v>
          </cell>
          <cell r="M807">
            <v>47448.642295670557</v>
          </cell>
          <cell r="N807">
            <v>0.787554996857322</v>
          </cell>
        </row>
        <row r="808">
          <cell r="A808">
            <v>2033</v>
          </cell>
          <cell r="B808" t="str">
            <v>Lithium</v>
          </cell>
          <cell r="C808" t="str">
            <v>Global Net-zero</v>
          </cell>
          <cell r="D808" t="str">
            <v>Existing production</v>
          </cell>
          <cell r="E808" t="str">
            <v>Current shares</v>
          </cell>
          <cell r="F808" t="str">
            <v>Status Quo</v>
          </cell>
          <cell r="G808">
            <v>47448.642295670557</v>
          </cell>
          <cell r="H808">
            <v>37831</v>
          </cell>
          <cell r="I808">
            <v>26450.318085205759</v>
          </cell>
          <cell r="J808">
            <v>3343.6750009035895</v>
          </cell>
          <cell r="K808">
            <v>29952.774708100798</v>
          </cell>
          <cell r="M808">
            <v>17654.649209561212</v>
          </cell>
          <cell r="N808">
            <v>0.787554996857322</v>
          </cell>
        </row>
        <row r="809">
          <cell r="A809">
            <v>2033</v>
          </cell>
          <cell r="B809" t="str">
            <v>Lithium</v>
          </cell>
          <cell r="C809" t="str">
            <v>Global Net-zero</v>
          </cell>
          <cell r="D809" t="str">
            <v>Production potential</v>
          </cell>
          <cell r="E809" t="str">
            <v>Current shares</v>
          </cell>
          <cell r="F809" t="str">
            <v>Expansion Extractive</v>
          </cell>
          <cell r="G809">
            <v>47448.642295670557</v>
          </cell>
          <cell r="H809">
            <v>137096</v>
          </cell>
          <cell r="I809">
            <v>95853.474880636728</v>
          </cell>
          <cell r="J809">
            <v>12117.164968514684</v>
          </cell>
          <cell r="K809">
            <v>0</v>
          </cell>
          <cell r="M809">
            <v>0</v>
          </cell>
          <cell r="N809">
            <v>0.787554996857322</v>
          </cell>
        </row>
        <row r="810">
          <cell r="A810">
            <v>2033</v>
          </cell>
          <cell r="B810" t="str">
            <v>Lithium</v>
          </cell>
          <cell r="C810" t="str">
            <v>Global Net-zero</v>
          </cell>
          <cell r="D810" t="str">
            <v>Production potential</v>
          </cell>
          <cell r="E810" t="str">
            <v>Current shares</v>
          </cell>
          <cell r="F810" t="str">
            <v>Expansion Extractive+Circularity</v>
          </cell>
          <cell r="G810">
            <v>47448.642295670557</v>
          </cell>
          <cell r="H810">
            <v>137096</v>
          </cell>
          <cell r="I810">
            <v>95853.474880636728</v>
          </cell>
          <cell r="J810">
            <v>12117.164968514684</v>
          </cell>
          <cell r="K810">
            <v>0</v>
          </cell>
          <cell r="M810">
            <v>0</v>
          </cell>
          <cell r="N810">
            <v>0.787554996857322</v>
          </cell>
        </row>
        <row r="811">
          <cell r="A811">
            <v>2033</v>
          </cell>
          <cell r="B811" t="str">
            <v>Lithium</v>
          </cell>
          <cell r="C811" t="str">
            <v>Global Net-zero</v>
          </cell>
          <cell r="D811" t="str">
            <v>Production potential</v>
          </cell>
          <cell r="E811" t="str">
            <v>100% CAN</v>
          </cell>
          <cell r="F811" t="str">
            <v>Integrated</v>
          </cell>
          <cell r="G811">
            <v>47448.642295670557</v>
          </cell>
          <cell r="H811">
            <v>137096</v>
          </cell>
          <cell r="I811">
            <v>95853.474880636728</v>
          </cell>
          <cell r="J811">
            <v>12117.164968514684</v>
          </cell>
          <cell r="K811">
            <v>0</v>
          </cell>
          <cell r="M811">
            <v>0</v>
          </cell>
          <cell r="N811">
            <v>0.787554996857322</v>
          </cell>
        </row>
        <row r="812">
          <cell r="A812">
            <v>2034</v>
          </cell>
          <cell r="B812" t="str">
            <v>Cobalt</v>
          </cell>
          <cell r="C812" t="str">
            <v>Canada Net-zero</v>
          </cell>
          <cell r="D812" t="str">
            <v>Existing production</v>
          </cell>
          <cell r="E812" t="str">
            <v>Current shares</v>
          </cell>
          <cell r="F812" t="str">
            <v>NIMBY</v>
          </cell>
          <cell r="G812">
            <v>132521.50263586891</v>
          </cell>
          <cell r="H812">
            <v>0</v>
          </cell>
          <cell r="I812">
            <v>0</v>
          </cell>
          <cell r="J812">
            <v>0</v>
          </cell>
          <cell r="K812">
            <v>301185.23326333851</v>
          </cell>
          <cell r="M812">
            <v>132521.50263586891</v>
          </cell>
          <cell r="N812">
            <v>0.439346565686978</v>
          </cell>
        </row>
        <row r="813">
          <cell r="A813">
            <v>2034</v>
          </cell>
          <cell r="B813" t="str">
            <v>Cobalt</v>
          </cell>
          <cell r="C813" t="str">
            <v>Canada Net-zero</v>
          </cell>
          <cell r="D813" t="str">
            <v>Existing production</v>
          </cell>
          <cell r="E813" t="str">
            <v>Current shares</v>
          </cell>
          <cell r="F813" t="str">
            <v>Status Quo</v>
          </cell>
          <cell r="G813">
            <v>132521.50263586891</v>
          </cell>
          <cell r="H813">
            <v>3079</v>
          </cell>
          <cell r="I813">
            <v>1306.05584956232</v>
          </cell>
          <cell r="J813">
            <v>46.692226187885353</v>
          </cell>
          <cell r="K813">
            <v>298106.23326333851</v>
          </cell>
          <cell r="M813">
            <v>131168.75456011872</v>
          </cell>
          <cell r="N813">
            <v>0.439346565686978</v>
          </cell>
        </row>
        <row r="814">
          <cell r="A814">
            <v>2034</v>
          </cell>
          <cell r="B814" t="str">
            <v>Cobalt</v>
          </cell>
          <cell r="C814" t="str">
            <v>Canada Net-zero</v>
          </cell>
          <cell r="D814" t="str">
            <v>Production potential</v>
          </cell>
          <cell r="E814" t="str">
            <v>Current shares</v>
          </cell>
          <cell r="F814" t="str">
            <v>Expansion Extractive</v>
          </cell>
          <cell r="G814">
            <v>132521.50263586891</v>
          </cell>
          <cell r="H814">
            <v>13476.53921289199</v>
          </cell>
          <cell r="I814">
            <v>5716.5030434730606</v>
          </cell>
          <cell r="J814">
            <v>204.36817705692465</v>
          </cell>
          <cell r="K814">
            <v>287708.69405044639</v>
          </cell>
          <cell r="M814">
            <v>126600.63141533888</v>
          </cell>
          <cell r="N814">
            <v>0.439346565686978</v>
          </cell>
        </row>
        <row r="815">
          <cell r="A815">
            <v>2034</v>
          </cell>
          <cell r="B815" t="str">
            <v>Cobalt</v>
          </cell>
          <cell r="C815" t="str">
            <v>Canada Net-zero</v>
          </cell>
          <cell r="D815" t="str">
            <v>Production potential</v>
          </cell>
          <cell r="E815" t="str">
            <v>Current shares</v>
          </cell>
          <cell r="F815" t="str">
            <v>Expansion Extractive+Circularity</v>
          </cell>
          <cell r="G815">
            <v>132521.50263586891</v>
          </cell>
          <cell r="H815">
            <v>13476.53921289199</v>
          </cell>
          <cell r="I815">
            <v>5716.5030434730606</v>
          </cell>
          <cell r="J815">
            <v>204.36817705692465</v>
          </cell>
          <cell r="K815">
            <v>287708.69405044639</v>
          </cell>
          <cell r="M815">
            <v>126600.63141533888</v>
          </cell>
          <cell r="N815">
            <v>0.439346565686978</v>
          </cell>
        </row>
        <row r="816">
          <cell r="A816">
            <v>2034</v>
          </cell>
          <cell r="B816" t="str">
            <v>Cobalt</v>
          </cell>
          <cell r="C816" t="str">
            <v>Canada Net-zero</v>
          </cell>
          <cell r="D816" t="str">
            <v>Production potential</v>
          </cell>
          <cell r="E816" t="str">
            <v>100% CAN</v>
          </cell>
          <cell r="F816" t="str">
            <v>Integrated</v>
          </cell>
          <cell r="G816">
            <v>132521.50263586891</v>
          </cell>
          <cell r="H816">
            <v>13476.53921289199</v>
          </cell>
          <cell r="I816">
            <v>5920.8712205299889</v>
          </cell>
          <cell r="J816">
            <v>0</v>
          </cell>
          <cell r="K816">
            <v>287708.69405044639</v>
          </cell>
          <cell r="M816">
            <v>126600.6314153389</v>
          </cell>
          <cell r="N816">
            <v>0.439346565686978</v>
          </cell>
        </row>
        <row r="817">
          <cell r="A817">
            <v>2034</v>
          </cell>
          <cell r="B817" t="str">
            <v>Cobalt</v>
          </cell>
          <cell r="C817" t="str">
            <v>Current Measures</v>
          </cell>
          <cell r="D817" t="str">
            <v>Existing production</v>
          </cell>
          <cell r="E817" t="str">
            <v>Current shares</v>
          </cell>
          <cell r="F817" t="str">
            <v>NIMBY</v>
          </cell>
          <cell r="G817">
            <v>51454.423936662723</v>
          </cell>
          <cell r="H817">
            <v>0</v>
          </cell>
          <cell r="I817">
            <v>0</v>
          </cell>
          <cell r="J817">
            <v>0</v>
          </cell>
          <cell r="K817">
            <v>116941.8725833244</v>
          </cell>
          <cell r="M817">
            <v>51454.423936662723</v>
          </cell>
          <cell r="N817">
            <v>0.439346565686978</v>
          </cell>
        </row>
        <row r="818">
          <cell r="A818">
            <v>2034</v>
          </cell>
          <cell r="B818" t="str">
            <v>Cobalt</v>
          </cell>
          <cell r="C818" t="str">
            <v>Current Measures</v>
          </cell>
          <cell r="D818" t="str">
            <v>Existing production</v>
          </cell>
          <cell r="E818" t="str">
            <v>Current shares</v>
          </cell>
          <cell r="F818" t="str">
            <v>Status Quo</v>
          </cell>
          <cell r="G818">
            <v>51454.423936662723</v>
          </cell>
          <cell r="H818">
            <v>3079</v>
          </cell>
          <cell r="I818">
            <v>1306.05584956232</v>
          </cell>
          <cell r="J818">
            <v>46.692226187885353</v>
          </cell>
          <cell r="K818">
            <v>113862.8725833244</v>
          </cell>
          <cell r="M818">
            <v>50101.675860912517</v>
          </cell>
          <cell r="N818">
            <v>0.439346565686978</v>
          </cell>
        </row>
        <row r="819">
          <cell r="A819">
            <v>2034</v>
          </cell>
          <cell r="B819" t="str">
            <v>Cobalt</v>
          </cell>
          <cell r="C819" t="str">
            <v>Current Measures</v>
          </cell>
          <cell r="D819" t="str">
            <v>Production potential</v>
          </cell>
          <cell r="E819" t="str">
            <v>Current shares</v>
          </cell>
          <cell r="F819" t="str">
            <v>Expansion Extractive</v>
          </cell>
          <cell r="G819">
            <v>51454.423936662723</v>
          </cell>
          <cell r="H819">
            <v>13476.53921289199</v>
          </cell>
          <cell r="I819">
            <v>5716.5030434730606</v>
          </cell>
          <cell r="J819">
            <v>204.36817705692465</v>
          </cell>
          <cell r="K819">
            <v>103465.3333704324</v>
          </cell>
          <cell r="M819">
            <v>45533.552716132734</v>
          </cell>
          <cell r="N819">
            <v>0.439346565686978</v>
          </cell>
        </row>
        <row r="820">
          <cell r="A820">
            <v>2034</v>
          </cell>
          <cell r="B820" t="str">
            <v>Cobalt</v>
          </cell>
          <cell r="C820" t="str">
            <v>Current Measures</v>
          </cell>
          <cell r="D820" t="str">
            <v>Production potential</v>
          </cell>
          <cell r="E820" t="str">
            <v>Current shares</v>
          </cell>
          <cell r="F820" t="str">
            <v>Expansion Extractive+Circularity</v>
          </cell>
          <cell r="G820">
            <v>51454.423936662723</v>
          </cell>
          <cell r="H820">
            <v>13476.53921289199</v>
          </cell>
          <cell r="I820">
            <v>5716.5030434730606</v>
          </cell>
          <cell r="J820">
            <v>204.36817705692465</v>
          </cell>
          <cell r="K820">
            <v>103465.3333704324</v>
          </cell>
          <cell r="M820">
            <v>45533.552716132734</v>
          </cell>
          <cell r="N820">
            <v>0.439346565686978</v>
          </cell>
        </row>
        <row r="821">
          <cell r="A821">
            <v>2034</v>
          </cell>
          <cell r="B821" t="str">
            <v>Cobalt</v>
          </cell>
          <cell r="C821" t="str">
            <v>Current Measures</v>
          </cell>
          <cell r="D821" t="str">
            <v>Production potential</v>
          </cell>
          <cell r="E821" t="str">
            <v>100% CAN</v>
          </cell>
          <cell r="F821" t="str">
            <v>Integrated</v>
          </cell>
          <cell r="G821">
            <v>51454.423936662723</v>
          </cell>
          <cell r="H821">
            <v>13476.53921289199</v>
          </cell>
          <cell r="I821">
            <v>5920.8712205299889</v>
          </cell>
          <cell r="J821">
            <v>0</v>
          </cell>
          <cell r="K821">
            <v>103465.3333704324</v>
          </cell>
          <cell r="M821">
            <v>45533.552716132734</v>
          </cell>
          <cell r="N821">
            <v>0.439346565686978</v>
          </cell>
        </row>
        <row r="822">
          <cell r="A822">
            <v>2034</v>
          </cell>
          <cell r="B822" t="str">
            <v>Cobalt</v>
          </cell>
          <cell r="C822" t="str">
            <v>Global Net-zero</v>
          </cell>
          <cell r="D822" t="str">
            <v>Existing production</v>
          </cell>
          <cell r="E822" t="str">
            <v>Current shares</v>
          </cell>
          <cell r="F822" t="str">
            <v>NIMBY</v>
          </cell>
          <cell r="G822">
            <v>125925.583305996</v>
          </cell>
          <cell r="H822">
            <v>0</v>
          </cell>
          <cell r="I822">
            <v>0</v>
          </cell>
          <cell r="J822">
            <v>0</v>
          </cell>
          <cell r="K822">
            <v>286194.50751362729</v>
          </cell>
          <cell r="M822">
            <v>125925.583305996</v>
          </cell>
          <cell r="N822">
            <v>0.439346565686978</v>
          </cell>
        </row>
        <row r="823">
          <cell r="A823">
            <v>2034</v>
          </cell>
          <cell r="B823" t="str">
            <v>Cobalt</v>
          </cell>
          <cell r="C823" t="str">
            <v>Global Net-zero</v>
          </cell>
          <cell r="D823" t="str">
            <v>Existing production</v>
          </cell>
          <cell r="E823" t="str">
            <v>Current shares</v>
          </cell>
          <cell r="F823" t="str">
            <v>Status Quo</v>
          </cell>
          <cell r="G823">
            <v>125925.583305996</v>
          </cell>
          <cell r="H823">
            <v>3079</v>
          </cell>
          <cell r="I823">
            <v>1306.05584956232</v>
          </cell>
          <cell r="J823">
            <v>46.692226187885353</v>
          </cell>
          <cell r="K823">
            <v>283115.50751362729</v>
          </cell>
          <cell r="M823">
            <v>124572.83523024582</v>
          </cell>
          <cell r="N823">
            <v>0.439346565686978</v>
          </cell>
        </row>
        <row r="824">
          <cell r="A824">
            <v>2034</v>
          </cell>
          <cell r="B824" t="str">
            <v>Cobalt</v>
          </cell>
          <cell r="C824" t="str">
            <v>Global Net-zero</v>
          </cell>
          <cell r="D824" t="str">
            <v>Production potential</v>
          </cell>
          <cell r="E824" t="str">
            <v>Current shares</v>
          </cell>
          <cell r="F824" t="str">
            <v>Expansion Extractive</v>
          </cell>
          <cell r="G824">
            <v>125925.583305996</v>
          </cell>
          <cell r="H824">
            <v>13476.53921289199</v>
          </cell>
          <cell r="I824">
            <v>5716.5030434730606</v>
          </cell>
          <cell r="J824">
            <v>204.36817705692465</v>
          </cell>
          <cell r="K824">
            <v>272717.96830073529</v>
          </cell>
          <cell r="M824">
            <v>120004.71208546597</v>
          </cell>
          <cell r="N824">
            <v>0.439346565686978</v>
          </cell>
        </row>
        <row r="825">
          <cell r="A825">
            <v>2034</v>
          </cell>
          <cell r="B825" t="str">
            <v>Cobalt</v>
          </cell>
          <cell r="C825" t="str">
            <v>Global Net-zero</v>
          </cell>
          <cell r="D825" t="str">
            <v>Production potential</v>
          </cell>
          <cell r="E825" t="str">
            <v>Current shares</v>
          </cell>
          <cell r="F825" t="str">
            <v>Expansion Extractive+Circularity</v>
          </cell>
          <cell r="G825">
            <v>125925.583305996</v>
          </cell>
          <cell r="H825">
            <v>13476.53921289199</v>
          </cell>
          <cell r="I825">
            <v>5716.5030434730606</v>
          </cell>
          <cell r="J825">
            <v>204.36817705692465</v>
          </cell>
          <cell r="K825">
            <v>272717.96830073529</v>
          </cell>
          <cell r="M825">
            <v>120004.71208546597</v>
          </cell>
          <cell r="N825">
            <v>0.439346565686978</v>
          </cell>
        </row>
        <row r="826">
          <cell r="A826">
            <v>2034</v>
          </cell>
          <cell r="B826" t="str">
            <v>Cobalt</v>
          </cell>
          <cell r="C826" t="str">
            <v>Global Net-zero</v>
          </cell>
          <cell r="D826" t="str">
            <v>Production potential</v>
          </cell>
          <cell r="E826" t="str">
            <v>100% CAN</v>
          </cell>
          <cell r="F826" t="str">
            <v>Integrated</v>
          </cell>
          <cell r="G826">
            <v>125925.583305996</v>
          </cell>
          <cell r="H826">
            <v>13476.53921289199</v>
          </cell>
          <cell r="I826">
            <v>5920.8712205299889</v>
          </cell>
          <cell r="J826">
            <v>0</v>
          </cell>
          <cell r="K826">
            <v>272717.96830073529</v>
          </cell>
          <cell r="M826">
            <v>120004.712085466</v>
          </cell>
          <cell r="N826">
            <v>0.439346565686978</v>
          </cell>
        </row>
        <row r="827">
          <cell r="A827">
            <v>2034</v>
          </cell>
          <cell r="B827" t="str">
            <v>Copper</v>
          </cell>
          <cell r="C827" t="str">
            <v>Canada Net-zero</v>
          </cell>
          <cell r="D827" t="str">
            <v>Existing production</v>
          </cell>
          <cell r="E827" t="str">
            <v>Current shares</v>
          </cell>
          <cell r="F827" t="str">
            <v>NIMBY</v>
          </cell>
          <cell r="G827">
            <v>1323318.734939687</v>
          </cell>
          <cell r="H827">
            <v>0</v>
          </cell>
          <cell r="I827">
            <v>0</v>
          </cell>
          <cell r="J827">
            <v>0</v>
          </cell>
          <cell r="K827">
            <v>1594359.9216140809</v>
          </cell>
          <cell r="M827">
            <v>1323318.734939687</v>
          </cell>
          <cell r="N827">
            <v>0.83474576271186396</v>
          </cell>
        </row>
        <row r="828">
          <cell r="A828">
            <v>2034</v>
          </cell>
          <cell r="B828" t="str">
            <v>Copper</v>
          </cell>
          <cell r="C828" t="str">
            <v>Canada Net-zero</v>
          </cell>
          <cell r="D828" t="str">
            <v>Existing production</v>
          </cell>
          <cell r="E828" t="str">
            <v>Current shares</v>
          </cell>
          <cell r="F828" t="str">
            <v>Status Quo</v>
          </cell>
          <cell r="G828">
            <v>1323318.734939687</v>
          </cell>
          <cell r="H828">
            <v>265778</v>
          </cell>
          <cell r="I828">
            <v>139695.22574164809</v>
          </cell>
          <cell r="J828">
            <v>82161.83358038569</v>
          </cell>
          <cell r="K828">
            <v>1328581.9216140809</v>
          </cell>
          <cell r="M828">
            <v>1101461.6756176534</v>
          </cell>
          <cell r="N828">
            <v>0.83474576271186396</v>
          </cell>
        </row>
        <row r="829">
          <cell r="A829">
            <v>2034</v>
          </cell>
          <cell r="B829" t="str">
            <v>Copper</v>
          </cell>
          <cell r="C829" t="str">
            <v>Canada Net-zero</v>
          </cell>
          <cell r="D829" t="str">
            <v>Production potential</v>
          </cell>
          <cell r="E829" t="str">
            <v>Current shares</v>
          </cell>
          <cell r="F829" t="str">
            <v>Expansion Extractive</v>
          </cell>
          <cell r="G829">
            <v>1323318.734939687</v>
          </cell>
          <cell r="H829">
            <v>837829.44631390914</v>
          </cell>
          <cell r="I829">
            <v>440370.43561100482</v>
          </cell>
          <cell r="J829">
            <v>259004.1445747579</v>
          </cell>
          <cell r="K829">
            <v>756530.47530017153</v>
          </cell>
          <cell r="M829">
            <v>623944.15475392435</v>
          </cell>
          <cell r="N829">
            <v>0.83474576271186396</v>
          </cell>
        </row>
        <row r="830">
          <cell r="A830">
            <v>2034</v>
          </cell>
          <cell r="B830" t="str">
            <v>Copper</v>
          </cell>
          <cell r="C830" t="str">
            <v>Canada Net-zero</v>
          </cell>
          <cell r="D830" t="str">
            <v>Production potential</v>
          </cell>
          <cell r="E830" t="str">
            <v>Current shares</v>
          </cell>
          <cell r="F830" t="str">
            <v>Expansion Extractive+Circularity</v>
          </cell>
          <cell r="G830">
            <v>1323318.734939687</v>
          </cell>
          <cell r="H830">
            <v>837829.44631390914</v>
          </cell>
          <cell r="I830">
            <v>440370.43561100482</v>
          </cell>
          <cell r="J830">
            <v>259004.1445747579</v>
          </cell>
          <cell r="K830">
            <v>756530.47530017153</v>
          </cell>
          <cell r="M830">
            <v>623944.15475392435</v>
          </cell>
          <cell r="N830">
            <v>0.83474576271186396</v>
          </cell>
        </row>
        <row r="831">
          <cell r="A831">
            <v>2034</v>
          </cell>
          <cell r="B831" t="str">
            <v>Copper</v>
          </cell>
          <cell r="C831" t="str">
            <v>Canada Net-zero</v>
          </cell>
          <cell r="D831" t="str">
            <v>Production potential</v>
          </cell>
          <cell r="E831" t="str">
            <v>100% CAN</v>
          </cell>
          <cell r="F831" t="str">
            <v>Integrated</v>
          </cell>
          <cell r="G831">
            <v>1323318.734939687</v>
          </cell>
          <cell r="H831">
            <v>837829.44631390914</v>
          </cell>
          <cell r="I831">
            <v>699374.58018576319</v>
          </cell>
          <cell r="J831">
            <v>0</v>
          </cell>
          <cell r="K831">
            <v>756530.47530017153</v>
          </cell>
          <cell r="M831">
            <v>623944.15475392377</v>
          </cell>
          <cell r="N831">
            <v>0.83474576271186396</v>
          </cell>
        </row>
        <row r="832">
          <cell r="A832">
            <v>2034</v>
          </cell>
          <cell r="B832" t="str">
            <v>Copper</v>
          </cell>
          <cell r="C832" t="str">
            <v>Current Measures</v>
          </cell>
          <cell r="D832" t="str">
            <v>Existing production</v>
          </cell>
          <cell r="E832" t="str">
            <v>Current shares</v>
          </cell>
          <cell r="F832" t="str">
            <v>NIMBY</v>
          </cell>
          <cell r="G832">
            <v>1047087.032620052</v>
          </cell>
          <cell r="H832">
            <v>0</v>
          </cell>
          <cell r="I832">
            <v>0</v>
          </cell>
          <cell r="J832">
            <v>0</v>
          </cell>
          <cell r="K832">
            <v>1261550.6417109061</v>
          </cell>
          <cell r="M832">
            <v>1047087.032620052</v>
          </cell>
          <cell r="N832">
            <v>0.83474576271186396</v>
          </cell>
        </row>
        <row r="833">
          <cell r="A833">
            <v>2034</v>
          </cell>
          <cell r="B833" t="str">
            <v>Copper</v>
          </cell>
          <cell r="C833" t="str">
            <v>Current Measures</v>
          </cell>
          <cell r="D833" t="str">
            <v>Existing production</v>
          </cell>
          <cell r="E833" t="str">
            <v>Current shares</v>
          </cell>
          <cell r="F833" t="str">
            <v>Status Quo</v>
          </cell>
          <cell r="G833">
            <v>1047087.032620052</v>
          </cell>
          <cell r="H833">
            <v>265778</v>
          </cell>
          <cell r="I833">
            <v>139695.22574164809</v>
          </cell>
          <cell r="J833">
            <v>82161.83358038569</v>
          </cell>
          <cell r="K833">
            <v>995772.64171090606</v>
          </cell>
          <cell r="M833">
            <v>825229.97329801822</v>
          </cell>
          <cell r="N833">
            <v>0.83474576271186396</v>
          </cell>
        </row>
        <row r="834">
          <cell r="A834">
            <v>2034</v>
          </cell>
          <cell r="B834" t="str">
            <v>Copper</v>
          </cell>
          <cell r="C834" t="str">
            <v>Current Measures</v>
          </cell>
          <cell r="D834" t="str">
            <v>Production potential</v>
          </cell>
          <cell r="E834" t="str">
            <v>Current shares</v>
          </cell>
          <cell r="F834" t="str">
            <v>Expansion Extractive</v>
          </cell>
          <cell r="G834">
            <v>1047087.032620052</v>
          </cell>
          <cell r="H834">
            <v>837829.44631390914</v>
          </cell>
          <cell r="I834">
            <v>440370.43561100482</v>
          </cell>
          <cell r="J834">
            <v>259004.1445747579</v>
          </cell>
          <cell r="K834">
            <v>423721.19539699692</v>
          </cell>
          <cell r="M834">
            <v>347712.45243428927</v>
          </cell>
          <cell r="N834">
            <v>0.83474576271186396</v>
          </cell>
        </row>
        <row r="835">
          <cell r="A835">
            <v>2034</v>
          </cell>
          <cell r="B835" t="str">
            <v>Copper</v>
          </cell>
          <cell r="C835" t="str">
            <v>Current Measures</v>
          </cell>
          <cell r="D835" t="str">
            <v>Production potential</v>
          </cell>
          <cell r="E835" t="str">
            <v>Current shares</v>
          </cell>
          <cell r="F835" t="str">
            <v>Expansion Extractive+Circularity</v>
          </cell>
          <cell r="G835">
            <v>1047087.032620052</v>
          </cell>
          <cell r="H835">
            <v>837829.44631390914</v>
          </cell>
          <cell r="I835">
            <v>440370.43561100482</v>
          </cell>
          <cell r="J835">
            <v>259004.1445747579</v>
          </cell>
          <cell r="K835">
            <v>423721.19539699692</v>
          </cell>
          <cell r="M835">
            <v>347712.45243428927</v>
          </cell>
          <cell r="N835">
            <v>0.83474576271186396</v>
          </cell>
        </row>
        <row r="836">
          <cell r="A836">
            <v>2034</v>
          </cell>
          <cell r="B836" t="str">
            <v>Copper</v>
          </cell>
          <cell r="C836" t="str">
            <v>Current Measures</v>
          </cell>
          <cell r="D836" t="str">
            <v>Production potential</v>
          </cell>
          <cell r="E836" t="str">
            <v>100% CAN</v>
          </cell>
          <cell r="F836" t="str">
            <v>Integrated</v>
          </cell>
          <cell r="G836">
            <v>1047087.032620052</v>
          </cell>
          <cell r="H836">
            <v>837829.44631390914</v>
          </cell>
          <cell r="I836">
            <v>699374.58018576319</v>
          </cell>
          <cell r="J836">
            <v>0</v>
          </cell>
          <cell r="K836">
            <v>423721.19539699692</v>
          </cell>
          <cell r="M836">
            <v>347712.4524342888</v>
          </cell>
          <cell r="N836">
            <v>0.83474576271186396</v>
          </cell>
        </row>
        <row r="837">
          <cell r="A837">
            <v>2034</v>
          </cell>
          <cell r="B837" t="str">
            <v>Copper</v>
          </cell>
          <cell r="C837" t="str">
            <v>Global Net-zero</v>
          </cell>
          <cell r="D837" t="str">
            <v>Existing production</v>
          </cell>
          <cell r="E837" t="str">
            <v>Current shares</v>
          </cell>
          <cell r="F837" t="str">
            <v>NIMBY</v>
          </cell>
          <cell r="G837">
            <v>1272164.6516711509</v>
          </cell>
          <cell r="H837">
            <v>0</v>
          </cell>
          <cell r="I837">
            <v>0</v>
          </cell>
          <cell r="J837">
            <v>0</v>
          </cell>
          <cell r="K837">
            <v>1532728.495989338</v>
          </cell>
          <cell r="M837">
            <v>1272164.6516711509</v>
          </cell>
          <cell r="N837">
            <v>0.83474576271186396</v>
          </cell>
        </row>
        <row r="838">
          <cell r="A838">
            <v>2034</v>
          </cell>
          <cell r="B838" t="str">
            <v>Copper</v>
          </cell>
          <cell r="C838" t="str">
            <v>Global Net-zero</v>
          </cell>
          <cell r="D838" t="str">
            <v>Existing production</v>
          </cell>
          <cell r="E838" t="str">
            <v>Current shares</v>
          </cell>
          <cell r="F838" t="str">
            <v>Status Quo</v>
          </cell>
          <cell r="G838">
            <v>1272164.6516711509</v>
          </cell>
          <cell r="H838">
            <v>265778</v>
          </cell>
          <cell r="I838">
            <v>139695.22574164809</v>
          </cell>
          <cell r="J838">
            <v>82161.83358038569</v>
          </cell>
          <cell r="K838">
            <v>1266950.495989338</v>
          </cell>
          <cell r="M838">
            <v>1050307.5923491174</v>
          </cell>
          <cell r="N838">
            <v>0.83474576271186396</v>
          </cell>
        </row>
        <row r="839">
          <cell r="A839">
            <v>2034</v>
          </cell>
          <cell r="B839" t="str">
            <v>Copper</v>
          </cell>
          <cell r="C839" t="str">
            <v>Global Net-zero</v>
          </cell>
          <cell r="D839" t="str">
            <v>Production potential</v>
          </cell>
          <cell r="E839" t="str">
            <v>Current shares</v>
          </cell>
          <cell r="F839" t="str">
            <v>Expansion Extractive</v>
          </cell>
          <cell r="G839">
            <v>1272164.6516711509</v>
          </cell>
          <cell r="H839">
            <v>837829.44631390914</v>
          </cell>
          <cell r="I839">
            <v>440370.43561100482</v>
          </cell>
          <cell r="J839">
            <v>259004.1445747579</v>
          </cell>
          <cell r="K839">
            <v>694899.04967542936</v>
          </cell>
          <cell r="M839">
            <v>572790.07148538833</v>
          </cell>
          <cell r="N839">
            <v>0.83474576271186396</v>
          </cell>
        </row>
        <row r="840">
          <cell r="A840">
            <v>2034</v>
          </cell>
          <cell r="B840" t="str">
            <v>Copper</v>
          </cell>
          <cell r="C840" t="str">
            <v>Global Net-zero</v>
          </cell>
          <cell r="D840" t="str">
            <v>Production potential</v>
          </cell>
          <cell r="E840" t="str">
            <v>Current shares</v>
          </cell>
          <cell r="F840" t="str">
            <v>Expansion Extractive+Circularity</v>
          </cell>
          <cell r="G840">
            <v>1272164.6516711509</v>
          </cell>
          <cell r="H840">
            <v>837829.44631390914</v>
          </cell>
          <cell r="I840">
            <v>440370.43561100482</v>
          </cell>
          <cell r="J840">
            <v>259004.1445747579</v>
          </cell>
          <cell r="K840">
            <v>694899.04967542936</v>
          </cell>
          <cell r="M840">
            <v>572790.07148538833</v>
          </cell>
          <cell r="N840">
            <v>0.83474576271186396</v>
          </cell>
        </row>
        <row r="841">
          <cell r="A841">
            <v>2034</v>
          </cell>
          <cell r="B841" t="str">
            <v>Copper</v>
          </cell>
          <cell r="C841" t="str">
            <v>Global Net-zero</v>
          </cell>
          <cell r="D841" t="str">
            <v>Production potential</v>
          </cell>
          <cell r="E841" t="str">
            <v>100% CAN</v>
          </cell>
          <cell r="F841" t="str">
            <v>Integrated</v>
          </cell>
          <cell r="G841">
            <v>1272164.6516711509</v>
          </cell>
          <cell r="H841">
            <v>837829.44631390914</v>
          </cell>
          <cell r="I841">
            <v>699374.58018576319</v>
          </cell>
          <cell r="J841">
            <v>0</v>
          </cell>
          <cell r="K841">
            <v>694899.04967542936</v>
          </cell>
          <cell r="M841">
            <v>572790.07148538774</v>
          </cell>
          <cell r="N841">
            <v>0.83474576271186396</v>
          </cell>
        </row>
        <row r="842">
          <cell r="A842">
            <v>2034</v>
          </cell>
          <cell r="B842" t="str">
            <v>Neodymium</v>
          </cell>
          <cell r="C842" t="str">
            <v>Canada Net-zero</v>
          </cell>
          <cell r="D842" t="str">
            <v>Existing production</v>
          </cell>
          <cell r="E842" t="str">
            <v>Current shares</v>
          </cell>
          <cell r="F842" t="str">
            <v>NIMBY</v>
          </cell>
          <cell r="G842">
            <v>4411.7741331532143</v>
          </cell>
          <cell r="H842">
            <v>0</v>
          </cell>
          <cell r="I842">
            <v>0</v>
          </cell>
          <cell r="J842">
            <v>0</v>
          </cell>
          <cell r="K842">
            <v>7352.9568885886911</v>
          </cell>
          <cell r="M842">
            <v>4411.7741331532143</v>
          </cell>
          <cell r="N842">
            <v>1</v>
          </cell>
        </row>
        <row r="843">
          <cell r="A843">
            <v>2034</v>
          </cell>
          <cell r="B843" t="str">
            <v>Neodymium</v>
          </cell>
          <cell r="C843" t="str">
            <v>Canada Net-zero</v>
          </cell>
          <cell r="D843" t="str">
            <v>Existing production</v>
          </cell>
          <cell r="E843" t="str">
            <v>Current shares</v>
          </cell>
          <cell r="F843" t="str">
            <v>Status Quo</v>
          </cell>
          <cell r="G843">
            <v>4411.7741331532143</v>
          </cell>
          <cell r="H843">
            <v>0</v>
          </cell>
          <cell r="I843">
            <v>0</v>
          </cell>
          <cell r="J843">
            <v>0</v>
          </cell>
          <cell r="K843">
            <v>7352.9568885886911</v>
          </cell>
          <cell r="M843">
            <v>4411.7741331532143</v>
          </cell>
          <cell r="N843">
            <v>1</v>
          </cell>
        </row>
        <row r="844">
          <cell r="A844">
            <v>2034</v>
          </cell>
          <cell r="B844" t="str">
            <v>Neodymium</v>
          </cell>
          <cell r="C844" t="str">
            <v>Canada Net-zero</v>
          </cell>
          <cell r="D844" t="str">
            <v>Production potential</v>
          </cell>
          <cell r="E844" t="str">
            <v>Current shares</v>
          </cell>
          <cell r="F844" t="str">
            <v>Expansion Extractive</v>
          </cell>
          <cell r="G844">
            <v>4411.7741331532143</v>
          </cell>
          <cell r="H844">
            <v>57.127421790883162</v>
          </cell>
          <cell r="I844">
            <v>34.193270634870977</v>
          </cell>
          <cell r="J844">
            <v>22.934151156012184</v>
          </cell>
          <cell r="K844">
            <v>7295.829466797808</v>
          </cell>
          <cell r="M844">
            <v>4354.6467113623312</v>
          </cell>
          <cell r="N844">
            <v>1</v>
          </cell>
        </row>
        <row r="845">
          <cell r="A845">
            <v>2034</v>
          </cell>
          <cell r="B845" t="str">
            <v>Neodymium</v>
          </cell>
          <cell r="C845" t="str">
            <v>Canada Net-zero</v>
          </cell>
          <cell r="D845" t="str">
            <v>Production potential</v>
          </cell>
          <cell r="E845" t="str">
            <v>Current shares</v>
          </cell>
          <cell r="F845" t="str">
            <v>Expansion Extractive+Circularity</v>
          </cell>
          <cell r="G845">
            <v>4411.7741331532143</v>
          </cell>
          <cell r="H845">
            <v>57.127421790883162</v>
          </cell>
          <cell r="I845">
            <v>34.193270634870977</v>
          </cell>
          <cell r="J845">
            <v>22.934151156012184</v>
          </cell>
          <cell r="K845">
            <v>7295.829466797808</v>
          </cell>
          <cell r="M845">
            <v>4354.6467113623312</v>
          </cell>
          <cell r="N845">
            <v>1</v>
          </cell>
        </row>
        <row r="846">
          <cell r="A846">
            <v>2034</v>
          </cell>
          <cell r="B846" t="str">
            <v>Neodymium</v>
          </cell>
          <cell r="C846" t="str">
            <v>Canada Net-zero</v>
          </cell>
          <cell r="D846" t="str">
            <v>Production potential</v>
          </cell>
          <cell r="E846" t="str">
            <v>100% CAN</v>
          </cell>
          <cell r="F846" t="str">
            <v>Integrated</v>
          </cell>
          <cell r="G846">
            <v>4411.7741331532143</v>
          </cell>
          <cell r="H846">
            <v>57.127421790883162</v>
          </cell>
          <cell r="I846">
            <v>34.193270634870977</v>
          </cell>
          <cell r="J846">
            <v>22.934151156012184</v>
          </cell>
          <cell r="K846">
            <v>7295.829466797808</v>
          </cell>
          <cell r="M846">
            <v>4354.6467113623312</v>
          </cell>
          <cell r="N846">
            <v>1</v>
          </cell>
        </row>
        <row r="847">
          <cell r="A847">
            <v>2034</v>
          </cell>
          <cell r="B847" t="str">
            <v>Neodymium</v>
          </cell>
          <cell r="C847" t="str">
            <v>Current Measures</v>
          </cell>
          <cell r="D847" t="str">
            <v>Existing production</v>
          </cell>
          <cell r="E847" t="str">
            <v>Current shares</v>
          </cell>
          <cell r="F847" t="str">
            <v>NIMBY</v>
          </cell>
          <cell r="G847">
            <v>1428.0497040707919</v>
          </cell>
          <cell r="H847">
            <v>0</v>
          </cell>
          <cell r="I847">
            <v>0</v>
          </cell>
          <cell r="J847">
            <v>0</v>
          </cell>
          <cell r="K847">
            <v>2380.082840117987</v>
          </cell>
          <cell r="M847">
            <v>1428.0497040707919</v>
          </cell>
          <cell r="N847">
            <v>1</v>
          </cell>
        </row>
        <row r="848">
          <cell r="A848">
            <v>2034</v>
          </cell>
          <cell r="B848" t="str">
            <v>Neodymium</v>
          </cell>
          <cell r="C848" t="str">
            <v>Current Measures</v>
          </cell>
          <cell r="D848" t="str">
            <v>Existing production</v>
          </cell>
          <cell r="E848" t="str">
            <v>Current shares</v>
          </cell>
          <cell r="F848" t="str">
            <v>Status Quo</v>
          </cell>
          <cell r="G848">
            <v>1428.0497040707919</v>
          </cell>
          <cell r="H848">
            <v>0</v>
          </cell>
          <cell r="I848">
            <v>0</v>
          </cell>
          <cell r="J848">
            <v>0</v>
          </cell>
          <cell r="K848">
            <v>2380.082840117987</v>
          </cell>
          <cell r="M848">
            <v>1428.0497040707919</v>
          </cell>
          <cell r="N848">
            <v>1</v>
          </cell>
        </row>
        <row r="849">
          <cell r="A849">
            <v>2034</v>
          </cell>
          <cell r="B849" t="str">
            <v>Neodymium</v>
          </cell>
          <cell r="C849" t="str">
            <v>Current Measures</v>
          </cell>
          <cell r="D849" t="str">
            <v>Production potential</v>
          </cell>
          <cell r="E849" t="str">
            <v>Current shares</v>
          </cell>
          <cell r="F849" t="str">
            <v>Expansion Extractive</v>
          </cell>
          <cell r="G849">
            <v>1428.0497040707919</v>
          </cell>
          <cell r="H849">
            <v>57.127421790883162</v>
          </cell>
          <cell r="I849">
            <v>34.193270634870977</v>
          </cell>
          <cell r="J849">
            <v>22.934151156012184</v>
          </cell>
          <cell r="K849">
            <v>2322.955418327103</v>
          </cell>
          <cell r="M849">
            <v>1370.9222822799088</v>
          </cell>
          <cell r="N849">
            <v>1</v>
          </cell>
        </row>
        <row r="850">
          <cell r="A850">
            <v>2034</v>
          </cell>
          <cell r="B850" t="str">
            <v>Neodymium</v>
          </cell>
          <cell r="C850" t="str">
            <v>Current Measures</v>
          </cell>
          <cell r="D850" t="str">
            <v>Production potential</v>
          </cell>
          <cell r="E850" t="str">
            <v>Current shares</v>
          </cell>
          <cell r="F850" t="str">
            <v>Expansion Extractive+Circularity</v>
          </cell>
          <cell r="G850">
            <v>1428.0497040707919</v>
          </cell>
          <cell r="H850">
            <v>57.127421790883162</v>
          </cell>
          <cell r="I850">
            <v>34.193270634870977</v>
          </cell>
          <cell r="J850">
            <v>22.934151156012184</v>
          </cell>
          <cell r="K850">
            <v>2322.955418327103</v>
          </cell>
          <cell r="M850">
            <v>1370.9222822799088</v>
          </cell>
          <cell r="N850">
            <v>1</v>
          </cell>
        </row>
        <row r="851">
          <cell r="A851">
            <v>2034</v>
          </cell>
          <cell r="B851" t="str">
            <v>Neodymium</v>
          </cell>
          <cell r="C851" t="str">
            <v>Current Measures</v>
          </cell>
          <cell r="D851" t="str">
            <v>Production potential</v>
          </cell>
          <cell r="E851" t="str">
            <v>100% CAN</v>
          </cell>
          <cell r="F851" t="str">
            <v>Integrated</v>
          </cell>
          <cell r="G851">
            <v>1428.0497040707919</v>
          </cell>
          <cell r="H851">
            <v>57.127421790883162</v>
          </cell>
          <cell r="I851">
            <v>34.193270634870977</v>
          </cell>
          <cell r="J851">
            <v>22.934151156012184</v>
          </cell>
          <cell r="K851">
            <v>2322.955418327103</v>
          </cell>
          <cell r="M851">
            <v>1370.9222822799088</v>
          </cell>
          <cell r="N851">
            <v>1</v>
          </cell>
        </row>
        <row r="852">
          <cell r="A852">
            <v>2034</v>
          </cell>
          <cell r="B852" t="str">
            <v>Neodymium</v>
          </cell>
          <cell r="C852" t="str">
            <v>Global Net-zero</v>
          </cell>
          <cell r="D852" t="str">
            <v>Existing production</v>
          </cell>
          <cell r="E852" t="str">
            <v>Current shares</v>
          </cell>
          <cell r="F852" t="str">
            <v>NIMBY</v>
          </cell>
          <cell r="G852">
            <v>4227.3945281288607</v>
          </cell>
          <cell r="H852">
            <v>0</v>
          </cell>
          <cell r="I852">
            <v>0</v>
          </cell>
          <cell r="J852">
            <v>0</v>
          </cell>
          <cell r="K852">
            <v>7045.6575468814344</v>
          </cell>
          <cell r="M852">
            <v>4227.3945281288607</v>
          </cell>
          <cell r="N852">
            <v>1</v>
          </cell>
        </row>
        <row r="853">
          <cell r="A853">
            <v>2034</v>
          </cell>
          <cell r="B853" t="str">
            <v>Neodymium</v>
          </cell>
          <cell r="C853" t="str">
            <v>Global Net-zero</v>
          </cell>
          <cell r="D853" t="str">
            <v>Existing production</v>
          </cell>
          <cell r="E853" t="str">
            <v>Current shares</v>
          </cell>
          <cell r="F853" t="str">
            <v>Status Quo</v>
          </cell>
          <cell r="G853">
            <v>4227.3945281288607</v>
          </cell>
          <cell r="H853">
            <v>0</v>
          </cell>
          <cell r="I853">
            <v>0</v>
          </cell>
          <cell r="J853">
            <v>0</v>
          </cell>
          <cell r="K853">
            <v>7045.6575468814344</v>
          </cell>
          <cell r="M853">
            <v>4227.3945281288607</v>
          </cell>
          <cell r="N853">
            <v>1</v>
          </cell>
        </row>
        <row r="854">
          <cell r="A854">
            <v>2034</v>
          </cell>
          <cell r="B854" t="str">
            <v>Neodymium</v>
          </cell>
          <cell r="C854" t="str">
            <v>Global Net-zero</v>
          </cell>
          <cell r="D854" t="str">
            <v>Production potential</v>
          </cell>
          <cell r="E854" t="str">
            <v>Current shares</v>
          </cell>
          <cell r="F854" t="str">
            <v>Expansion Extractive</v>
          </cell>
          <cell r="G854">
            <v>4227.3945281288607</v>
          </cell>
          <cell r="H854">
            <v>57.127421790883162</v>
          </cell>
          <cell r="I854">
            <v>34.193270634870977</v>
          </cell>
          <cell r="J854">
            <v>22.934151156012184</v>
          </cell>
          <cell r="K854">
            <v>6988.5301250905513</v>
          </cell>
          <cell r="M854">
            <v>4170.2671063379776</v>
          </cell>
          <cell r="N854">
            <v>1</v>
          </cell>
        </row>
        <row r="855">
          <cell r="A855">
            <v>2034</v>
          </cell>
          <cell r="B855" t="str">
            <v>Neodymium</v>
          </cell>
          <cell r="C855" t="str">
            <v>Global Net-zero</v>
          </cell>
          <cell r="D855" t="str">
            <v>Production potential</v>
          </cell>
          <cell r="E855" t="str">
            <v>Current shares</v>
          </cell>
          <cell r="F855" t="str">
            <v>Expansion Extractive+Circularity</v>
          </cell>
          <cell r="G855">
            <v>4227.3945281288607</v>
          </cell>
          <cell r="H855">
            <v>57.127421790883162</v>
          </cell>
          <cell r="I855">
            <v>34.193270634870977</v>
          </cell>
          <cell r="J855">
            <v>22.934151156012184</v>
          </cell>
          <cell r="K855">
            <v>6988.5301250905513</v>
          </cell>
          <cell r="M855">
            <v>4170.2671063379776</v>
          </cell>
          <cell r="N855">
            <v>1</v>
          </cell>
        </row>
        <row r="856">
          <cell r="A856">
            <v>2034</v>
          </cell>
          <cell r="B856" t="str">
            <v>Neodymium</v>
          </cell>
          <cell r="C856" t="str">
            <v>Global Net-zero</v>
          </cell>
          <cell r="D856" t="str">
            <v>Production potential</v>
          </cell>
          <cell r="E856" t="str">
            <v>100% CAN</v>
          </cell>
          <cell r="F856" t="str">
            <v>Integrated</v>
          </cell>
          <cell r="G856">
            <v>4227.3945281288607</v>
          </cell>
          <cell r="H856">
            <v>57.127421790883162</v>
          </cell>
          <cell r="I856">
            <v>34.193270634870977</v>
          </cell>
          <cell r="J856">
            <v>22.934151156012184</v>
          </cell>
          <cell r="K856">
            <v>6988.5301250905513</v>
          </cell>
          <cell r="M856">
            <v>4170.2671063379776</v>
          </cell>
          <cell r="N856">
            <v>1</v>
          </cell>
        </row>
        <row r="857">
          <cell r="A857">
            <v>2034</v>
          </cell>
          <cell r="B857" t="str">
            <v>Nickel</v>
          </cell>
          <cell r="C857" t="str">
            <v>Canada Net-zero</v>
          </cell>
          <cell r="D857" t="str">
            <v>Existing production</v>
          </cell>
          <cell r="E857" t="str">
            <v>Current shares</v>
          </cell>
          <cell r="F857" t="str">
            <v>NIMBY</v>
          </cell>
          <cell r="G857">
            <v>138718.89695700069</v>
          </cell>
          <cell r="H857">
            <v>0</v>
          </cell>
          <cell r="I857">
            <v>0</v>
          </cell>
          <cell r="J857">
            <v>0</v>
          </cell>
          <cell r="K857">
            <v>175593.54045189961</v>
          </cell>
          <cell r="M857">
            <v>138718.89695700069</v>
          </cell>
          <cell r="N857">
            <v>0.69917047091553897</v>
          </cell>
        </row>
        <row r="858">
          <cell r="A858">
            <v>2034</v>
          </cell>
          <cell r="B858" t="str">
            <v>Nickel</v>
          </cell>
          <cell r="C858" t="str">
            <v>Canada Net-zero</v>
          </cell>
          <cell r="D858" t="str">
            <v>Existing production</v>
          </cell>
          <cell r="E858" t="str">
            <v>Current shares</v>
          </cell>
          <cell r="F858" t="str">
            <v>Status Quo</v>
          </cell>
          <cell r="G858">
            <v>138718.89695700069</v>
          </cell>
          <cell r="H858">
            <v>118000</v>
          </cell>
          <cell r="I858">
            <v>66183.845060727675</v>
          </cell>
          <cell r="J858">
            <v>16318.270507305919</v>
          </cell>
          <cell r="K858">
            <v>57593.540451899607</v>
          </cell>
          <cell r="M858">
            <v>56216.781388967094</v>
          </cell>
          <cell r="N858">
            <v>0.69917047091553897</v>
          </cell>
        </row>
        <row r="859">
          <cell r="A859">
            <v>2034</v>
          </cell>
          <cell r="B859" t="str">
            <v>Nickel</v>
          </cell>
          <cell r="C859" t="str">
            <v>Canada Net-zero</v>
          </cell>
          <cell r="D859" t="str">
            <v>Production potential</v>
          </cell>
          <cell r="E859" t="str">
            <v>Current shares</v>
          </cell>
          <cell r="F859" t="str">
            <v>Expansion Extractive</v>
          </cell>
          <cell r="G859">
            <v>138718.89695700069</v>
          </cell>
          <cell r="H859">
            <v>215984.6873896351</v>
          </cell>
          <cell r="I859">
            <v>121141.5007261467</v>
          </cell>
          <cell r="J859">
            <v>29868.614866609962</v>
          </cell>
          <cell r="K859">
            <v>0</v>
          </cell>
          <cell r="M859">
            <v>0</v>
          </cell>
          <cell r="N859">
            <v>0.69917047091553897</v>
          </cell>
        </row>
        <row r="860">
          <cell r="A860">
            <v>2034</v>
          </cell>
          <cell r="B860" t="str">
            <v>Nickel</v>
          </cell>
          <cell r="C860" t="str">
            <v>Canada Net-zero</v>
          </cell>
          <cell r="D860" t="str">
            <v>Production potential</v>
          </cell>
          <cell r="E860" t="str">
            <v>Current shares</v>
          </cell>
          <cell r="F860" t="str">
            <v>Expansion Extractive+Circularity</v>
          </cell>
          <cell r="G860">
            <v>138718.89695700069</v>
          </cell>
          <cell r="H860">
            <v>215984.6873896351</v>
          </cell>
          <cell r="I860">
            <v>121141.5007261467</v>
          </cell>
          <cell r="J860">
            <v>29868.614866609962</v>
          </cell>
          <cell r="K860">
            <v>0</v>
          </cell>
          <cell r="M860">
            <v>0</v>
          </cell>
          <cell r="N860">
            <v>0.69917047091553897</v>
          </cell>
        </row>
        <row r="861">
          <cell r="A861">
            <v>2034</v>
          </cell>
          <cell r="B861" t="str">
            <v>Nickel</v>
          </cell>
          <cell r="C861" t="str">
            <v>Canada Net-zero</v>
          </cell>
          <cell r="D861" t="str">
            <v>Production potential</v>
          </cell>
          <cell r="E861" t="str">
            <v>100% CAN</v>
          </cell>
          <cell r="F861" t="str">
            <v>Integrated</v>
          </cell>
          <cell r="G861">
            <v>138718.89695700069</v>
          </cell>
          <cell r="H861">
            <v>215984.6873896351</v>
          </cell>
          <cell r="I861">
            <v>170099.81979837391</v>
          </cell>
          <cell r="J861">
            <v>-19089.70420561725</v>
          </cell>
          <cell r="K861">
            <v>0</v>
          </cell>
          <cell r="M861">
            <v>19089.70420561725</v>
          </cell>
          <cell r="N861">
            <v>0.69917047091553897</v>
          </cell>
        </row>
        <row r="862">
          <cell r="A862">
            <v>2034</v>
          </cell>
          <cell r="B862" t="str">
            <v>Nickel</v>
          </cell>
          <cell r="C862" t="str">
            <v>Current Measures</v>
          </cell>
          <cell r="D862" t="str">
            <v>Existing production</v>
          </cell>
          <cell r="E862" t="str">
            <v>Current shares</v>
          </cell>
          <cell r="F862" t="str">
            <v>NIMBY</v>
          </cell>
          <cell r="G862">
            <v>57371.149375960449</v>
          </cell>
          <cell r="H862">
            <v>0</v>
          </cell>
          <cell r="I862">
            <v>0</v>
          </cell>
          <cell r="J862">
            <v>0</v>
          </cell>
          <cell r="K862">
            <v>72621.708070836015</v>
          </cell>
          <cell r="M862">
            <v>57371.149375960449</v>
          </cell>
          <cell r="N862">
            <v>0.69917047091553897</v>
          </cell>
        </row>
        <row r="863">
          <cell r="A863">
            <v>2034</v>
          </cell>
          <cell r="B863" t="str">
            <v>Nickel</v>
          </cell>
          <cell r="C863" t="str">
            <v>Current Measures</v>
          </cell>
          <cell r="D863" t="str">
            <v>Existing production</v>
          </cell>
          <cell r="E863" t="str">
            <v>Current shares</v>
          </cell>
          <cell r="F863" t="str">
            <v>Status Quo</v>
          </cell>
          <cell r="G863">
            <v>57371.149375960449</v>
          </cell>
          <cell r="H863">
            <v>118000</v>
          </cell>
          <cell r="I863">
            <v>66183.845060727675</v>
          </cell>
          <cell r="J863">
            <v>16318.270507305919</v>
          </cell>
          <cell r="K863">
            <v>0</v>
          </cell>
          <cell r="M863">
            <v>0</v>
          </cell>
          <cell r="N863">
            <v>0.69917047091553897</v>
          </cell>
        </row>
        <row r="864">
          <cell r="A864">
            <v>2034</v>
          </cell>
          <cell r="B864" t="str">
            <v>Nickel</v>
          </cell>
          <cell r="C864" t="str">
            <v>Current Measures</v>
          </cell>
          <cell r="D864" t="str">
            <v>Production potential</v>
          </cell>
          <cell r="E864" t="str">
            <v>Current shares</v>
          </cell>
          <cell r="F864" t="str">
            <v>Expansion Extractive</v>
          </cell>
          <cell r="G864">
            <v>57371.149375960449</v>
          </cell>
          <cell r="H864">
            <v>215984.6873896351</v>
          </cell>
          <cell r="I864">
            <v>121141.5007261467</v>
          </cell>
          <cell r="J864">
            <v>29868.614866609962</v>
          </cell>
          <cell r="K864">
            <v>0</v>
          </cell>
          <cell r="M864">
            <v>0</v>
          </cell>
          <cell r="N864">
            <v>0.69917047091553897</v>
          </cell>
        </row>
        <row r="865">
          <cell r="A865">
            <v>2034</v>
          </cell>
          <cell r="B865" t="str">
            <v>Nickel</v>
          </cell>
          <cell r="C865" t="str">
            <v>Current Measures</v>
          </cell>
          <cell r="D865" t="str">
            <v>Production potential</v>
          </cell>
          <cell r="E865" t="str">
            <v>Current shares</v>
          </cell>
          <cell r="F865" t="str">
            <v>Expansion Extractive+Circularity</v>
          </cell>
          <cell r="G865">
            <v>57371.149375960449</v>
          </cell>
          <cell r="H865">
            <v>215984.6873896351</v>
          </cell>
          <cell r="I865">
            <v>121141.5007261467</v>
          </cell>
          <cell r="J865">
            <v>29868.614866609962</v>
          </cell>
          <cell r="K865">
            <v>0</v>
          </cell>
          <cell r="M865">
            <v>0</v>
          </cell>
          <cell r="N865">
            <v>0.69917047091553897</v>
          </cell>
        </row>
        <row r="866">
          <cell r="A866">
            <v>2034</v>
          </cell>
          <cell r="B866" t="str">
            <v>Nickel</v>
          </cell>
          <cell r="C866" t="str">
            <v>Current Measures</v>
          </cell>
          <cell r="D866" t="str">
            <v>Production potential</v>
          </cell>
          <cell r="E866" t="str">
            <v>100% CAN</v>
          </cell>
          <cell r="F866" t="str">
            <v>Integrated</v>
          </cell>
          <cell r="G866">
            <v>57371.149375960449</v>
          </cell>
          <cell r="H866">
            <v>215984.6873896351</v>
          </cell>
          <cell r="I866">
            <v>170099.81979837391</v>
          </cell>
          <cell r="J866">
            <v>-19089.70420561725</v>
          </cell>
          <cell r="K866">
            <v>0</v>
          </cell>
          <cell r="M866">
            <v>19089.70420561725</v>
          </cell>
          <cell r="N866">
            <v>0.69917047091553897</v>
          </cell>
        </row>
        <row r="867">
          <cell r="A867">
            <v>2034</v>
          </cell>
          <cell r="B867" t="str">
            <v>Nickel</v>
          </cell>
          <cell r="C867" t="str">
            <v>Global Net-zero</v>
          </cell>
          <cell r="D867" t="str">
            <v>Existing production</v>
          </cell>
          <cell r="E867" t="str">
            <v>Current shares</v>
          </cell>
          <cell r="F867" t="str">
            <v>NIMBY</v>
          </cell>
          <cell r="G867">
            <v>133155.21418504749</v>
          </cell>
          <cell r="H867">
            <v>0</v>
          </cell>
          <cell r="I867">
            <v>0</v>
          </cell>
          <cell r="J867">
            <v>0</v>
          </cell>
          <cell r="K867">
            <v>168550.90403170569</v>
          </cell>
          <cell r="M867">
            <v>133155.21418504749</v>
          </cell>
          <cell r="N867">
            <v>0.69917047091553897</v>
          </cell>
        </row>
        <row r="868">
          <cell r="A868">
            <v>2034</v>
          </cell>
          <cell r="B868" t="str">
            <v>Nickel</v>
          </cell>
          <cell r="C868" t="str">
            <v>Global Net-zero</v>
          </cell>
          <cell r="D868" t="str">
            <v>Existing production</v>
          </cell>
          <cell r="E868" t="str">
            <v>Current shares</v>
          </cell>
          <cell r="F868" t="str">
            <v>Status Quo</v>
          </cell>
          <cell r="G868">
            <v>133155.21418504749</v>
          </cell>
          <cell r="H868">
            <v>118000</v>
          </cell>
          <cell r="I868">
            <v>66183.845060727675</v>
          </cell>
          <cell r="J868">
            <v>16318.270507305919</v>
          </cell>
          <cell r="K868">
            <v>50550.904031705657</v>
          </cell>
          <cell r="M868">
            <v>50653.098617013893</v>
          </cell>
          <cell r="N868">
            <v>0.69917047091553897</v>
          </cell>
        </row>
        <row r="869">
          <cell r="A869">
            <v>2034</v>
          </cell>
          <cell r="B869" t="str">
            <v>Nickel</v>
          </cell>
          <cell r="C869" t="str">
            <v>Global Net-zero</v>
          </cell>
          <cell r="D869" t="str">
            <v>Production potential</v>
          </cell>
          <cell r="E869" t="str">
            <v>Current shares</v>
          </cell>
          <cell r="F869" t="str">
            <v>Expansion Extractive</v>
          </cell>
          <cell r="G869">
            <v>133155.21418504749</v>
          </cell>
          <cell r="H869">
            <v>215984.6873896351</v>
          </cell>
          <cell r="I869">
            <v>121141.5007261467</v>
          </cell>
          <cell r="J869">
            <v>29868.614866609962</v>
          </cell>
          <cell r="K869">
            <v>0</v>
          </cell>
          <cell r="M869">
            <v>0</v>
          </cell>
          <cell r="N869">
            <v>0.69917047091553897</v>
          </cell>
        </row>
        <row r="870">
          <cell r="A870">
            <v>2034</v>
          </cell>
          <cell r="B870" t="str">
            <v>Nickel</v>
          </cell>
          <cell r="C870" t="str">
            <v>Global Net-zero</v>
          </cell>
          <cell r="D870" t="str">
            <v>Production potential</v>
          </cell>
          <cell r="E870" t="str">
            <v>Current shares</v>
          </cell>
          <cell r="F870" t="str">
            <v>Expansion Extractive+Circularity</v>
          </cell>
          <cell r="G870">
            <v>133155.21418504749</v>
          </cell>
          <cell r="H870">
            <v>215984.6873896351</v>
          </cell>
          <cell r="I870">
            <v>121141.5007261467</v>
          </cell>
          <cell r="J870">
            <v>29868.614866609962</v>
          </cell>
          <cell r="K870">
            <v>0</v>
          </cell>
          <cell r="M870">
            <v>0</v>
          </cell>
          <cell r="N870">
            <v>0.69917047091553897</v>
          </cell>
        </row>
        <row r="871">
          <cell r="A871">
            <v>2034</v>
          </cell>
          <cell r="B871" t="str">
            <v>Nickel</v>
          </cell>
          <cell r="C871" t="str">
            <v>Global Net-zero</v>
          </cell>
          <cell r="D871" t="str">
            <v>Production potential</v>
          </cell>
          <cell r="E871" t="str">
            <v>100% CAN</v>
          </cell>
          <cell r="F871" t="str">
            <v>Integrated</v>
          </cell>
          <cell r="G871">
            <v>133155.21418504749</v>
          </cell>
          <cell r="H871">
            <v>215984.6873896351</v>
          </cell>
          <cell r="I871">
            <v>170099.81979837391</v>
          </cell>
          <cell r="J871">
            <v>-19089.70420561725</v>
          </cell>
          <cell r="K871">
            <v>0</v>
          </cell>
          <cell r="M871">
            <v>19089.70420561725</v>
          </cell>
          <cell r="N871">
            <v>0.69917047091553897</v>
          </cell>
        </row>
        <row r="872">
          <cell r="A872">
            <v>2034</v>
          </cell>
          <cell r="B872" t="str">
            <v>Graphite</v>
          </cell>
          <cell r="C872" t="str">
            <v>Canada Net-zero</v>
          </cell>
          <cell r="D872" t="str">
            <v>Existing production</v>
          </cell>
          <cell r="E872" t="str">
            <v>Current shares</v>
          </cell>
          <cell r="F872" t="str">
            <v>NIMBY</v>
          </cell>
          <cell r="G872">
            <v>2934.8364470711022</v>
          </cell>
          <cell r="H872">
            <v>0</v>
          </cell>
          <cell r="I872">
            <v>0</v>
          </cell>
          <cell r="J872">
            <v>0</v>
          </cell>
          <cell r="K872">
            <v>2934.8364470711022</v>
          </cell>
          <cell r="M872">
            <v>2934.8364470711022</v>
          </cell>
          <cell r="N872">
            <v>0.59854391398996798</v>
          </cell>
        </row>
        <row r="873">
          <cell r="A873">
            <v>2034</v>
          </cell>
          <cell r="B873" t="str">
            <v>Graphite</v>
          </cell>
          <cell r="C873" t="str">
            <v>Canada Net-zero</v>
          </cell>
          <cell r="D873" t="str">
            <v>Existing production</v>
          </cell>
          <cell r="E873" t="str">
            <v>Current shares</v>
          </cell>
          <cell r="F873" t="str">
            <v>Status Quo</v>
          </cell>
          <cell r="G873">
            <v>2934.8364470711022</v>
          </cell>
          <cell r="H873">
            <v>0</v>
          </cell>
          <cell r="I873">
            <v>0</v>
          </cell>
          <cell r="J873">
            <v>0</v>
          </cell>
          <cell r="K873">
            <v>2934.8364470711022</v>
          </cell>
          <cell r="M873">
            <v>2934.8364470711022</v>
          </cell>
          <cell r="N873">
            <v>0.59854391398996798</v>
          </cell>
        </row>
        <row r="874">
          <cell r="A874">
            <v>2034</v>
          </cell>
          <cell r="B874" t="str">
            <v>Graphite</v>
          </cell>
          <cell r="C874" t="str">
            <v>Canada Net-zero</v>
          </cell>
          <cell r="D874" t="str">
            <v>Production potential</v>
          </cell>
          <cell r="E874" t="str">
            <v>Current shares</v>
          </cell>
          <cell r="F874" t="str">
            <v>Expansion Extractive</v>
          </cell>
          <cell r="G874">
            <v>2934.8364470711022</v>
          </cell>
          <cell r="H874">
            <v>129545.46702307749</v>
          </cell>
          <cell r="I874">
            <v>42750.004117615557</v>
          </cell>
          <cell r="J874">
            <v>34788.646754035573</v>
          </cell>
          <cell r="K874">
            <v>0</v>
          </cell>
          <cell r="M874">
            <v>0</v>
          </cell>
          <cell r="N874">
            <v>0.59854391398996798</v>
          </cell>
        </row>
        <row r="875">
          <cell r="A875">
            <v>2034</v>
          </cell>
          <cell r="B875" t="str">
            <v>Graphite</v>
          </cell>
          <cell r="C875" t="str">
            <v>Canada Net-zero</v>
          </cell>
          <cell r="D875" t="str">
            <v>Production potential</v>
          </cell>
          <cell r="E875" t="str">
            <v>Current shares</v>
          </cell>
          <cell r="F875" t="str">
            <v>Expansion Extractive+Circularity</v>
          </cell>
          <cell r="G875">
            <v>2934.8364470711022</v>
          </cell>
          <cell r="H875">
            <v>129545.46702307749</v>
          </cell>
          <cell r="I875">
            <v>42750.004117615557</v>
          </cell>
          <cell r="J875">
            <v>34788.646754035573</v>
          </cell>
          <cell r="K875">
            <v>0</v>
          </cell>
          <cell r="M875">
            <v>0</v>
          </cell>
          <cell r="N875">
            <v>0.59854391398996798</v>
          </cell>
        </row>
        <row r="876">
          <cell r="A876">
            <v>2034</v>
          </cell>
          <cell r="B876" t="str">
            <v>Graphite</v>
          </cell>
          <cell r="C876" t="str">
            <v>Canada Net-zero</v>
          </cell>
          <cell r="D876" t="str">
            <v>Production potential</v>
          </cell>
          <cell r="E876" t="str">
            <v>100% CAN</v>
          </cell>
          <cell r="F876" t="str">
            <v>Integrated</v>
          </cell>
          <cell r="G876">
            <v>2934.8364470711022</v>
          </cell>
          <cell r="H876">
            <v>129545.46702307749</v>
          </cell>
          <cell r="I876">
            <v>42750.004117615557</v>
          </cell>
          <cell r="J876">
            <v>34788.646754035573</v>
          </cell>
          <cell r="K876">
            <v>0</v>
          </cell>
          <cell r="M876">
            <v>0</v>
          </cell>
          <cell r="N876">
            <v>0.59854391398996798</v>
          </cell>
        </row>
        <row r="877">
          <cell r="A877">
            <v>2034</v>
          </cell>
          <cell r="B877" t="str">
            <v>Graphite</v>
          </cell>
          <cell r="C877" t="str">
            <v>Current Measures</v>
          </cell>
          <cell r="D877" t="str">
            <v>Existing production</v>
          </cell>
          <cell r="E877" t="str">
            <v>Current shares</v>
          </cell>
          <cell r="F877" t="str">
            <v>NIMBY</v>
          </cell>
          <cell r="G877">
            <v>1114.482036875012</v>
          </cell>
          <cell r="H877">
            <v>0</v>
          </cell>
          <cell r="I877">
            <v>0</v>
          </cell>
          <cell r="J877">
            <v>0</v>
          </cell>
          <cell r="K877">
            <v>1114.482036875012</v>
          </cell>
          <cell r="M877">
            <v>1114.482036875012</v>
          </cell>
          <cell r="N877">
            <v>0.59854391398996798</v>
          </cell>
        </row>
        <row r="878">
          <cell r="A878">
            <v>2034</v>
          </cell>
          <cell r="B878" t="str">
            <v>Graphite</v>
          </cell>
          <cell r="C878" t="str">
            <v>Current Measures</v>
          </cell>
          <cell r="D878" t="str">
            <v>Existing production</v>
          </cell>
          <cell r="E878" t="str">
            <v>Current shares</v>
          </cell>
          <cell r="F878" t="str">
            <v>Status Quo</v>
          </cell>
          <cell r="G878">
            <v>1114.482036875012</v>
          </cell>
          <cell r="H878">
            <v>0</v>
          </cell>
          <cell r="I878">
            <v>0</v>
          </cell>
          <cell r="J878">
            <v>0</v>
          </cell>
          <cell r="K878">
            <v>1114.482036875012</v>
          </cell>
          <cell r="M878">
            <v>1114.482036875012</v>
          </cell>
          <cell r="N878">
            <v>0.59854391398996798</v>
          </cell>
        </row>
        <row r="879">
          <cell r="A879">
            <v>2034</v>
          </cell>
          <cell r="B879" t="str">
            <v>Graphite</v>
          </cell>
          <cell r="C879" t="str">
            <v>Current Measures</v>
          </cell>
          <cell r="D879" t="str">
            <v>Production potential</v>
          </cell>
          <cell r="E879" t="str">
            <v>Current shares</v>
          </cell>
          <cell r="F879" t="str">
            <v>Expansion Extractive</v>
          </cell>
          <cell r="G879">
            <v>1114.482036875012</v>
          </cell>
          <cell r="H879">
            <v>129545.46702307749</v>
          </cell>
          <cell r="I879">
            <v>42750.004117615557</v>
          </cell>
          <cell r="J879">
            <v>34788.646754035573</v>
          </cell>
          <cell r="K879">
            <v>0</v>
          </cell>
          <cell r="M879">
            <v>0</v>
          </cell>
          <cell r="N879">
            <v>0.59854391398996798</v>
          </cell>
        </row>
        <row r="880">
          <cell r="A880">
            <v>2034</v>
          </cell>
          <cell r="B880" t="str">
            <v>Graphite</v>
          </cell>
          <cell r="C880" t="str">
            <v>Current Measures</v>
          </cell>
          <cell r="D880" t="str">
            <v>Production potential</v>
          </cell>
          <cell r="E880" t="str">
            <v>Current shares</v>
          </cell>
          <cell r="F880" t="str">
            <v>Expansion Extractive+Circularity</v>
          </cell>
          <cell r="G880">
            <v>1114.482036875012</v>
          </cell>
          <cell r="H880">
            <v>129545.46702307749</v>
          </cell>
          <cell r="I880">
            <v>42750.004117615557</v>
          </cell>
          <cell r="J880">
            <v>34788.646754035573</v>
          </cell>
          <cell r="K880">
            <v>0</v>
          </cell>
          <cell r="M880">
            <v>0</v>
          </cell>
          <cell r="N880">
            <v>0.59854391398996798</v>
          </cell>
        </row>
        <row r="881">
          <cell r="A881">
            <v>2034</v>
          </cell>
          <cell r="B881" t="str">
            <v>Graphite</v>
          </cell>
          <cell r="C881" t="str">
            <v>Current Measures</v>
          </cell>
          <cell r="D881" t="str">
            <v>Production potential</v>
          </cell>
          <cell r="E881" t="str">
            <v>100% CAN</v>
          </cell>
          <cell r="F881" t="str">
            <v>Integrated</v>
          </cell>
          <cell r="G881">
            <v>1114.482036875012</v>
          </cell>
          <cell r="H881">
            <v>129545.46702307749</v>
          </cell>
          <cell r="I881">
            <v>42750.004117615557</v>
          </cell>
          <cell r="J881">
            <v>34788.646754035573</v>
          </cell>
          <cell r="K881">
            <v>0</v>
          </cell>
          <cell r="M881">
            <v>0</v>
          </cell>
          <cell r="N881">
            <v>0.59854391398996798</v>
          </cell>
        </row>
        <row r="882">
          <cell r="A882">
            <v>2034</v>
          </cell>
          <cell r="B882" t="str">
            <v>Graphite</v>
          </cell>
          <cell r="C882" t="str">
            <v>Global Net-zero</v>
          </cell>
          <cell r="D882" t="str">
            <v>Existing production</v>
          </cell>
          <cell r="E882" t="str">
            <v>Current shares</v>
          </cell>
          <cell r="F882" t="str">
            <v>NIMBY</v>
          </cell>
          <cell r="G882">
            <v>2790.9424655241191</v>
          </cell>
          <cell r="H882">
            <v>0</v>
          </cell>
          <cell r="I882">
            <v>0</v>
          </cell>
          <cell r="J882">
            <v>0</v>
          </cell>
          <cell r="K882">
            <v>2790.9424655241191</v>
          </cell>
          <cell r="M882">
            <v>2790.9424655241191</v>
          </cell>
          <cell r="N882">
            <v>0.59854391398996798</v>
          </cell>
        </row>
        <row r="883">
          <cell r="A883">
            <v>2034</v>
          </cell>
          <cell r="B883" t="str">
            <v>Graphite</v>
          </cell>
          <cell r="C883" t="str">
            <v>Global Net-zero</v>
          </cell>
          <cell r="D883" t="str">
            <v>Existing production</v>
          </cell>
          <cell r="E883" t="str">
            <v>Current shares</v>
          </cell>
          <cell r="F883" t="str">
            <v>Status Quo</v>
          </cell>
          <cell r="G883">
            <v>2790.9424655241191</v>
          </cell>
          <cell r="H883">
            <v>0</v>
          </cell>
          <cell r="I883">
            <v>0</v>
          </cell>
          <cell r="J883">
            <v>0</v>
          </cell>
          <cell r="K883">
            <v>2790.9424655241191</v>
          </cell>
          <cell r="M883">
            <v>2790.9424655241191</v>
          </cell>
          <cell r="N883">
            <v>0.59854391398996798</v>
          </cell>
        </row>
        <row r="884">
          <cell r="A884">
            <v>2034</v>
          </cell>
          <cell r="B884" t="str">
            <v>Graphite</v>
          </cell>
          <cell r="C884" t="str">
            <v>Global Net-zero</v>
          </cell>
          <cell r="D884" t="str">
            <v>Production potential</v>
          </cell>
          <cell r="E884" t="str">
            <v>Current shares</v>
          </cell>
          <cell r="F884" t="str">
            <v>Expansion Extractive</v>
          </cell>
          <cell r="G884">
            <v>2790.9424655241191</v>
          </cell>
          <cell r="H884">
            <v>129545.46702307749</v>
          </cell>
          <cell r="I884">
            <v>42750.004117615557</v>
          </cell>
          <cell r="J884">
            <v>34788.646754035573</v>
          </cell>
          <cell r="K884">
            <v>0</v>
          </cell>
          <cell r="M884">
            <v>0</v>
          </cell>
          <cell r="N884">
            <v>0.59854391398996798</v>
          </cell>
        </row>
        <row r="885">
          <cell r="A885">
            <v>2034</v>
          </cell>
          <cell r="B885" t="str">
            <v>Graphite</v>
          </cell>
          <cell r="C885" t="str">
            <v>Global Net-zero</v>
          </cell>
          <cell r="D885" t="str">
            <v>Production potential</v>
          </cell>
          <cell r="E885" t="str">
            <v>Current shares</v>
          </cell>
          <cell r="F885" t="str">
            <v>Expansion Extractive+Circularity</v>
          </cell>
          <cell r="G885">
            <v>2790.9424655241191</v>
          </cell>
          <cell r="H885">
            <v>129545.46702307749</v>
          </cell>
          <cell r="I885">
            <v>42750.004117615557</v>
          </cell>
          <cell r="J885">
            <v>34788.646754035573</v>
          </cell>
          <cell r="K885">
            <v>0</v>
          </cell>
          <cell r="M885">
            <v>0</v>
          </cell>
          <cell r="N885">
            <v>0.59854391398996798</v>
          </cell>
        </row>
        <row r="886">
          <cell r="A886">
            <v>2034</v>
          </cell>
          <cell r="B886" t="str">
            <v>Graphite</v>
          </cell>
          <cell r="C886" t="str">
            <v>Global Net-zero</v>
          </cell>
          <cell r="D886" t="str">
            <v>Production potential</v>
          </cell>
          <cell r="E886" t="str">
            <v>100% CAN</v>
          </cell>
          <cell r="F886" t="str">
            <v>Integrated</v>
          </cell>
          <cell r="G886">
            <v>2790.9424655241191</v>
          </cell>
          <cell r="H886">
            <v>129545.46702307749</v>
          </cell>
          <cell r="I886">
            <v>42750.004117615557</v>
          </cell>
          <cell r="J886">
            <v>34788.646754035573</v>
          </cell>
          <cell r="K886">
            <v>0</v>
          </cell>
          <cell r="M886">
            <v>0</v>
          </cell>
          <cell r="N886">
            <v>0.59854391398996798</v>
          </cell>
        </row>
        <row r="887">
          <cell r="A887">
            <v>2034</v>
          </cell>
          <cell r="B887" t="str">
            <v>Lithium</v>
          </cell>
          <cell r="C887" t="str">
            <v>Canada Net-zero</v>
          </cell>
          <cell r="D887" t="str">
            <v>Existing production</v>
          </cell>
          <cell r="E887" t="str">
            <v>Current shares</v>
          </cell>
          <cell r="F887" t="str">
            <v>NIMBY</v>
          </cell>
          <cell r="G887">
            <v>56563.036479032307</v>
          </cell>
          <cell r="H887">
            <v>0</v>
          </cell>
          <cell r="I887">
            <v>0</v>
          </cell>
          <cell r="J887">
            <v>0</v>
          </cell>
          <cell r="K887">
            <v>80804.337827189011</v>
          </cell>
          <cell r="M887">
            <v>56563.036479032307</v>
          </cell>
          <cell r="N887">
            <v>0.787554996857322</v>
          </cell>
        </row>
        <row r="888">
          <cell r="A888">
            <v>2034</v>
          </cell>
          <cell r="B888" t="str">
            <v>Lithium</v>
          </cell>
          <cell r="C888" t="str">
            <v>Canada Net-zero</v>
          </cell>
          <cell r="D888" t="str">
            <v>Existing production</v>
          </cell>
          <cell r="E888" t="str">
            <v>Current shares</v>
          </cell>
          <cell r="F888" t="str">
            <v>Status Quo</v>
          </cell>
          <cell r="G888">
            <v>56563.036479032307</v>
          </cell>
          <cell r="H888">
            <v>39773</v>
          </cell>
          <cell r="I888">
            <v>27808.107139723728</v>
          </cell>
          <cell r="J888">
            <v>3515.3177502825383</v>
          </cell>
          <cell r="K888">
            <v>41031.337827189011</v>
          </cell>
          <cell r="M888">
            <v>25239.611589026041</v>
          </cell>
          <cell r="N888">
            <v>0.787554996857322</v>
          </cell>
        </row>
        <row r="889">
          <cell r="A889">
            <v>2034</v>
          </cell>
          <cell r="B889" t="str">
            <v>Lithium</v>
          </cell>
          <cell r="C889" t="str">
            <v>Canada Net-zero</v>
          </cell>
          <cell r="D889" t="str">
            <v>Production potential</v>
          </cell>
          <cell r="E889" t="str">
            <v>Current shares</v>
          </cell>
          <cell r="F889" t="str">
            <v>Expansion Extractive</v>
          </cell>
          <cell r="G889">
            <v>56563.036479032307</v>
          </cell>
          <cell r="H889">
            <v>142859</v>
          </cell>
          <cell r="I889">
            <v>99882.794304522977</v>
          </cell>
          <cell r="J889">
            <v>12626.524991517188</v>
          </cell>
          <cell r="K889">
            <v>0</v>
          </cell>
          <cell r="M889">
            <v>0</v>
          </cell>
          <cell r="N889">
            <v>0.787554996857322</v>
          </cell>
        </row>
        <row r="890">
          <cell r="A890">
            <v>2034</v>
          </cell>
          <cell r="B890" t="str">
            <v>Lithium</v>
          </cell>
          <cell r="C890" t="str">
            <v>Canada Net-zero</v>
          </cell>
          <cell r="D890" t="str">
            <v>Production potential</v>
          </cell>
          <cell r="E890" t="str">
            <v>Current shares</v>
          </cell>
          <cell r="F890" t="str">
            <v>Expansion Extractive+Circularity</v>
          </cell>
          <cell r="G890">
            <v>56563.036479032307</v>
          </cell>
          <cell r="H890">
            <v>142859</v>
          </cell>
          <cell r="I890">
            <v>99882.794304522977</v>
          </cell>
          <cell r="J890">
            <v>12626.524991517188</v>
          </cell>
          <cell r="K890">
            <v>0</v>
          </cell>
          <cell r="M890">
            <v>0</v>
          </cell>
          <cell r="N890">
            <v>0.787554996857322</v>
          </cell>
        </row>
        <row r="891">
          <cell r="A891">
            <v>2034</v>
          </cell>
          <cell r="B891" t="str">
            <v>Lithium</v>
          </cell>
          <cell r="C891" t="str">
            <v>Canada Net-zero</v>
          </cell>
          <cell r="D891" t="str">
            <v>Production potential</v>
          </cell>
          <cell r="E891" t="str">
            <v>100% CAN</v>
          </cell>
          <cell r="F891" t="str">
            <v>Integrated</v>
          </cell>
          <cell r="G891">
            <v>56563.036479032307</v>
          </cell>
          <cell r="H891">
            <v>142859</v>
          </cell>
          <cell r="I891">
            <v>99882.794304522977</v>
          </cell>
          <cell r="J891">
            <v>12626.524991517188</v>
          </cell>
          <cell r="K891">
            <v>0</v>
          </cell>
          <cell r="M891">
            <v>0</v>
          </cell>
          <cell r="N891">
            <v>0.787554996857322</v>
          </cell>
        </row>
        <row r="892">
          <cell r="A892">
            <v>2034</v>
          </cell>
          <cell r="B892" t="str">
            <v>Lithium</v>
          </cell>
          <cell r="C892" t="str">
            <v>Current Measures</v>
          </cell>
          <cell r="D892" t="str">
            <v>Existing production</v>
          </cell>
          <cell r="E892" t="str">
            <v>Current shares</v>
          </cell>
          <cell r="F892" t="str">
            <v>NIMBY</v>
          </cell>
          <cell r="G892">
            <v>21479.387094942951</v>
          </cell>
          <cell r="H892">
            <v>0</v>
          </cell>
          <cell r="I892">
            <v>0</v>
          </cell>
          <cell r="J892">
            <v>0</v>
          </cell>
          <cell r="K892">
            <v>30684.838707061361</v>
          </cell>
          <cell r="M892">
            <v>21479.387094942951</v>
          </cell>
          <cell r="N892">
            <v>0.787554996857322</v>
          </cell>
        </row>
        <row r="893">
          <cell r="A893">
            <v>2034</v>
          </cell>
          <cell r="B893" t="str">
            <v>Lithium</v>
          </cell>
          <cell r="C893" t="str">
            <v>Current Measures</v>
          </cell>
          <cell r="D893" t="str">
            <v>Existing production</v>
          </cell>
          <cell r="E893" t="str">
            <v>Current shares</v>
          </cell>
          <cell r="F893" t="str">
            <v>Status Quo</v>
          </cell>
          <cell r="G893">
            <v>21479.387094942951</v>
          </cell>
          <cell r="H893">
            <v>39773</v>
          </cell>
          <cell r="I893">
            <v>27808.107139723728</v>
          </cell>
          <cell r="J893">
            <v>3515.3177502825383</v>
          </cell>
          <cell r="K893">
            <v>0</v>
          </cell>
          <cell r="M893">
            <v>0</v>
          </cell>
          <cell r="N893">
            <v>0.787554996857322</v>
          </cell>
        </row>
        <row r="894">
          <cell r="A894">
            <v>2034</v>
          </cell>
          <cell r="B894" t="str">
            <v>Lithium</v>
          </cell>
          <cell r="C894" t="str">
            <v>Current Measures</v>
          </cell>
          <cell r="D894" t="str">
            <v>Production potential</v>
          </cell>
          <cell r="E894" t="str">
            <v>Current shares</v>
          </cell>
          <cell r="F894" t="str">
            <v>Expansion Extractive</v>
          </cell>
          <cell r="G894">
            <v>21479.387094942951</v>
          </cell>
          <cell r="H894">
            <v>142859</v>
          </cell>
          <cell r="I894">
            <v>99882.794304522977</v>
          </cell>
          <cell r="J894">
            <v>12626.524991517188</v>
          </cell>
          <cell r="K894">
            <v>0</v>
          </cell>
          <cell r="M894">
            <v>0</v>
          </cell>
          <cell r="N894">
            <v>0.787554996857322</v>
          </cell>
        </row>
        <row r="895">
          <cell r="A895">
            <v>2034</v>
          </cell>
          <cell r="B895" t="str">
            <v>Lithium</v>
          </cell>
          <cell r="C895" t="str">
            <v>Current Measures</v>
          </cell>
          <cell r="D895" t="str">
            <v>Production potential</v>
          </cell>
          <cell r="E895" t="str">
            <v>Current shares</v>
          </cell>
          <cell r="F895" t="str">
            <v>Expansion Extractive+Circularity</v>
          </cell>
          <cell r="G895">
            <v>21479.387094942951</v>
          </cell>
          <cell r="H895">
            <v>142859</v>
          </cell>
          <cell r="I895">
            <v>99882.794304522977</v>
          </cell>
          <cell r="J895">
            <v>12626.524991517188</v>
          </cell>
          <cell r="K895">
            <v>0</v>
          </cell>
          <cell r="M895">
            <v>0</v>
          </cell>
          <cell r="N895">
            <v>0.787554996857322</v>
          </cell>
        </row>
        <row r="896">
          <cell r="A896">
            <v>2034</v>
          </cell>
          <cell r="B896" t="str">
            <v>Lithium</v>
          </cell>
          <cell r="C896" t="str">
            <v>Current Measures</v>
          </cell>
          <cell r="D896" t="str">
            <v>Production potential</v>
          </cell>
          <cell r="E896" t="str">
            <v>100% CAN</v>
          </cell>
          <cell r="F896" t="str">
            <v>Integrated</v>
          </cell>
          <cell r="G896">
            <v>21479.387094942951</v>
          </cell>
          <cell r="H896">
            <v>142859</v>
          </cell>
          <cell r="I896">
            <v>99882.794304522977</v>
          </cell>
          <cell r="J896">
            <v>12626.524991517188</v>
          </cell>
          <cell r="K896">
            <v>0</v>
          </cell>
          <cell r="M896">
            <v>0</v>
          </cell>
          <cell r="N896">
            <v>0.787554996857322</v>
          </cell>
        </row>
        <row r="897">
          <cell r="A897">
            <v>2034</v>
          </cell>
          <cell r="B897" t="str">
            <v>Lithium</v>
          </cell>
          <cell r="C897" t="str">
            <v>Global Net-zero</v>
          </cell>
          <cell r="D897" t="str">
            <v>Existing production</v>
          </cell>
          <cell r="E897" t="str">
            <v>Current shares</v>
          </cell>
          <cell r="F897" t="str">
            <v>NIMBY</v>
          </cell>
          <cell r="G897">
            <v>53789.771026547613</v>
          </cell>
          <cell r="H897">
            <v>0</v>
          </cell>
          <cell r="I897">
            <v>0</v>
          </cell>
          <cell r="J897">
            <v>0</v>
          </cell>
          <cell r="K897">
            <v>76842.530037925171</v>
          </cell>
          <cell r="M897">
            <v>53789.771026547613</v>
          </cell>
          <cell r="N897">
            <v>0.787554996857322</v>
          </cell>
        </row>
        <row r="898">
          <cell r="A898">
            <v>2034</v>
          </cell>
          <cell r="B898" t="str">
            <v>Lithium</v>
          </cell>
          <cell r="C898" t="str">
            <v>Global Net-zero</v>
          </cell>
          <cell r="D898" t="str">
            <v>Existing production</v>
          </cell>
          <cell r="E898" t="str">
            <v>Current shares</v>
          </cell>
          <cell r="F898" t="str">
            <v>Status Quo</v>
          </cell>
          <cell r="G898">
            <v>53789.771026547613</v>
          </cell>
          <cell r="H898">
            <v>39773</v>
          </cell>
          <cell r="I898">
            <v>27808.107139723728</v>
          </cell>
          <cell r="J898">
            <v>3515.3177502825383</v>
          </cell>
          <cell r="K898">
            <v>37069.530037925171</v>
          </cell>
          <cell r="M898">
            <v>22466.346136541342</v>
          </cell>
          <cell r="N898">
            <v>0.787554996857322</v>
          </cell>
        </row>
        <row r="899">
          <cell r="A899">
            <v>2034</v>
          </cell>
          <cell r="B899" t="str">
            <v>Lithium</v>
          </cell>
          <cell r="C899" t="str">
            <v>Global Net-zero</v>
          </cell>
          <cell r="D899" t="str">
            <v>Production potential</v>
          </cell>
          <cell r="E899" t="str">
            <v>Current shares</v>
          </cell>
          <cell r="F899" t="str">
            <v>Expansion Extractive</v>
          </cell>
          <cell r="G899">
            <v>53789.771026547613</v>
          </cell>
          <cell r="H899">
            <v>142859</v>
          </cell>
          <cell r="I899">
            <v>99882.794304522977</v>
          </cell>
          <cell r="J899">
            <v>12626.524991517188</v>
          </cell>
          <cell r="K899">
            <v>0</v>
          </cell>
          <cell r="M899">
            <v>0</v>
          </cell>
          <cell r="N899">
            <v>0.787554996857322</v>
          </cell>
        </row>
        <row r="900">
          <cell r="A900">
            <v>2034</v>
          </cell>
          <cell r="B900" t="str">
            <v>Lithium</v>
          </cell>
          <cell r="C900" t="str">
            <v>Global Net-zero</v>
          </cell>
          <cell r="D900" t="str">
            <v>Production potential</v>
          </cell>
          <cell r="E900" t="str">
            <v>Current shares</v>
          </cell>
          <cell r="F900" t="str">
            <v>Expansion Extractive+Circularity</v>
          </cell>
          <cell r="G900">
            <v>53789.771026547613</v>
          </cell>
          <cell r="H900">
            <v>142859</v>
          </cell>
          <cell r="I900">
            <v>99882.794304522977</v>
          </cell>
          <cell r="J900">
            <v>12626.524991517188</v>
          </cell>
          <cell r="K900">
            <v>0</v>
          </cell>
          <cell r="M900">
            <v>0</v>
          </cell>
          <cell r="N900">
            <v>0.787554996857322</v>
          </cell>
        </row>
        <row r="901">
          <cell r="A901">
            <v>2034</v>
          </cell>
          <cell r="B901" t="str">
            <v>Lithium</v>
          </cell>
          <cell r="C901" t="str">
            <v>Global Net-zero</v>
          </cell>
          <cell r="D901" t="str">
            <v>Production potential</v>
          </cell>
          <cell r="E901" t="str">
            <v>100% CAN</v>
          </cell>
          <cell r="F901" t="str">
            <v>Integrated</v>
          </cell>
          <cell r="G901">
            <v>53789.771026547613</v>
          </cell>
          <cell r="H901">
            <v>142859</v>
          </cell>
          <cell r="I901">
            <v>99882.794304522977</v>
          </cell>
          <cell r="J901">
            <v>12626.524991517188</v>
          </cell>
          <cell r="K901">
            <v>0</v>
          </cell>
          <cell r="M901">
            <v>0</v>
          </cell>
          <cell r="N901">
            <v>0.787554996857322</v>
          </cell>
        </row>
        <row r="902">
          <cell r="A902">
            <v>2035</v>
          </cell>
          <cell r="B902" t="str">
            <v>Cobalt</v>
          </cell>
          <cell r="C902" t="str">
            <v>Canada Net-zero</v>
          </cell>
          <cell r="D902" t="str">
            <v>Existing production</v>
          </cell>
          <cell r="E902" t="str">
            <v>Current shares</v>
          </cell>
          <cell r="F902" t="str">
            <v>NIMBY</v>
          </cell>
          <cell r="G902">
            <v>152437.6873521794</v>
          </cell>
          <cell r="H902">
            <v>0</v>
          </cell>
          <cell r="I902">
            <v>0</v>
          </cell>
          <cell r="J902">
            <v>0</v>
          </cell>
          <cell r="K902">
            <v>346449.28943677142</v>
          </cell>
          <cell r="M902">
            <v>152437.6873521794</v>
          </cell>
          <cell r="N902">
            <v>0.439346565686978</v>
          </cell>
        </row>
        <row r="903">
          <cell r="A903">
            <v>2035</v>
          </cell>
          <cell r="B903" t="str">
            <v>Cobalt</v>
          </cell>
          <cell r="C903" t="str">
            <v>Canada Net-zero</v>
          </cell>
          <cell r="D903" t="str">
            <v>Existing production</v>
          </cell>
          <cell r="E903" t="str">
            <v>Current shares</v>
          </cell>
          <cell r="F903" t="str">
            <v>Status Quo</v>
          </cell>
          <cell r="G903">
            <v>152437.6873521794</v>
          </cell>
          <cell r="H903">
            <v>3079</v>
          </cell>
          <cell r="I903">
            <v>1306.05584956232</v>
          </cell>
          <cell r="J903">
            <v>46.692226187885353</v>
          </cell>
          <cell r="K903">
            <v>343370.28943677142</v>
          </cell>
          <cell r="M903">
            <v>151084.93927642921</v>
          </cell>
          <cell r="N903">
            <v>0.439346565686978</v>
          </cell>
        </row>
        <row r="904">
          <cell r="A904">
            <v>2035</v>
          </cell>
          <cell r="B904" t="str">
            <v>Cobalt</v>
          </cell>
          <cell r="C904" t="str">
            <v>Canada Net-zero</v>
          </cell>
          <cell r="D904" t="str">
            <v>Production potential</v>
          </cell>
          <cell r="E904" t="str">
            <v>Current shares</v>
          </cell>
          <cell r="F904" t="str">
            <v>Expansion Extractive</v>
          </cell>
          <cell r="G904">
            <v>152437.6873521794</v>
          </cell>
          <cell r="H904">
            <v>15489.26488622676</v>
          </cell>
          <cell r="I904">
            <v>6570.2646996026942</v>
          </cell>
          <cell r="J904">
            <v>234.89063317693217</v>
          </cell>
          <cell r="K904">
            <v>330960.02455054462</v>
          </cell>
          <cell r="M904">
            <v>145632.53201939978</v>
          </cell>
          <cell r="N904">
            <v>0.439346565686978</v>
          </cell>
        </row>
        <row r="905">
          <cell r="A905">
            <v>2035</v>
          </cell>
          <cell r="B905" t="str">
            <v>Cobalt</v>
          </cell>
          <cell r="C905" t="str">
            <v>Canada Net-zero</v>
          </cell>
          <cell r="D905" t="str">
            <v>Production potential</v>
          </cell>
          <cell r="E905" t="str">
            <v>Current shares</v>
          </cell>
          <cell r="F905" t="str">
            <v>Expansion Extractive+Circularity</v>
          </cell>
          <cell r="G905">
            <v>152437.6873521794</v>
          </cell>
          <cell r="H905">
            <v>15489.26488622676</v>
          </cell>
          <cell r="I905">
            <v>6570.2646996026942</v>
          </cell>
          <cell r="J905">
            <v>234.89063317693217</v>
          </cell>
          <cell r="K905">
            <v>330960.02455054462</v>
          </cell>
          <cell r="M905">
            <v>145632.53201939978</v>
          </cell>
          <cell r="N905">
            <v>0.439346565686978</v>
          </cell>
        </row>
        <row r="906">
          <cell r="A906">
            <v>2035</v>
          </cell>
          <cell r="B906" t="str">
            <v>Cobalt</v>
          </cell>
          <cell r="C906" t="str">
            <v>Canada Net-zero</v>
          </cell>
          <cell r="D906" t="str">
            <v>Production potential</v>
          </cell>
          <cell r="E906" t="str">
            <v>100% CAN</v>
          </cell>
          <cell r="F906" t="str">
            <v>Integrated</v>
          </cell>
          <cell r="G906">
            <v>152437.6873521794</v>
          </cell>
          <cell r="H906">
            <v>15489.26488622676</v>
          </cell>
          <cell r="I906">
            <v>6805.1553327796337</v>
          </cell>
          <cell r="J906">
            <v>-7.2759576141834259E-12</v>
          </cell>
          <cell r="K906">
            <v>330960.02455054462</v>
          </cell>
          <cell r="M906">
            <v>145632.5320193998</v>
          </cell>
          <cell r="N906">
            <v>0.439346565686978</v>
          </cell>
        </row>
        <row r="907">
          <cell r="A907">
            <v>2035</v>
          </cell>
          <cell r="B907" t="str">
            <v>Cobalt</v>
          </cell>
          <cell r="C907" t="str">
            <v>Current Measures</v>
          </cell>
          <cell r="D907" t="str">
            <v>Existing production</v>
          </cell>
          <cell r="E907" t="str">
            <v>Current shares</v>
          </cell>
          <cell r="F907" t="str">
            <v>NIMBY</v>
          </cell>
          <cell r="G907">
            <v>58674.162846282037</v>
          </cell>
          <cell r="H907">
            <v>0</v>
          </cell>
          <cell r="I907">
            <v>0</v>
          </cell>
          <cell r="J907">
            <v>0</v>
          </cell>
          <cell r="K907">
            <v>133350.37010518639</v>
          </cell>
          <cell r="M907">
            <v>58674.162846282037</v>
          </cell>
          <cell r="N907">
            <v>0.439346565686978</v>
          </cell>
        </row>
        <row r="908">
          <cell r="A908">
            <v>2035</v>
          </cell>
          <cell r="B908" t="str">
            <v>Cobalt</v>
          </cell>
          <cell r="C908" t="str">
            <v>Current Measures</v>
          </cell>
          <cell r="D908" t="str">
            <v>Existing production</v>
          </cell>
          <cell r="E908" t="str">
            <v>Current shares</v>
          </cell>
          <cell r="F908" t="str">
            <v>Status Quo</v>
          </cell>
          <cell r="G908">
            <v>58674.162846282037</v>
          </cell>
          <cell r="H908">
            <v>3079</v>
          </cell>
          <cell r="I908">
            <v>1306.05584956232</v>
          </cell>
          <cell r="J908">
            <v>46.692226187885353</v>
          </cell>
          <cell r="K908">
            <v>130271.3701051864</v>
          </cell>
          <cell r="M908">
            <v>57321.414770531832</v>
          </cell>
          <cell r="N908">
            <v>0.439346565686978</v>
          </cell>
        </row>
        <row r="909">
          <cell r="A909">
            <v>2035</v>
          </cell>
          <cell r="B909" t="str">
            <v>Cobalt</v>
          </cell>
          <cell r="C909" t="str">
            <v>Current Measures</v>
          </cell>
          <cell r="D909" t="str">
            <v>Production potential</v>
          </cell>
          <cell r="E909" t="str">
            <v>Current shares</v>
          </cell>
          <cell r="F909" t="str">
            <v>Expansion Extractive</v>
          </cell>
          <cell r="G909">
            <v>58674.162846282037</v>
          </cell>
          <cell r="H909">
            <v>15489.26488622676</v>
          </cell>
          <cell r="I909">
            <v>6570.2646996026942</v>
          </cell>
          <cell r="J909">
            <v>234.89063317693217</v>
          </cell>
          <cell r="K909">
            <v>117861.1052189597</v>
          </cell>
          <cell r="M909">
            <v>51869.007513502409</v>
          </cell>
          <cell r="N909">
            <v>0.439346565686978</v>
          </cell>
        </row>
        <row r="910">
          <cell r="A910">
            <v>2035</v>
          </cell>
          <cell r="B910" t="str">
            <v>Cobalt</v>
          </cell>
          <cell r="C910" t="str">
            <v>Current Measures</v>
          </cell>
          <cell r="D910" t="str">
            <v>Production potential</v>
          </cell>
          <cell r="E910" t="str">
            <v>Current shares</v>
          </cell>
          <cell r="F910" t="str">
            <v>Expansion Extractive+Circularity</v>
          </cell>
          <cell r="G910">
            <v>58674.162846282037</v>
          </cell>
          <cell r="H910">
            <v>15489.26488622676</v>
          </cell>
          <cell r="I910">
            <v>6570.2646996026942</v>
          </cell>
          <cell r="J910">
            <v>234.89063317693217</v>
          </cell>
          <cell r="K910">
            <v>117861.1052189597</v>
          </cell>
          <cell r="M910">
            <v>51869.007513502409</v>
          </cell>
          <cell r="N910">
            <v>0.439346565686978</v>
          </cell>
        </row>
        <row r="911">
          <cell r="A911">
            <v>2035</v>
          </cell>
          <cell r="B911" t="str">
            <v>Cobalt</v>
          </cell>
          <cell r="C911" t="str">
            <v>Current Measures</v>
          </cell>
          <cell r="D911" t="str">
            <v>Production potential</v>
          </cell>
          <cell r="E911" t="str">
            <v>100% CAN</v>
          </cell>
          <cell r="F911" t="str">
            <v>Integrated</v>
          </cell>
          <cell r="G911">
            <v>58674.162846282037</v>
          </cell>
          <cell r="H911">
            <v>15489.26488622676</v>
          </cell>
          <cell r="I911">
            <v>6805.1553327796337</v>
          </cell>
          <cell r="J911">
            <v>-7.2759576141834259E-12</v>
          </cell>
          <cell r="K911">
            <v>117861.1052189597</v>
          </cell>
          <cell r="M911">
            <v>51869.007513502409</v>
          </cell>
          <cell r="N911">
            <v>0.439346565686978</v>
          </cell>
        </row>
        <row r="912">
          <cell r="A912">
            <v>2035</v>
          </cell>
          <cell r="B912" t="str">
            <v>Cobalt</v>
          </cell>
          <cell r="C912" t="str">
            <v>Global Net-zero</v>
          </cell>
          <cell r="D912" t="str">
            <v>Existing production</v>
          </cell>
          <cell r="E912" t="str">
            <v>Current shares</v>
          </cell>
          <cell r="F912" t="str">
            <v>NIMBY</v>
          </cell>
          <cell r="G912">
            <v>144963.80013112261</v>
          </cell>
          <cell r="H912">
            <v>0</v>
          </cell>
          <cell r="I912">
            <v>0</v>
          </cell>
          <cell r="J912">
            <v>0</v>
          </cell>
          <cell r="K912">
            <v>329463.18211618782</v>
          </cell>
          <cell r="M912">
            <v>144963.80013112261</v>
          </cell>
          <cell r="N912">
            <v>0.439346565686978</v>
          </cell>
        </row>
        <row r="913">
          <cell r="A913">
            <v>2035</v>
          </cell>
          <cell r="B913" t="str">
            <v>Cobalt</v>
          </cell>
          <cell r="C913" t="str">
            <v>Global Net-zero</v>
          </cell>
          <cell r="D913" t="str">
            <v>Existing production</v>
          </cell>
          <cell r="E913" t="str">
            <v>Current shares</v>
          </cell>
          <cell r="F913" t="str">
            <v>Status Quo</v>
          </cell>
          <cell r="G913">
            <v>144963.80013112261</v>
          </cell>
          <cell r="H913">
            <v>3079</v>
          </cell>
          <cell r="I913">
            <v>1306.05584956232</v>
          </cell>
          <cell r="J913">
            <v>46.692226187885353</v>
          </cell>
          <cell r="K913">
            <v>326384.18211618782</v>
          </cell>
          <cell r="M913">
            <v>143611.05205537242</v>
          </cell>
          <cell r="N913">
            <v>0.439346565686978</v>
          </cell>
        </row>
        <row r="914">
          <cell r="A914">
            <v>2035</v>
          </cell>
          <cell r="B914" t="str">
            <v>Cobalt</v>
          </cell>
          <cell r="C914" t="str">
            <v>Global Net-zero</v>
          </cell>
          <cell r="D914" t="str">
            <v>Production potential</v>
          </cell>
          <cell r="E914" t="str">
            <v>Current shares</v>
          </cell>
          <cell r="F914" t="str">
            <v>Expansion Extractive</v>
          </cell>
          <cell r="G914">
            <v>144963.80013112261</v>
          </cell>
          <cell r="H914">
            <v>15489.26488622676</v>
          </cell>
          <cell r="I914">
            <v>6570.2646996026942</v>
          </cell>
          <cell r="J914">
            <v>234.89063317693217</v>
          </cell>
          <cell r="K914">
            <v>313973.91722996102</v>
          </cell>
          <cell r="M914">
            <v>138158.64479834298</v>
          </cell>
          <cell r="N914">
            <v>0.439346565686978</v>
          </cell>
        </row>
        <row r="915">
          <cell r="A915">
            <v>2035</v>
          </cell>
          <cell r="B915" t="str">
            <v>Cobalt</v>
          </cell>
          <cell r="C915" t="str">
            <v>Global Net-zero</v>
          </cell>
          <cell r="D915" t="str">
            <v>Production potential</v>
          </cell>
          <cell r="E915" t="str">
            <v>Current shares</v>
          </cell>
          <cell r="F915" t="str">
            <v>Expansion Extractive+Circularity</v>
          </cell>
          <cell r="G915">
            <v>144963.80013112261</v>
          </cell>
          <cell r="H915">
            <v>15489.26488622676</v>
          </cell>
          <cell r="I915">
            <v>6570.2646996026942</v>
          </cell>
          <cell r="J915">
            <v>234.89063317693217</v>
          </cell>
          <cell r="K915">
            <v>313973.91722996102</v>
          </cell>
          <cell r="M915">
            <v>138158.64479834298</v>
          </cell>
          <cell r="N915">
            <v>0.439346565686978</v>
          </cell>
        </row>
        <row r="916">
          <cell r="A916">
            <v>2035</v>
          </cell>
          <cell r="B916" t="str">
            <v>Cobalt</v>
          </cell>
          <cell r="C916" t="str">
            <v>Global Net-zero</v>
          </cell>
          <cell r="D916" t="str">
            <v>Production potential</v>
          </cell>
          <cell r="E916" t="str">
            <v>100% CAN</v>
          </cell>
          <cell r="F916" t="str">
            <v>Integrated</v>
          </cell>
          <cell r="G916">
            <v>144963.80013112261</v>
          </cell>
          <cell r="H916">
            <v>15489.26488622676</v>
          </cell>
          <cell r="I916">
            <v>6805.1553327796337</v>
          </cell>
          <cell r="J916">
            <v>-7.2759576141834259E-12</v>
          </cell>
          <cell r="K916">
            <v>313973.91722996102</v>
          </cell>
          <cell r="M916">
            <v>138158.64479834301</v>
          </cell>
          <cell r="N916">
            <v>0.439346565686978</v>
          </cell>
        </row>
        <row r="917">
          <cell r="A917">
            <v>2035</v>
          </cell>
          <cell r="B917" t="str">
            <v>Copper</v>
          </cell>
          <cell r="C917" t="str">
            <v>Canada Net-zero</v>
          </cell>
          <cell r="D917" t="str">
            <v>Existing production</v>
          </cell>
          <cell r="E917" t="str">
            <v>Current shares</v>
          </cell>
          <cell r="F917" t="str">
            <v>NIMBY</v>
          </cell>
          <cell r="G917">
            <v>1380748.71092915</v>
          </cell>
          <cell r="H917">
            <v>0</v>
          </cell>
          <cell r="I917">
            <v>0</v>
          </cell>
          <cell r="J917">
            <v>0</v>
          </cell>
          <cell r="K917">
            <v>1663552.6637700601</v>
          </cell>
          <cell r="M917">
            <v>1380748.71092915</v>
          </cell>
          <cell r="N917">
            <v>0.83474576271186396</v>
          </cell>
        </row>
        <row r="918">
          <cell r="A918">
            <v>2035</v>
          </cell>
          <cell r="B918" t="str">
            <v>Copper</v>
          </cell>
          <cell r="C918" t="str">
            <v>Canada Net-zero</v>
          </cell>
          <cell r="D918" t="str">
            <v>Existing production</v>
          </cell>
          <cell r="E918" t="str">
            <v>Current shares</v>
          </cell>
          <cell r="F918" t="str">
            <v>Status Quo</v>
          </cell>
          <cell r="G918">
            <v>1380748.71092915</v>
          </cell>
          <cell r="H918">
            <v>268899</v>
          </cell>
          <cell r="I918">
            <v>141335.65045528009</v>
          </cell>
          <cell r="J918">
            <v>83126.650392177427</v>
          </cell>
          <cell r="K918">
            <v>1394653.6637700601</v>
          </cell>
          <cell r="M918">
            <v>1156286.4100816925</v>
          </cell>
          <cell r="N918">
            <v>0.83474576271186396</v>
          </cell>
        </row>
        <row r="919">
          <cell r="A919">
            <v>2035</v>
          </cell>
          <cell r="B919" t="str">
            <v>Copper</v>
          </cell>
          <cell r="C919" t="str">
            <v>Canada Net-zero</v>
          </cell>
          <cell r="D919" t="str">
            <v>Production potential</v>
          </cell>
          <cell r="E919" t="str">
            <v>Current shares</v>
          </cell>
          <cell r="F919" t="str">
            <v>Expansion Extractive</v>
          </cell>
          <cell r="G919">
            <v>1380748.71092915</v>
          </cell>
          <cell r="H919">
            <v>880689.46172873862</v>
          </cell>
          <cell r="I919">
            <v>462898.03205866081</v>
          </cell>
          <cell r="J919">
            <v>272253.76438439608</v>
          </cell>
          <cell r="K919">
            <v>782863.20204132167</v>
          </cell>
          <cell r="M919">
            <v>645596.91448609298</v>
          </cell>
          <cell r="N919">
            <v>0.83474576271186396</v>
          </cell>
        </row>
        <row r="920">
          <cell r="A920">
            <v>2035</v>
          </cell>
          <cell r="B920" t="str">
            <v>Copper</v>
          </cell>
          <cell r="C920" t="str">
            <v>Canada Net-zero</v>
          </cell>
          <cell r="D920" t="str">
            <v>Production potential</v>
          </cell>
          <cell r="E920" t="str">
            <v>Current shares</v>
          </cell>
          <cell r="F920" t="str">
            <v>Expansion Extractive+Circularity</v>
          </cell>
          <cell r="G920">
            <v>1380748.71092915</v>
          </cell>
          <cell r="H920">
            <v>880689.46172873862</v>
          </cell>
          <cell r="I920">
            <v>462898.03205866081</v>
          </cell>
          <cell r="J920">
            <v>272253.76438439608</v>
          </cell>
          <cell r="K920">
            <v>782863.20204132167</v>
          </cell>
          <cell r="M920">
            <v>645596.91448609298</v>
          </cell>
          <cell r="N920">
            <v>0.83474576271186396</v>
          </cell>
        </row>
        <row r="921">
          <cell r="A921">
            <v>2035</v>
          </cell>
          <cell r="B921" t="str">
            <v>Copper</v>
          </cell>
          <cell r="C921" t="str">
            <v>Canada Net-zero</v>
          </cell>
          <cell r="D921" t="str">
            <v>Production potential</v>
          </cell>
          <cell r="E921" t="str">
            <v>100% CAN</v>
          </cell>
          <cell r="F921" t="str">
            <v>Integrated</v>
          </cell>
          <cell r="G921">
            <v>1380748.71092915</v>
          </cell>
          <cell r="H921">
            <v>880689.46172873862</v>
          </cell>
          <cell r="I921">
            <v>735151.79644305725</v>
          </cell>
          <cell r="J921">
            <v>0</v>
          </cell>
          <cell r="K921">
            <v>782863.20204132167</v>
          </cell>
          <cell r="M921">
            <v>645596.91448609275</v>
          </cell>
          <cell r="N921">
            <v>0.83474576271186396</v>
          </cell>
        </row>
        <row r="922">
          <cell r="A922">
            <v>2035</v>
          </cell>
          <cell r="B922" t="str">
            <v>Copper</v>
          </cell>
          <cell r="C922" t="str">
            <v>Current Measures</v>
          </cell>
          <cell r="D922" t="str">
            <v>Existing production</v>
          </cell>
          <cell r="E922" t="str">
            <v>Current shares</v>
          </cell>
          <cell r="F922" t="str">
            <v>NIMBY</v>
          </cell>
          <cell r="G922">
            <v>1076342.608390369</v>
          </cell>
          <cell r="H922">
            <v>0</v>
          </cell>
          <cell r="I922">
            <v>0</v>
          </cell>
          <cell r="J922">
            <v>0</v>
          </cell>
          <cell r="K922">
            <v>1296798.3233618899</v>
          </cell>
          <cell r="M922">
            <v>1076342.608390369</v>
          </cell>
          <cell r="N922">
            <v>0.83474576271186396</v>
          </cell>
        </row>
        <row r="923">
          <cell r="A923">
            <v>2035</v>
          </cell>
          <cell r="B923" t="str">
            <v>Copper</v>
          </cell>
          <cell r="C923" t="str">
            <v>Current Measures</v>
          </cell>
          <cell r="D923" t="str">
            <v>Existing production</v>
          </cell>
          <cell r="E923" t="str">
            <v>Current shares</v>
          </cell>
          <cell r="F923" t="str">
            <v>Status Quo</v>
          </cell>
          <cell r="G923">
            <v>1076342.608390369</v>
          </cell>
          <cell r="H923">
            <v>268899</v>
          </cell>
          <cell r="I923">
            <v>141335.65045528009</v>
          </cell>
          <cell r="J923">
            <v>83126.650392177427</v>
          </cell>
          <cell r="K923">
            <v>1027899.32336189</v>
          </cell>
          <cell r="M923">
            <v>851880.30754291138</v>
          </cell>
          <cell r="N923">
            <v>0.83474576271186396</v>
          </cell>
        </row>
        <row r="924">
          <cell r="A924">
            <v>2035</v>
          </cell>
          <cell r="B924" t="str">
            <v>Copper</v>
          </cell>
          <cell r="C924" t="str">
            <v>Current Measures</v>
          </cell>
          <cell r="D924" t="str">
            <v>Production potential</v>
          </cell>
          <cell r="E924" t="str">
            <v>Current shares</v>
          </cell>
          <cell r="F924" t="str">
            <v>Expansion Extractive</v>
          </cell>
          <cell r="G924">
            <v>1076342.608390369</v>
          </cell>
          <cell r="H924">
            <v>880689.46172873862</v>
          </cell>
          <cell r="I924">
            <v>462898.03205866081</v>
          </cell>
          <cell r="J924">
            <v>272253.76438439608</v>
          </cell>
          <cell r="K924">
            <v>416108.86163315183</v>
          </cell>
          <cell r="M924">
            <v>341190.81194731203</v>
          </cell>
          <cell r="N924">
            <v>0.83474576271186396</v>
          </cell>
        </row>
        <row r="925">
          <cell r="A925">
            <v>2035</v>
          </cell>
          <cell r="B925" t="str">
            <v>Copper</v>
          </cell>
          <cell r="C925" t="str">
            <v>Current Measures</v>
          </cell>
          <cell r="D925" t="str">
            <v>Production potential</v>
          </cell>
          <cell r="E925" t="str">
            <v>Current shares</v>
          </cell>
          <cell r="F925" t="str">
            <v>Expansion Extractive+Circularity</v>
          </cell>
          <cell r="G925">
            <v>1076342.608390369</v>
          </cell>
          <cell r="H925">
            <v>880689.46172873862</v>
          </cell>
          <cell r="I925">
            <v>462898.03205866081</v>
          </cell>
          <cell r="J925">
            <v>272253.76438439608</v>
          </cell>
          <cell r="K925">
            <v>416108.86163315183</v>
          </cell>
          <cell r="M925">
            <v>341190.81194731203</v>
          </cell>
          <cell r="N925">
            <v>0.83474576271186396</v>
          </cell>
        </row>
        <row r="926">
          <cell r="A926">
            <v>2035</v>
          </cell>
          <cell r="B926" t="str">
            <v>Copper</v>
          </cell>
          <cell r="C926" t="str">
            <v>Current Measures</v>
          </cell>
          <cell r="D926" t="str">
            <v>Production potential</v>
          </cell>
          <cell r="E926" t="str">
            <v>100% CAN</v>
          </cell>
          <cell r="F926" t="str">
            <v>Integrated</v>
          </cell>
          <cell r="G926">
            <v>1076342.608390369</v>
          </cell>
          <cell r="H926">
            <v>880689.46172873862</v>
          </cell>
          <cell r="I926">
            <v>735151.79644305725</v>
          </cell>
          <cell r="J926">
            <v>0</v>
          </cell>
          <cell r="K926">
            <v>416108.86163315183</v>
          </cell>
          <cell r="M926">
            <v>341190.81194731168</v>
          </cell>
          <cell r="N926">
            <v>0.83474576271186396</v>
          </cell>
        </row>
        <row r="927">
          <cell r="A927">
            <v>2035</v>
          </cell>
          <cell r="B927" t="str">
            <v>Copper</v>
          </cell>
          <cell r="C927" t="str">
            <v>Global Net-zero</v>
          </cell>
          <cell r="D927" t="str">
            <v>Existing production</v>
          </cell>
          <cell r="E927" t="str">
            <v>Current shares</v>
          </cell>
          <cell r="F927" t="str">
            <v>NIMBY</v>
          </cell>
          <cell r="G927">
            <v>1323110.8219487551</v>
          </cell>
          <cell r="H927">
            <v>0</v>
          </cell>
          <cell r="I927">
            <v>0</v>
          </cell>
          <cell r="J927">
            <v>0</v>
          </cell>
          <cell r="K927">
            <v>1594109.4240346451</v>
          </cell>
          <cell r="M927">
            <v>1323110.8219487551</v>
          </cell>
          <cell r="N927">
            <v>0.83474576271186396</v>
          </cell>
        </row>
        <row r="928">
          <cell r="A928">
            <v>2035</v>
          </cell>
          <cell r="B928" t="str">
            <v>Copper</v>
          </cell>
          <cell r="C928" t="str">
            <v>Global Net-zero</v>
          </cell>
          <cell r="D928" t="str">
            <v>Existing production</v>
          </cell>
          <cell r="E928" t="str">
            <v>Current shares</v>
          </cell>
          <cell r="F928" t="str">
            <v>Status Quo</v>
          </cell>
          <cell r="G928">
            <v>1323110.8219487551</v>
          </cell>
          <cell r="H928">
            <v>268899</v>
          </cell>
          <cell r="I928">
            <v>141335.65045528009</v>
          </cell>
          <cell r="J928">
            <v>83126.650392177427</v>
          </cell>
          <cell r="K928">
            <v>1325210.4240346451</v>
          </cell>
          <cell r="M928">
            <v>1098648.5211012976</v>
          </cell>
          <cell r="N928">
            <v>0.83474576271186396</v>
          </cell>
        </row>
        <row r="929">
          <cell r="A929">
            <v>2035</v>
          </cell>
          <cell r="B929" t="str">
            <v>Copper</v>
          </cell>
          <cell r="C929" t="str">
            <v>Global Net-zero</v>
          </cell>
          <cell r="D929" t="str">
            <v>Production potential</v>
          </cell>
          <cell r="E929" t="str">
            <v>Current shares</v>
          </cell>
          <cell r="F929" t="str">
            <v>Expansion Extractive</v>
          </cell>
          <cell r="G929">
            <v>1323110.8219487551</v>
          </cell>
          <cell r="H929">
            <v>880689.46172873862</v>
          </cell>
          <cell r="I929">
            <v>462898.03205866081</v>
          </cell>
          <cell r="J929">
            <v>272253.76438439608</v>
          </cell>
          <cell r="K929">
            <v>713419.96230590623</v>
          </cell>
          <cell r="M929">
            <v>587959.02550569805</v>
          </cell>
          <cell r="N929">
            <v>0.83474576271186396</v>
          </cell>
        </row>
        <row r="930">
          <cell r="A930">
            <v>2035</v>
          </cell>
          <cell r="B930" t="str">
            <v>Copper</v>
          </cell>
          <cell r="C930" t="str">
            <v>Global Net-zero</v>
          </cell>
          <cell r="D930" t="str">
            <v>Production potential</v>
          </cell>
          <cell r="E930" t="str">
            <v>Current shares</v>
          </cell>
          <cell r="F930" t="str">
            <v>Expansion Extractive+Circularity</v>
          </cell>
          <cell r="G930">
            <v>1323110.8219487551</v>
          </cell>
          <cell r="H930">
            <v>880689.46172873862</v>
          </cell>
          <cell r="I930">
            <v>462898.03205866081</v>
          </cell>
          <cell r="J930">
            <v>272253.76438439608</v>
          </cell>
          <cell r="K930">
            <v>713419.96230590623</v>
          </cell>
          <cell r="M930">
            <v>587959.02550569805</v>
          </cell>
          <cell r="N930">
            <v>0.83474576271186396</v>
          </cell>
        </row>
        <row r="931">
          <cell r="A931">
            <v>2035</v>
          </cell>
          <cell r="B931" t="str">
            <v>Copper</v>
          </cell>
          <cell r="C931" t="str">
            <v>Global Net-zero</v>
          </cell>
          <cell r="D931" t="str">
            <v>Production potential</v>
          </cell>
          <cell r="E931" t="str">
            <v>100% CAN</v>
          </cell>
          <cell r="F931" t="str">
            <v>Integrated</v>
          </cell>
          <cell r="G931">
            <v>1323110.8219487551</v>
          </cell>
          <cell r="H931">
            <v>880689.46172873862</v>
          </cell>
          <cell r="I931">
            <v>735151.79644305725</v>
          </cell>
          <cell r="J931">
            <v>0</v>
          </cell>
          <cell r="K931">
            <v>713419.96230590623</v>
          </cell>
          <cell r="M931">
            <v>587959.02550569782</v>
          </cell>
          <cell r="N931">
            <v>0.83474576271186396</v>
          </cell>
        </row>
        <row r="932">
          <cell r="A932">
            <v>2035</v>
          </cell>
          <cell r="B932" t="str">
            <v>Neodymium</v>
          </cell>
          <cell r="C932" t="str">
            <v>Canada Net-zero</v>
          </cell>
          <cell r="D932" t="str">
            <v>Existing production</v>
          </cell>
          <cell r="E932" t="str">
            <v>Current shares</v>
          </cell>
          <cell r="F932" t="str">
            <v>NIMBY</v>
          </cell>
          <cell r="G932">
            <v>4963.692314413418</v>
          </cell>
          <cell r="H932">
            <v>0</v>
          </cell>
          <cell r="I932">
            <v>0</v>
          </cell>
          <cell r="J932">
            <v>0</v>
          </cell>
          <cell r="K932">
            <v>8272.8205240223633</v>
          </cell>
          <cell r="M932">
            <v>4963.692314413418</v>
          </cell>
          <cell r="N932">
            <v>1</v>
          </cell>
        </row>
        <row r="933">
          <cell r="A933">
            <v>2035</v>
          </cell>
          <cell r="B933" t="str">
            <v>Neodymium</v>
          </cell>
          <cell r="C933" t="str">
            <v>Canada Net-zero</v>
          </cell>
          <cell r="D933" t="str">
            <v>Existing production</v>
          </cell>
          <cell r="E933" t="str">
            <v>Current shares</v>
          </cell>
          <cell r="F933" t="str">
            <v>Status Quo</v>
          </cell>
          <cell r="G933">
            <v>4963.692314413418</v>
          </cell>
          <cell r="H933">
            <v>0</v>
          </cell>
          <cell r="I933">
            <v>0</v>
          </cell>
          <cell r="J933">
            <v>0</v>
          </cell>
          <cell r="K933">
            <v>8272.8205240223633</v>
          </cell>
          <cell r="M933">
            <v>4963.692314413418</v>
          </cell>
          <cell r="N933">
            <v>1</v>
          </cell>
        </row>
        <row r="934">
          <cell r="A934">
            <v>2035</v>
          </cell>
          <cell r="B934" t="str">
            <v>Neodymium</v>
          </cell>
          <cell r="C934" t="str">
            <v>Canada Net-zero</v>
          </cell>
          <cell r="D934" t="str">
            <v>Production potential</v>
          </cell>
          <cell r="E934" t="str">
            <v>Current shares</v>
          </cell>
          <cell r="F934" t="str">
            <v>Expansion Extractive</v>
          </cell>
          <cell r="G934">
            <v>4963.692314413418</v>
          </cell>
          <cell r="H934">
            <v>80.029175596616852</v>
          </cell>
          <cell r="I934">
            <v>47.900975994989473</v>
          </cell>
          <cell r="J934">
            <v>32.128199601627379</v>
          </cell>
          <cell r="K934">
            <v>8192.791348425746</v>
          </cell>
          <cell r="M934">
            <v>4883.6631388167998</v>
          </cell>
          <cell r="N934">
            <v>1</v>
          </cell>
        </row>
        <row r="935">
          <cell r="A935">
            <v>2035</v>
          </cell>
          <cell r="B935" t="str">
            <v>Neodymium</v>
          </cell>
          <cell r="C935" t="str">
            <v>Canada Net-zero</v>
          </cell>
          <cell r="D935" t="str">
            <v>Production potential</v>
          </cell>
          <cell r="E935" t="str">
            <v>Current shares</v>
          </cell>
          <cell r="F935" t="str">
            <v>Expansion Extractive+Circularity</v>
          </cell>
          <cell r="G935">
            <v>4963.692314413418</v>
          </cell>
          <cell r="H935">
            <v>80.029175596616852</v>
          </cell>
          <cell r="I935">
            <v>47.900975994989473</v>
          </cell>
          <cell r="J935">
            <v>32.128199601627379</v>
          </cell>
          <cell r="K935">
            <v>8192.791348425746</v>
          </cell>
          <cell r="M935">
            <v>4883.6631388167998</v>
          </cell>
          <cell r="N935">
            <v>1</v>
          </cell>
        </row>
        <row r="936">
          <cell r="A936">
            <v>2035</v>
          </cell>
          <cell r="B936" t="str">
            <v>Neodymium</v>
          </cell>
          <cell r="C936" t="str">
            <v>Canada Net-zero</v>
          </cell>
          <cell r="D936" t="str">
            <v>Production potential</v>
          </cell>
          <cell r="E936" t="str">
            <v>100% CAN</v>
          </cell>
          <cell r="F936" t="str">
            <v>Integrated</v>
          </cell>
          <cell r="G936">
            <v>4963.692314413418</v>
          </cell>
          <cell r="H936">
            <v>80.029175596616852</v>
          </cell>
          <cell r="I936">
            <v>47.900975994989473</v>
          </cell>
          <cell r="J936">
            <v>32.128199601627379</v>
          </cell>
          <cell r="K936">
            <v>8192.791348425746</v>
          </cell>
          <cell r="M936">
            <v>4883.6631388167998</v>
          </cell>
          <cell r="N936">
            <v>1</v>
          </cell>
        </row>
        <row r="937">
          <cell r="A937">
            <v>2035</v>
          </cell>
          <cell r="B937" t="str">
            <v>Neodymium</v>
          </cell>
          <cell r="C937" t="str">
            <v>Current Measures</v>
          </cell>
          <cell r="D937" t="str">
            <v>Existing production</v>
          </cell>
          <cell r="E937" t="str">
            <v>Current shares</v>
          </cell>
          <cell r="F937" t="str">
            <v>NIMBY</v>
          </cell>
          <cell r="G937">
            <v>1591.879620066579</v>
          </cell>
          <cell r="H937">
            <v>0</v>
          </cell>
          <cell r="I937">
            <v>0</v>
          </cell>
          <cell r="J937">
            <v>0</v>
          </cell>
          <cell r="K937">
            <v>2653.1327001109648</v>
          </cell>
          <cell r="M937">
            <v>1591.879620066579</v>
          </cell>
          <cell r="N937">
            <v>1</v>
          </cell>
        </row>
        <row r="938">
          <cell r="A938">
            <v>2035</v>
          </cell>
          <cell r="B938" t="str">
            <v>Neodymium</v>
          </cell>
          <cell r="C938" t="str">
            <v>Current Measures</v>
          </cell>
          <cell r="D938" t="str">
            <v>Existing production</v>
          </cell>
          <cell r="E938" t="str">
            <v>Current shares</v>
          </cell>
          <cell r="F938" t="str">
            <v>Status Quo</v>
          </cell>
          <cell r="G938">
            <v>1591.879620066579</v>
          </cell>
          <cell r="H938">
            <v>0</v>
          </cell>
          <cell r="I938">
            <v>0</v>
          </cell>
          <cell r="J938">
            <v>0</v>
          </cell>
          <cell r="K938">
            <v>2653.1327001109648</v>
          </cell>
          <cell r="M938">
            <v>1591.879620066579</v>
          </cell>
          <cell r="N938">
            <v>1</v>
          </cell>
        </row>
        <row r="939">
          <cell r="A939">
            <v>2035</v>
          </cell>
          <cell r="B939" t="str">
            <v>Neodymium</v>
          </cell>
          <cell r="C939" t="str">
            <v>Current Measures</v>
          </cell>
          <cell r="D939" t="str">
            <v>Production potential</v>
          </cell>
          <cell r="E939" t="str">
            <v>Current shares</v>
          </cell>
          <cell r="F939" t="str">
            <v>Expansion Extractive</v>
          </cell>
          <cell r="G939">
            <v>1591.879620066579</v>
          </cell>
          <cell r="H939">
            <v>80.029175596616852</v>
          </cell>
          <cell r="I939">
            <v>47.900975994989473</v>
          </cell>
          <cell r="J939">
            <v>32.128199601627379</v>
          </cell>
          <cell r="K939">
            <v>2573.103524514348</v>
          </cell>
          <cell r="M939">
            <v>1511.8504444699627</v>
          </cell>
          <cell r="N939">
            <v>1</v>
          </cell>
        </row>
        <row r="940">
          <cell r="A940">
            <v>2035</v>
          </cell>
          <cell r="B940" t="str">
            <v>Neodymium</v>
          </cell>
          <cell r="C940" t="str">
            <v>Current Measures</v>
          </cell>
          <cell r="D940" t="str">
            <v>Production potential</v>
          </cell>
          <cell r="E940" t="str">
            <v>Current shares</v>
          </cell>
          <cell r="F940" t="str">
            <v>Expansion Extractive+Circularity</v>
          </cell>
          <cell r="G940">
            <v>1591.879620066579</v>
          </cell>
          <cell r="H940">
            <v>80.029175596616852</v>
          </cell>
          <cell r="I940">
            <v>47.900975994989473</v>
          </cell>
          <cell r="J940">
            <v>32.128199601627379</v>
          </cell>
          <cell r="K940">
            <v>2573.103524514348</v>
          </cell>
          <cell r="M940">
            <v>1511.8504444699627</v>
          </cell>
          <cell r="N940">
            <v>1</v>
          </cell>
        </row>
        <row r="941">
          <cell r="A941">
            <v>2035</v>
          </cell>
          <cell r="B941" t="str">
            <v>Neodymium</v>
          </cell>
          <cell r="C941" t="str">
            <v>Current Measures</v>
          </cell>
          <cell r="D941" t="str">
            <v>Production potential</v>
          </cell>
          <cell r="E941" t="str">
            <v>100% CAN</v>
          </cell>
          <cell r="F941" t="str">
            <v>Integrated</v>
          </cell>
          <cell r="G941">
            <v>1591.879620066579</v>
          </cell>
          <cell r="H941">
            <v>80.029175596616852</v>
          </cell>
          <cell r="I941">
            <v>47.900975994989473</v>
          </cell>
          <cell r="J941">
            <v>32.128199601627379</v>
          </cell>
          <cell r="K941">
            <v>2573.103524514348</v>
          </cell>
          <cell r="M941">
            <v>1511.8504444699627</v>
          </cell>
          <cell r="N941">
            <v>1</v>
          </cell>
        </row>
        <row r="942">
          <cell r="A942">
            <v>2035</v>
          </cell>
          <cell r="B942" t="str">
            <v>Neodymium</v>
          </cell>
          <cell r="C942" t="str">
            <v>Global Net-zero</v>
          </cell>
          <cell r="D942" t="str">
            <v>Existing production</v>
          </cell>
          <cell r="E942" t="str">
            <v>Current shares</v>
          </cell>
          <cell r="F942" t="str">
            <v>NIMBY</v>
          </cell>
          <cell r="G942">
            <v>4759.1210340430353</v>
          </cell>
          <cell r="H942">
            <v>0</v>
          </cell>
          <cell r="I942">
            <v>0</v>
          </cell>
          <cell r="J942">
            <v>0</v>
          </cell>
          <cell r="K942">
            <v>7931.868390071726</v>
          </cell>
          <cell r="M942">
            <v>4759.1210340430353</v>
          </cell>
          <cell r="N942">
            <v>1</v>
          </cell>
        </row>
        <row r="943">
          <cell r="A943">
            <v>2035</v>
          </cell>
          <cell r="B943" t="str">
            <v>Neodymium</v>
          </cell>
          <cell r="C943" t="str">
            <v>Global Net-zero</v>
          </cell>
          <cell r="D943" t="str">
            <v>Existing production</v>
          </cell>
          <cell r="E943" t="str">
            <v>Current shares</v>
          </cell>
          <cell r="F943" t="str">
            <v>Status Quo</v>
          </cell>
          <cell r="G943">
            <v>4759.1210340430353</v>
          </cell>
          <cell r="H943">
            <v>0</v>
          </cell>
          <cell r="I943">
            <v>0</v>
          </cell>
          <cell r="J943">
            <v>0</v>
          </cell>
          <cell r="K943">
            <v>7931.868390071726</v>
          </cell>
          <cell r="M943">
            <v>4759.1210340430353</v>
          </cell>
          <cell r="N943">
            <v>1</v>
          </cell>
        </row>
        <row r="944">
          <cell r="A944">
            <v>2035</v>
          </cell>
          <cell r="B944" t="str">
            <v>Neodymium</v>
          </cell>
          <cell r="C944" t="str">
            <v>Global Net-zero</v>
          </cell>
          <cell r="D944" t="str">
            <v>Production potential</v>
          </cell>
          <cell r="E944" t="str">
            <v>Current shares</v>
          </cell>
          <cell r="F944" t="str">
            <v>Expansion Extractive</v>
          </cell>
          <cell r="G944">
            <v>4759.1210340430353</v>
          </cell>
          <cell r="H944">
            <v>80.029175596616852</v>
          </cell>
          <cell r="I944">
            <v>47.900975994989473</v>
          </cell>
          <cell r="J944">
            <v>32.128199601627379</v>
          </cell>
          <cell r="K944">
            <v>7851.8392144751087</v>
          </cell>
          <cell r="M944">
            <v>4679.091858446418</v>
          </cell>
          <cell r="N944">
            <v>1</v>
          </cell>
        </row>
        <row r="945">
          <cell r="A945">
            <v>2035</v>
          </cell>
          <cell r="B945" t="str">
            <v>Neodymium</v>
          </cell>
          <cell r="C945" t="str">
            <v>Global Net-zero</v>
          </cell>
          <cell r="D945" t="str">
            <v>Production potential</v>
          </cell>
          <cell r="E945" t="str">
            <v>Current shares</v>
          </cell>
          <cell r="F945" t="str">
            <v>Expansion Extractive+Circularity</v>
          </cell>
          <cell r="G945">
            <v>4759.1210340430353</v>
          </cell>
          <cell r="H945">
            <v>80.029175596616852</v>
          </cell>
          <cell r="I945">
            <v>47.900975994989473</v>
          </cell>
          <cell r="J945">
            <v>32.128199601627379</v>
          </cell>
          <cell r="K945">
            <v>7851.8392144751087</v>
          </cell>
          <cell r="M945">
            <v>4679.091858446418</v>
          </cell>
          <cell r="N945">
            <v>1</v>
          </cell>
        </row>
        <row r="946">
          <cell r="A946">
            <v>2035</v>
          </cell>
          <cell r="B946" t="str">
            <v>Neodymium</v>
          </cell>
          <cell r="C946" t="str">
            <v>Global Net-zero</v>
          </cell>
          <cell r="D946" t="str">
            <v>Production potential</v>
          </cell>
          <cell r="E946" t="str">
            <v>100% CAN</v>
          </cell>
          <cell r="F946" t="str">
            <v>Integrated</v>
          </cell>
          <cell r="G946">
            <v>4759.1210340430353</v>
          </cell>
          <cell r="H946">
            <v>80.029175596616852</v>
          </cell>
          <cell r="I946">
            <v>47.900975994989473</v>
          </cell>
          <cell r="J946">
            <v>32.128199601627379</v>
          </cell>
          <cell r="K946">
            <v>7851.8392144751087</v>
          </cell>
          <cell r="M946">
            <v>4679.091858446418</v>
          </cell>
          <cell r="N946">
            <v>1</v>
          </cell>
        </row>
        <row r="947">
          <cell r="A947">
            <v>2035</v>
          </cell>
          <cell r="B947" t="str">
            <v>Nickel</v>
          </cell>
          <cell r="C947" t="str">
            <v>Canada Net-zero</v>
          </cell>
          <cell r="D947" t="str">
            <v>Existing production</v>
          </cell>
          <cell r="E947" t="str">
            <v>Current shares</v>
          </cell>
          <cell r="F947" t="str">
            <v>NIMBY</v>
          </cell>
          <cell r="G947">
            <v>152962.0504872179</v>
          </cell>
          <cell r="H947">
            <v>0</v>
          </cell>
          <cell r="I947">
            <v>0</v>
          </cell>
          <cell r="J947">
            <v>0</v>
          </cell>
          <cell r="K947">
            <v>193622.84871799729</v>
          </cell>
          <cell r="M947">
            <v>152962.0504872179</v>
          </cell>
          <cell r="N947">
            <v>0.69917047091553897</v>
          </cell>
        </row>
        <row r="948">
          <cell r="A948">
            <v>2035</v>
          </cell>
          <cell r="B948" t="str">
            <v>Nickel</v>
          </cell>
          <cell r="C948" t="str">
            <v>Canada Net-zero</v>
          </cell>
          <cell r="D948" t="str">
            <v>Existing production</v>
          </cell>
          <cell r="E948" t="str">
            <v>Current shares</v>
          </cell>
          <cell r="F948" t="str">
            <v>Status Quo</v>
          </cell>
          <cell r="G948">
            <v>152962.0504872179</v>
          </cell>
          <cell r="H948">
            <v>118000</v>
          </cell>
          <cell r="I948">
            <v>66183.845060727675</v>
          </cell>
          <cell r="J948">
            <v>16318.270507305919</v>
          </cell>
          <cell r="K948">
            <v>75622.848717997345</v>
          </cell>
          <cell r="M948">
            <v>70459.934919184307</v>
          </cell>
          <cell r="N948">
            <v>0.69917047091553897</v>
          </cell>
        </row>
        <row r="949">
          <cell r="A949">
            <v>2035</v>
          </cell>
          <cell r="B949" t="str">
            <v>Nickel</v>
          </cell>
          <cell r="C949" t="str">
            <v>Canada Net-zero</v>
          </cell>
          <cell r="D949" t="str">
            <v>Production potential</v>
          </cell>
          <cell r="E949" t="str">
            <v>Current shares</v>
          </cell>
          <cell r="F949" t="str">
            <v>Expansion Extractive</v>
          </cell>
          <cell r="G949">
            <v>152962.0504872179</v>
          </cell>
          <cell r="H949">
            <v>225819.03451618581</v>
          </cell>
          <cell r="I949">
            <v>126657.3897642572</v>
          </cell>
          <cell r="J949">
            <v>31228.610940116792</v>
          </cell>
          <cell r="K949">
            <v>0</v>
          </cell>
          <cell r="M949">
            <v>0</v>
          </cell>
          <cell r="N949">
            <v>0.69917047091553897</v>
          </cell>
        </row>
        <row r="950">
          <cell r="A950">
            <v>2035</v>
          </cell>
          <cell r="B950" t="str">
            <v>Nickel</v>
          </cell>
          <cell r="C950" t="str">
            <v>Canada Net-zero</v>
          </cell>
          <cell r="D950" t="str">
            <v>Production potential</v>
          </cell>
          <cell r="E950" t="str">
            <v>Current shares</v>
          </cell>
          <cell r="F950" t="str">
            <v>Expansion Extractive+Circularity</v>
          </cell>
          <cell r="G950">
            <v>152962.0504872179</v>
          </cell>
          <cell r="H950">
            <v>225819.03451618581</v>
          </cell>
          <cell r="I950">
            <v>126657.3897642572</v>
          </cell>
          <cell r="J950">
            <v>31228.610940116792</v>
          </cell>
          <cell r="K950">
            <v>0</v>
          </cell>
          <cell r="M950">
            <v>0</v>
          </cell>
          <cell r="N950">
            <v>0.69917047091553897</v>
          </cell>
        </row>
        <row r="951">
          <cell r="A951">
            <v>2035</v>
          </cell>
          <cell r="B951" t="str">
            <v>Nickel</v>
          </cell>
          <cell r="C951" t="str">
            <v>Canada Net-zero</v>
          </cell>
          <cell r="D951" t="str">
            <v>Production potential</v>
          </cell>
          <cell r="E951" t="str">
            <v>100% CAN</v>
          </cell>
          <cell r="F951" t="str">
            <v>Integrated</v>
          </cell>
          <cell r="G951">
            <v>152962.0504872179</v>
          </cell>
          <cell r="H951">
            <v>225819.03451618581</v>
          </cell>
          <cell r="I951">
            <v>177844.90901871829</v>
          </cell>
          <cell r="J951">
            <v>-19958.908314344299</v>
          </cell>
          <cell r="K951">
            <v>0</v>
          </cell>
          <cell r="M951">
            <v>19958.908314344299</v>
          </cell>
          <cell r="N951">
            <v>0.69917047091553897</v>
          </cell>
        </row>
        <row r="952">
          <cell r="A952">
            <v>2035</v>
          </cell>
          <cell r="B952" t="str">
            <v>Nickel</v>
          </cell>
          <cell r="C952" t="str">
            <v>Current Measures</v>
          </cell>
          <cell r="D952" t="str">
            <v>Existing production</v>
          </cell>
          <cell r="E952" t="str">
            <v>Current shares</v>
          </cell>
          <cell r="F952" t="str">
            <v>NIMBY</v>
          </cell>
          <cell r="G952">
            <v>61354.521533229788</v>
          </cell>
          <cell r="H952">
            <v>0</v>
          </cell>
          <cell r="I952">
            <v>0</v>
          </cell>
          <cell r="J952">
            <v>0</v>
          </cell>
          <cell r="K952">
            <v>77663.9513078858</v>
          </cell>
          <cell r="M952">
            <v>61354.521533229788</v>
          </cell>
          <cell r="N952">
            <v>0.69917047091553897</v>
          </cell>
        </row>
        <row r="953">
          <cell r="A953">
            <v>2035</v>
          </cell>
          <cell r="B953" t="str">
            <v>Nickel</v>
          </cell>
          <cell r="C953" t="str">
            <v>Current Measures</v>
          </cell>
          <cell r="D953" t="str">
            <v>Existing production</v>
          </cell>
          <cell r="E953" t="str">
            <v>Current shares</v>
          </cell>
          <cell r="F953" t="str">
            <v>Status Quo</v>
          </cell>
          <cell r="G953">
            <v>61354.521533229788</v>
          </cell>
          <cell r="H953">
            <v>118000</v>
          </cell>
          <cell r="I953">
            <v>66183.845060727675</v>
          </cell>
          <cell r="J953">
            <v>16318.270507305919</v>
          </cell>
          <cell r="K953">
            <v>0</v>
          </cell>
          <cell r="M953">
            <v>0</v>
          </cell>
          <cell r="N953">
            <v>0.69917047091553897</v>
          </cell>
        </row>
        <row r="954">
          <cell r="A954">
            <v>2035</v>
          </cell>
          <cell r="B954" t="str">
            <v>Nickel</v>
          </cell>
          <cell r="C954" t="str">
            <v>Current Measures</v>
          </cell>
          <cell r="D954" t="str">
            <v>Production potential</v>
          </cell>
          <cell r="E954" t="str">
            <v>Current shares</v>
          </cell>
          <cell r="F954" t="str">
            <v>Expansion Extractive</v>
          </cell>
          <cell r="G954">
            <v>61354.521533229788</v>
          </cell>
          <cell r="H954">
            <v>225819.03451618581</v>
          </cell>
          <cell r="I954">
            <v>126657.3897642572</v>
          </cell>
          <cell r="J954">
            <v>31228.610940116792</v>
          </cell>
          <cell r="K954">
            <v>0</v>
          </cell>
          <cell r="M954">
            <v>0</v>
          </cell>
          <cell r="N954">
            <v>0.69917047091553897</v>
          </cell>
        </row>
        <row r="955">
          <cell r="A955">
            <v>2035</v>
          </cell>
          <cell r="B955" t="str">
            <v>Nickel</v>
          </cell>
          <cell r="C955" t="str">
            <v>Current Measures</v>
          </cell>
          <cell r="D955" t="str">
            <v>Production potential</v>
          </cell>
          <cell r="E955" t="str">
            <v>Current shares</v>
          </cell>
          <cell r="F955" t="str">
            <v>Expansion Extractive+Circularity</v>
          </cell>
          <cell r="G955">
            <v>61354.521533229788</v>
          </cell>
          <cell r="H955">
            <v>225819.03451618581</v>
          </cell>
          <cell r="I955">
            <v>126657.3897642572</v>
          </cell>
          <cell r="J955">
            <v>31228.610940116792</v>
          </cell>
          <cell r="K955">
            <v>0</v>
          </cell>
          <cell r="M955">
            <v>0</v>
          </cell>
          <cell r="N955">
            <v>0.69917047091553897</v>
          </cell>
        </row>
        <row r="956">
          <cell r="A956">
            <v>2035</v>
          </cell>
          <cell r="B956" t="str">
            <v>Nickel</v>
          </cell>
          <cell r="C956" t="str">
            <v>Current Measures</v>
          </cell>
          <cell r="D956" t="str">
            <v>Production potential</v>
          </cell>
          <cell r="E956" t="str">
            <v>100% CAN</v>
          </cell>
          <cell r="F956" t="str">
            <v>Integrated</v>
          </cell>
          <cell r="G956">
            <v>61354.521533229788</v>
          </cell>
          <cell r="H956">
            <v>225819.03451618581</v>
          </cell>
          <cell r="I956">
            <v>177844.90901871829</v>
          </cell>
          <cell r="J956">
            <v>-19958.908314344299</v>
          </cell>
          <cell r="K956">
            <v>0</v>
          </cell>
          <cell r="M956">
            <v>19958.908314344299</v>
          </cell>
          <cell r="N956">
            <v>0.69917047091553897</v>
          </cell>
        </row>
        <row r="957">
          <cell r="A957">
            <v>2035</v>
          </cell>
          <cell r="B957" t="str">
            <v>Nickel</v>
          </cell>
          <cell r="C957" t="str">
            <v>Global Net-zero</v>
          </cell>
          <cell r="D957" t="str">
            <v>Existing production</v>
          </cell>
          <cell r="E957" t="str">
            <v>Current shares</v>
          </cell>
          <cell r="F957" t="str">
            <v>NIMBY</v>
          </cell>
          <cell r="G957">
            <v>147281.28047052419</v>
          </cell>
          <cell r="H957">
            <v>0</v>
          </cell>
          <cell r="I957">
            <v>0</v>
          </cell>
          <cell r="J957">
            <v>0</v>
          </cell>
          <cell r="K957">
            <v>186432.0005956002</v>
          </cell>
          <cell r="M957">
            <v>147281.28047052419</v>
          </cell>
          <cell r="N957">
            <v>0.69917047091553897</v>
          </cell>
        </row>
        <row r="958">
          <cell r="A958">
            <v>2035</v>
          </cell>
          <cell r="B958" t="str">
            <v>Nickel</v>
          </cell>
          <cell r="C958" t="str">
            <v>Global Net-zero</v>
          </cell>
          <cell r="D958" t="str">
            <v>Existing production</v>
          </cell>
          <cell r="E958" t="str">
            <v>Current shares</v>
          </cell>
          <cell r="F958" t="str">
            <v>Status Quo</v>
          </cell>
          <cell r="G958">
            <v>147281.28047052419</v>
          </cell>
          <cell r="H958">
            <v>118000</v>
          </cell>
          <cell r="I958">
            <v>66183.845060727675</v>
          </cell>
          <cell r="J958">
            <v>16318.270507305919</v>
          </cell>
          <cell r="K958">
            <v>68432.000595600228</v>
          </cell>
          <cell r="M958">
            <v>64779.164902490593</v>
          </cell>
          <cell r="N958">
            <v>0.69917047091553897</v>
          </cell>
        </row>
        <row r="959">
          <cell r="A959">
            <v>2035</v>
          </cell>
          <cell r="B959" t="str">
            <v>Nickel</v>
          </cell>
          <cell r="C959" t="str">
            <v>Global Net-zero</v>
          </cell>
          <cell r="D959" t="str">
            <v>Production potential</v>
          </cell>
          <cell r="E959" t="str">
            <v>Current shares</v>
          </cell>
          <cell r="F959" t="str">
            <v>Expansion Extractive</v>
          </cell>
          <cell r="G959">
            <v>147281.28047052419</v>
          </cell>
          <cell r="H959">
            <v>225819.03451618581</v>
          </cell>
          <cell r="I959">
            <v>126657.3897642572</v>
          </cell>
          <cell r="J959">
            <v>31228.610940116792</v>
          </cell>
          <cell r="K959">
            <v>0</v>
          </cell>
          <cell r="M959">
            <v>0</v>
          </cell>
          <cell r="N959">
            <v>0.69917047091553897</v>
          </cell>
        </row>
        <row r="960">
          <cell r="A960">
            <v>2035</v>
          </cell>
          <cell r="B960" t="str">
            <v>Nickel</v>
          </cell>
          <cell r="C960" t="str">
            <v>Global Net-zero</v>
          </cell>
          <cell r="D960" t="str">
            <v>Production potential</v>
          </cell>
          <cell r="E960" t="str">
            <v>Current shares</v>
          </cell>
          <cell r="F960" t="str">
            <v>Expansion Extractive+Circularity</v>
          </cell>
          <cell r="G960">
            <v>147281.28047052419</v>
          </cell>
          <cell r="H960">
            <v>225819.03451618581</v>
          </cell>
          <cell r="I960">
            <v>126657.3897642572</v>
          </cell>
          <cell r="J960">
            <v>31228.610940116792</v>
          </cell>
          <cell r="K960">
            <v>0</v>
          </cell>
          <cell r="M960">
            <v>0</v>
          </cell>
          <cell r="N960">
            <v>0.69917047091553897</v>
          </cell>
        </row>
        <row r="961">
          <cell r="A961">
            <v>2035</v>
          </cell>
          <cell r="B961" t="str">
            <v>Nickel</v>
          </cell>
          <cell r="C961" t="str">
            <v>Global Net-zero</v>
          </cell>
          <cell r="D961" t="str">
            <v>Production potential</v>
          </cell>
          <cell r="E961" t="str">
            <v>100% CAN</v>
          </cell>
          <cell r="F961" t="str">
            <v>Integrated</v>
          </cell>
          <cell r="G961">
            <v>147281.28047052419</v>
          </cell>
          <cell r="H961">
            <v>225819.03451618581</v>
          </cell>
          <cell r="I961">
            <v>177844.90901871829</v>
          </cell>
          <cell r="J961">
            <v>-19958.908314344299</v>
          </cell>
          <cell r="K961">
            <v>0</v>
          </cell>
          <cell r="M961">
            <v>19958.908314344299</v>
          </cell>
          <cell r="N961">
            <v>0.69917047091553897</v>
          </cell>
        </row>
        <row r="962">
          <cell r="A962">
            <v>2035</v>
          </cell>
          <cell r="B962" t="str">
            <v>Graphite</v>
          </cell>
          <cell r="C962" t="str">
            <v>Canada Net-zero</v>
          </cell>
          <cell r="D962" t="str">
            <v>Existing production</v>
          </cell>
          <cell r="E962" t="str">
            <v>Current shares</v>
          </cell>
          <cell r="F962" t="str">
            <v>NIMBY</v>
          </cell>
          <cell r="G962">
            <v>3066.2923431360991</v>
          </cell>
          <cell r="H962">
            <v>0</v>
          </cell>
          <cell r="I962">
            <v>0</v>
          </cell>
          <cell r="J962">
            <v>0</v>
          </cell>
          <cell r="K962">
            <v>3066.2923431360991</v>
          </cell>
          <cell r="M962">
            <v>3066.2923431360991</v>
          </cell>
          <cell r="N962">
            <v>0.59854391398996798</v>
          </cell>
        </row>
        <row r="963">
          <cell r="A963">
            <v>2035</v>
          </cell>
          <cell r="B963" t="str">
            <v>Graphite</v>
          </cell>
          <cell r="C963" t="str">
            <v>Canada Net-zero</v>
          </cell>
          <cell r="D963" t="str">
            <v>Existing production</v>
          </cell>
          <cell r="E963" t="str">
            <v>Current shares</v>
          </cell>
          <cell r="F963" t="str">
            <v>Status Quo</v>
          </cell>
          <cell r="G963">
            <v>3066.2923431360991</v>
          </cell>
          <cell r="H963">
            <v>0</v>
          </cell>
          <cell r="I963">
            <v>0</v>
          </cell>
          <cell r="J963">
            <v>0</v>
          </cell>
          <cell r="K963">
            <v>3066.2923431360991</v>
          </cell>
          <cell r="M963">
            <v>3066.2923431360991</v>
          </cell>
          <cell r="N963">
            <v>0.59854391398996798</v>
          </cell>
        </row>
        <row r="964">
          <cell r="A964">
            <v>2035</v>
          </cell>
          <cell r="B964" t="str">
            <v>Graphite</v>
          </cell>
          <cell r="C964" t="str">
            <v>Canada Net-zero</v>
          </cell>
          <cell r="D964" t="str">
            <v>Production potential</v>
          </cell>
          <cell r="E964" t="str">
            <v>Current shares</v>
          </cell>
          <cell r="F964" t="str">
            <v>Expansion Extractive</v>
          </cell>
          <cell r="G964">
            <v>3066.2923431360991</v>
          </cell>
          <cell r="H964">
            <v>156348.75450875031</v>
          </cell>
          <cell r="I964">
            <v>51595.088987887611</v>
          </cell>
          <cell r="J964">
            <v>41986.506483236451</v>
          </cell>
          <cell r="K964">
            <v>0</v>
          </cell>
          <cell r="M964">
            <v>0</v>
          </cell>
          <cell r="N964">
            <v>0.59854391398996798</v>
          </cell>
        </row>
        <row r="965">
          <cell r="A965">
            <v>2035</v>
          </cell>
          <cell r="B965" t="str">
            <v>Graphite</v>
          </cell>
          <cell r="C965" t="str">
            <v>Canada Net-zero</v>
          </cell>
          <cell r="D965" t="str">
            <v>Production potential</v>
          </cell>
          <cell r="E965" t="str">
            <v>Current shares</v>
          </cell>
          <cell r="F965" t="str">
            <v>Expansion Extractive+Circularity</v>
          </cell>
          <cell r="G965">
            <v>3066.2923431360991</v>
          </cell>
          <cell r="H965">
            <v>156348.75450875031</v>
          </cell>
          <cell r="I965">
            <v>51595.088987887611</v>
          </cell>
          <cell r="J965">
            <v>41986.506483236451</v>
          </cell>
          <cell r="K965">
            <v>0</v>
          </cell>
          <cell r="M965">
            <v>0</v>
          </cell>
          <cell r="N965">
            <v>0.59854391398996798</v>
          </cell>
        </row>
        <row r="966">
          <cell r="A966">
            <v>2035</v>
          </cell>
          <cell r="B966" t="str">
            <v>Graphite</v>
          </cell>
          <cell r="C966" t="str">
            <v>Canada Net-zero</v>
          </cell>
          <cell r="D966" t="str">
            <v>Production potential</v>
          </cell>
          <cell r="E966" t="str">
            <v>100% CAN</v>
          </cell>
          <cell r="F966" t="str">
            <v>Integrated</v>
          </cell>
          <cell r="G966">
            <v>3066.2923431360991</v>
          </cell>
          <cell r="H966">
            <v>156348.75450875031</v>
          </cell>
          <cell r="I966">
            <v>51595.088987887611</v>
          </cell>
          <cell r="J966">
            <v>41986.506483236451</v>
          </cell>
          <cell r="K966">
            <v>0</v>
          </cell>
          <cell r="M966">
            <v>0</v>
          </cell>
          <cell r="N966">
            <v>0.59854391398996798</v>
          </cell>
        </row>
        <row r="967">
          <cell r="A967">
            <v>2035</v>
          </cell>
          <cell r="B967" t="str">
            <v>Graphite</v>
          </cell>
          <cell r="C967" t="str">
            <v>Current Measures</v>
          </cell>
          <cell r="D967" t="str">
            <v>Existing production</v>
          </cell>
          <cell r="E967" t="str">
            <v>Current shares</v>
          </cell>
          <cell r="F967" t="str">
            <v>NIMBY</v>
          </cell>
          <cell r="G967">
            <v>1155.663795288184</v>
          </cell>
          <cell r="H967">
            <v>0</v>
          </cell>
          <cell r="I967">
            <v>0</v>
          </cell>
          <cell r="J967">
            <v>0</v>
          </cell>
          <cell r="K967">
            <v>1155.663795288184</v>
          </cell>
          <cell r="M967">
            <v>1155.663795288184</v>
          </cell>
          <cell r="N967">
            <v>0.59854391398996798</v>
          </cell>
        </row>
        <row r="968">
          <cell r="A968">
            <v>2035</v>
          </cell>
          <cell r="B968" t="str">
            <v>Graphite</v>
          </cell>
          <cell r="C968" t="str">
            <v>Current Measures</v>
          </cell>
          <cell r="D968" t="str">
            <v>Existing production</v>
          </cell>
          <cell r="E968" t="str">
            <v>Current shares</v>
          </cell>
          <cell r="F968" t="str">
            <v>Status Quo</v>
          </cell>
          <cell r="G968">
            <v>1155.663795288184</v>
          </cell>
          <cell r="H968">
            <v>0</v>
          </cell>
          <cell r="I968">
            <v>0</v>
          </cell>
          <cell r="J968">
            <v>0</v>
          </cell>
          <cell r="K968">
            <v>1155.663795288184</v>
          </cell>
          <cell r="M968">
            <v>1155.663795288184</v>
          </cell>
          <cell r="N968">
            <v>0.59854391398996798</v>
          </cell>
        </row>
        <row r="969">
          <cell r="A969">
            <v>2035</v>
          </cell>
          <cell r="B969" t="str">
            <v>Graphite</v>
          </cell>
          <cell r="C969" t="str">
            <v>Current Measures</v>
          </cell>
          <cell r="D969" t="str">
            <v>Production potential</v>
          </cell>
          <cell r="E969" t="str">
            <v>Current shares</v>
          </cell>
          <cell r="F969" t="str">
            <v>Expansion Extractive</v>
          </cell>
          <cell r="G969">
            <v>1155.663795288184</v>
          </cell>
          <cell r="H969">
            <v>156348.75450875031</v>
          </cell>
          <cell r="I969">
            <v>51595.088987887611</v>
          </cell>
          <cell r="J969">
            <v>41986.506483236451</v>
          </cell>
          <cell r="K969">
            <v>0</v>
          </cell>
          <cell r="M969">
            <v>0</v>
          </cell>
          <cell r="N969">
            <v>0.59854391398996798</v>
          </cell>
        </row>
        <row r="970">
          <cell r="A970">
            <v>2035</v>
          </cell>
          <cell r="B970" t="str">
            <v>Graphite</v>
          </cell>
          <cell r="C970" t="str">
            <v>Current Measures</v>
          </cell>
          <cell r="D970" t="str">
            <v>Production potential</v>
          </cell>
          <cell r="E970" t="str">
            <v>Current shares</v>
          </cell>
          <cell r="F970" t="str">
            <v>Expansion Extractive+Circularity</v>
          </cell>
          <cell r="G970">
            <v>1155.663795288184</v>
          </cell>
          <cell r="H970">
            <v>156348.75450875031</v>
          </cell>
          <cell r="I970">
            <v>51595.088987887611</v>
          </cell>
          <cell r="J970">
            <v>41986.506483236451</v>
          </cell>
          <cell r="K970">
            <v>0</v>
          </cell>
          <cell r="M970">
            <v>0</v>
          </cell>
          <cell r="N970">
            <v>0.59854391398996798</v>
          </cell>
        </row>
        <row r="971">
          <cell r="A971">
            <v>2035</v>
          </cell>
          <cell r="B971" t="str">
            <v>Graphite</v>
          </cell>
          <cell r="C971" t="str">
            <v>Current Measures</v>
          </cell>
          <cell r="D971" t="str">
            <v>Production potential</v>
          </cell>
          <cell r="E971" t="str">
            <v>100% CAN</v>
          </cell>
          <cell r="F971" t="str">
            <v>Integrated</v>
          </cell>
          <cell r="G971">
            <v>1155.663795288184</v>
          </cell>
          <cell r="H971">
            <v>156348.75450875031</v>
          </cell>
          <cell r="I971">
            <v>51595.088987887611</v>
          </cell>
          <cell r="J971">
            <v>41986.506483236451</v>
          </cell>
          <cell r="K971">
            <v>0</v>
          </cell>
          <cell r="M971">
            <v>0</v>
          </cell>
          <cell r="N971">
            <v>0.59854391398996798</v>
          </cell>
        </row>
        <row r="972">
          <cell r="A972">
            <v>2035</v>
          </cell>
          <cell r="B972" t="str">
            <v>Graphite</v>
          </cell>
          <cell r="C972" t="str">
            <v>Global Net-zero</v>
          </cell>
          <cell r="D972" t="str">
            <v>Existing production</v>
          </cell>
          <cell r="E972" t="str">
            <v>Current shares</v>
          </cell>
          <cell r="F972" t="str">
            <v>NIMBY</v>
          </cell>
          <cell r="G972">
            <v>2917.7788379064118</v>
          </cell>
          <cell r="H972">
            <v>0</v>
          </cell>
          <cell r="I972">
            <v>0</v>
          </cell>
          <cell r="J972">
            <v>0</v>
          </cell>
          <cell r="K972">
            <v>2917.7788379064118</v>
          </cell>
          <cell r="M972">
            <v>2917.7788379064118</v>
          </cell>
          <cell r="N972">
            <v>0.59854391398996798</v>
          </cell>
        </row>
        <row r="973">
          <cell r="A973">
            <v>2035</v>
          </cell>
          <cell r="B973" t="str">
            <v>Graphite</v>
          </cell>
          <cell r="C973" t="str">
            <v>Global Net-zero</v>
          </cell>
          <cell r="D973" t="str">
            <v>Existing production</v>
          </cell>
          <cell r="E973" t="str">
            <v>Current shares</v>
          </cell>
          <cell r="F973" t="str">
            <v>Status Quo</v>
          </cell>
          <cell r="G973">
            <v>2917.7788379064118</v>
          </cell>
          <cell r="H973">
            <v>0</v>
          </cell>
          <cell r="I973">
            <v>0</v>
          </cell>
          <cell r="J973">
            <v>0</v>
          </cell>
          <cell r="K973">
            <v>2917.7788379064118</v>
          </cell>
          <cell r="M973">
            <v>2917.7788379064118</v>
          </cell>
          <cell r="N973">
            <v>0.59854391398996798</v>
          </cell>
        </row>
        <row r="974">
          <cell r="A974">
            <v>2035</v>
          </cell>
          <cell r="B974" t="str">
            <v>Graphite</v>
          </cell>
          <cell r="C974" t="str">
            <v>Global Net-zero</v>
          </cell>
          <cell r="D974" t="str">
            <v>Production potential</v>
          </cell>
          <cell r="E974" t="str">
            <v>Current shares</v>
          </cell>
          <cell r="F974" t="str">
            <v>Expansion Extractive</v>
          </cell>
          <cell r="G974">
            <v>2917.7788379064118</v>
          </cell>
          <cell r="H974">
            <v>156348.75450875031</v>
          </cell>
          <cell r="I974">
            <v>51595.088987887611</v>
          </cell>
          <cell r="J974">
            <v>41986.506483236451</v>
          </cell>
          <cell r="K974">
            <v>0</v>
          </cell>
          <cell r="M974">
            <v>0</v>
          </cell>
          <cell r="N974">
            <v>0.59854391398996798</v>
          </cell>
        </row>
        <row r="975">
          <cell r="A975">
            <v>2035</v>
          </cell>
          <cell r="B975" t="str">
            <v>Graphite</v>
          </cell>
          <cell r="C975" t="str">
            <v>Global Net-zero</v>
          </cell>
          <cell r="D975" t="str">
            <v>Production potential</v>
          </cell>
          <cell r="E975" t="str">
            <v>Current shares</v>
          </cell>
          <cell r="F975" t="str">
            <v>Expansion Extractive+Circularity</v>
          </cell>
          <cell r="G975">
            <v>2917.7788379064118</v>
          </cell>
          <cell r="H975">
            <v>156348.75450875031</v>
          </cell>
          <cell r="I975">
            <v>51595.088987887611</v>
          </cell>
          <cell r="J975">
            <v>41986.506483236451</v>
          </cell>
          <cell r="K975">
            <v>0</v>
          </cell>
          <cell r="M975">
            <v>0</v>
          </cell>
          <cell r="N975">
            <v>0.59854391398996798</v>
          </cell>
        </row>
        <row r="976">
          <cell r="A976">
            <v>2035</v>
          </cell>
          <cell r="B976" t="str">
            <v>Graphite</v>
          </cell>
          <cell r="C976" t="str">
            <v>Global Net-zero</v>
          </cell>
          <cell r="D976" t="str">
            <v>Production potential</v>
          </cell>
          <cell r="E976" t="str">
            <v>100% CAN</v>
          </cell>
          <cell r="F976" t="str">
            <v>Integrated</v>
          </cell>
          <cell r="G976">
            <v>2917.7788379064118</v>
          </cell>
          <cell r="H976">
            <v>156348.75450875031</v>
          </cell>
          <cell r="I976">
            <v>51595.088987887611</v>
          </cell>
          <cell r="J976">
            <v>41986.506483236451</v>
          </cell>
          <cell r="K976">
            <v>0</v>
          </cell>
          <cell r="M976">
            <v>0</v>
          </cell>
          <cell r="N976">
            <v>0.59854391398996798</v>
          </cell>
        </row>
        <row r="977">
          <cell r="A977">
            <v>2035</v>
          </cell>
          <cell r="B977" t="str">
            <v>Lithium</v>
          </cell>
          <cell r="C977" t="str">
            <v>Canada Net-zero</v>
          </cell>
          <cell r="D977" t="str">
            <v>Existing production</v>
          </cell>
          <cell r="E977" t="str">
            <v>Current shares</v>
          </cell>
          <cell r="F977" t="str">
            <v>NIMBY</v>
          </cell>
          <cell r="G977">
            <v>62177.458189905767</v>
          </cell>
          <cell r="H977">
            <v>0</v>
          </cell>
          <cell r="I977">
            <v>0</v>
          </cell>
          <cell r="J977">
            <v>0</v>
          </cell>
          <cell r="K977">
            <v>88824.940271293963</v>
          </cell>
          <cell r="M977">
            <v>62177.458189905767</v>
          </cell>
          <cell r="N977">
            <v>0.787554996857322</v>
          </cell>
        </row>
        <row r="978">
          <cell r="A978">
            <v>2035</v>
          </cell>
          <cell r="B978" t="str">
            <v>Lithium</v>
          </cell>
          <cell r="C978" t="str">
            <v>Canada Net-zero</v>
          </cell>
          <cell r="D978" t="str">
            <v>Existing production</v>
          </cell>
          <cell r="E978" t="str">
            <v>Current shares</v>
          </cell>
          <cell r="F978" t="str">
            <v>Status Quo</v>
          </cell>
          <cell r="G978">
            <v>62177.458189905767</v>
          </cell>
          <cell r="H978">
            <v>40453</v>
          </cell>
          <cell r="I978">
            <v>28283.5430599463</v>
          </cell>
          <cell r="J978">
            <v>3575.4192279229464</v>
          </cell>
          <cell r="K978">
            <v>48371.940271293963</v>
          </cell>
          <cell r="M978">
            <v>30318.49590203652</v>
          </cell>
          <cell r="N978">
            <v>0.787554996857322</v>
          </cell>
        </row>
        <row r="979">
          <cell r="A979">
            <v>2035</v>
          </cell>
          <cell r="B979" t="str">
            <v>Lithium</v>
          </cell>
          <cell r="C979" t="str">
            <v>Canada Net-zero</v>
          </cell>
          <cell r="D979" t="str">
            <v>Production potential</v>
          </cell>
          <cell r="E979" t="str">
            <v>Current shares</v>
          </cell>
          <cell r="F979" t="str">
            <v>Expansion Extractive</v>
          </cell>
          <cell r="G979">
            <v>62177.458189905767</v>
          </cell>
          <cell r="H979">
            <v>146121.35070949371</v>
          </cell>
          <cell r="I979">
            <v>102163.73358637129</v>
          </cell>
          <cell r="J979">
            <v>12914.866312431666</v>
          </cell>
          <cell r="K979">
            <v>0</v>
          </cell>
          <cell r="M979">
            <v>0</v>
          </cell>
          <cell r="N979">
            <v>0.787554996857322</v>
          </cell>
        </row>
        <row r="980">
          <cell r="A980">
            <v>2035</v>
          </cell>
          <cell r="B980" t="str">
            <v>Lithium</v>
          </cell>
          <cell r="C980" t="str">
            <v>Canada Net-zero</v>
          </cell>
          <cell r="D980" t="str">
            <v>Production potential</v>
          </cell>
          <cell r="E980" t="str">
            <v>Current shares</v>
          </cell>
          <cell r="F980" t="str">
            <v>Expansion Extractive+Circularity</v>
          </cell>
          <cell r="G980">
            <v>62177.458189905767</v>
          </cell>
          <cell r="H980">
            <v>146121.35070949371</v>
          </cell>
          <cell r="I980">
            <v>102163.73358637129</v>
          </cell>
          <cell r="J980">
            <v>12914.866312431666</v>
          </cell>
          <cell r="K980">
            <v>0</v>
          </cell>
          <cell r="M980">
            <v>0</v>
          </cell>
          <cell r="N980">
            <v>0.787554996857322</v>
          </cell>
        </row>
        <row r="981">
          <cell r="A981">
            <v>2035</v>
          </cell>
          <cell r="B981" t="str">
            <v>Lithium</v>
          </cell>
          <cell r="C981" t="str">
            <v>Canada Net-zero</v>
          </cell>
          <cell r="D981" t="str">
            <v>Production potential</v>
          </cell>
          <cell r="E981" t="str">
            <v>100% CAN</v>
          </cell>
          <cell r="F981" t="str">
            <v>Integrated</v>
          </cell>
          <cell r="G981">
            <v>62177.458189905767</v>
          </cell>
          <cell r="H981">
            <v>146121.35070949371</v>
          </cell>
          <cell r="I981">
            <v>102163.73358637129</v>
          </cell>
          <cell r="J981">
            <v>12914.866312431666</v>
          </cell>
          <cell r="K981">
            <v>0</v>
          </cell>
          <cell r="M981">
            <v>0</v>
          </cell>
          <cell r="N981">
            <v>0.787554996857322</v>
          </cell>
        </row>
        <row r="982">
          <cell r="A982">
            <v>2035</v>
          </cell>
          <cell r="B982" t="str">
            <v>Lithium</v>
          </cell>
          <cell r="C982" t="str">
            <v>Current Measures</v>
          </cell>
          <cell r="D982" t="str">
            <v>Existing production</v>
          </cell>
          <cell r="E982" t="str">
            <v>Current shares</v>
          </cell>
          <cell r="F982" t="str">
            <v>NIMBY</v>
          </cell>
          <cell r="G982">
            <v>23434.242163494011</v>
          </cell>
          <cell r="H982">
            <v>0</v>
          </cell>
          <cell r="I982">
            <v>0</v>
          </cell>
          <cell r="J982">
            <v>0</v>
          </cell>
          <cell r="K982">
            <v>33477.488804991437</v>
          </cell>
          <cell r="M982">
            <v>23434.242163494011</v>
          </cell>
          <cell r="N982">
            <v>0.787554996857322</v>
          </cell>
        </row>
        <row r="983">
          <cell r="A983">
            <v>2035</v>
          </cell>
          <cell r="B983" t="str">
            <v>Lithium</v>
          </cell>
          <cell r="C983" t="str">
            <v>Current Measures</v>
          </cell>
          <cell r="D983" t="str">
            <v>Existing production</v>
          </cell>
          <cell r="E983" t="str">
            <v>Current shares</v>
          </cell>
          <cell r="F983" t="str">
            <v>Status Quo</v>
          </cell>
          <cell r="G983">
            <v>23434.242163494011</v>
          </cell>
          <cell r="H983">
            <v>40453</v>
          </cell>
          <cell r="I983">
            <v>28283.5430599463</v>
          </cell>
          <cell r="J983">
            <v>3575.4192279229464</v>
          </cell>
          <cell r="K983">
            <v>0</v>
          </cell>
          <cell r="M983">
            <v>0</v>
          </cell>
          <cell r="N983">
            <v>0.787554996857322</v>
          </cell>
        </row>
        <row r="984">
          <cell r="A984">
            <v>2035</v>
          </cell>
          <cell r="B984" t="str">
            <v>Lithium</v>
          </cell>
          <cell r="C984" t="str">
            <v>Current Measures</v>
          </cell>
          <cell r="D984" t="str">
            <v>Production potential</v>
          </cell>
          <cell r="E984" t="str">
            <v>Current shares</v>
          </cell>
          <cell r="F984" t="str">
            <v>Expansion Extractive</v>
          </cell>
          <cell r="G984">
            <v>23434.242163494011</v>
          </cell>
          <cell r="H984">
            <v>146121.35070949371</v>
          </cell>
          <cell r="I984">
            <v>102163.73358637129</v>
          </cell>
          <cell r="J984">
            <v>12914.866312431666</v>
          </cell>
          <cell r="K984">
            <v>0</v>
          </cell>
          <cell r="M984">
            <v>0</v>
          </cell>
          <cell r="N984">
            <v>0.787554996857322</v>
          </cell>
        </row>
        <row r="985">
          <cell r="A985">
            <v>2035</v>
          </cell>
          <cell r="B985" t="str">
            <v>Lithium</v>
          </cell>
          <cell r="C985" t="str">
            <v>Current Measures</v>
          </cell>
          <cell r="D985" t="str">
            <v>Production potential</v>
          </cell>
          <cell r="E985" t="str">
            <v>Current shares</v>
          </cell>
          <cell r="F985" t="str">
            <v>Expansion Extractive+Circularity</v>
          </cell>
          <cell r="G985">
            <v>23434.242163494011</v>
          </cell>
          <cell r="H985">
            <v>146121.35070949371</v>
          </cell>
          <cell r="I985">
            <v>102163.73358637129</v>
          </cell>
          <cell r="J985">
            <v>12914.866312431666</v>
          </cell>
          <cell r="K985">
            <v>0</v>
          </cell>
          <cell r="M985">
            <v>0</v>
          </cell>
          <cell r="N985">
            <v>0.787554996857322</v>
          </cell>
        </row>
        <row r="986">
          <cell r="A986">
            <v>2035</v>
          </cell>
          <cell r="B986" t="str">
            <v>Lithium</v>
          </cell>
          <cell r="C986" t="str">
            <v>Current Measures</v>
          </cell>
          <cell r="D986" t="str">
            <v>Production potential</v>
          </cell>
          <cell r="E986" t="str">
            <v>100% CAN</v>
          </cell>
          <cell r="F986" t="str">
            <v>Integrated</v>
          </cell>
          <cell r="G986">
            <v>23434.242163494011</v>
          </cell>
          <cell r="H986">
            <v>146121.35070949371</v>
          </cell>
          <cell r="I986">
            <v>102163.73358637129</v>
          </cell>
          <cell r="J986">
            <v>12914.866312431666</v>
          </cell>
          <cell r="K986">
            <v>0</v>
          </cell>
          <cell r="M986">
            <v>0</v>
          </cell>
          <cell r="N986">
            <v>0.787554996857322</v>
          </cell>
        </row>
        <row r="987">
          <cell r="A987">
            <v>2035</v>
          </cell>
          <cell r="B987" t="str">
            <v>Lithium</v>
          </cell>
          <cell r="C987" t="str">
            <v>Global Net-zero</v>
          </cell>
          <cell r="D987" t="str">
            <v>Existing production</v>
          </cell>
          <cell r="E987" t="str">
            <v>Current shares</v>
          </cell>
          <cell r="F987" t="str">
            <v>NIMBY</v>
          </cell>
          <cell r="G987">
            <v>59165.940947355157</v>
          </cell>
          <cell r="H987">
            <v>0</v>
          </cell>
          <cell r="I987">
            <v>0</v>
          </cell>
          <cell r="J987">
            <v>0</v>
          </cell>
          <cell r="K987">
            <v>84522.772781935942</v>
          </cell>
          <cell r="M987">
            <v>59165.940947355157</v>
          </cell>
          <cell r="N987">
            <v>0.787554996857322</v>
          </cell>
        </row>
        <row r="988">
          <cell r="A988">
            <v>2035</v>
          </cell>
          <cell r="B988" t="str">
            <v>Lithium</v>
          </cell>
          <cell r="C988" t="str">
            <v>Global Net-zero</v>
          </cell>
          <cell r="D988" t="str">
            <v>Existing production</v>
          </cell>
          <cell r="E988" t="str">
            <v>Current shares</v>
          </cell>
          <cell r="F988" t="str">
            <v>Status Quo</v>
          </cell>
          <cell r="G988">
            <v>59165.940947355157</v>
          </cell>
          <cell r="H988">
            <v>40453</v>
          </cell>
          <cell r="I988">
            <v>28283.5430599463</v>
          </cell>
          <cell r="J988">
            <v>3575.4192279229464</v>
          </cell>
          <cell r="K988">
            <v>44069.772781935942</v>
          </cell>
          <cell r="M988">
            <v>27306.978659485914</v>
          </cell>
          <cell r="N988">
            <v>0.787554996857322</v>
          </cell>
        </row>
        <row r="989">
          <cell r="A989">
            <v>2035</v>
          </cell>
          <cell r="B989" t="str">
            <v>Lithium</v>
          </cell>
          <cell r="C989" t="str">
            <v>Global Net-zero</v>
          </cell>
          <cell r="D989" t="str">
            <v>Production potential</v>
          </cell>
          <cell r="E989" t="str">
            <v>Current shares</v>
          </cell>
          <cell r="F989" t="str">
            <v>Expansion Extractive</v>
          </cell>
          <cell r="G989">
            <v>59165.940947355157</v>
          </cell>
          <cell r="H989">
            <v>146121.35070949371</v>
          </cell>
          <cell r="I989">
            <v>102163.73358637129</v>
          </cell>
          <cell r="J989">
            <v>12914.866312431666</v>
          </cell>
          <cell r="K989">
            <v>0</v>
          </cell>
          <cell r="M989">
            <v>0</v>
          </cell>
          <cell r="N989">
            <v>0.787554996857322</v>
          </cell>
        </row>
        <row r="990">
          <cell r="A990">
            <v>2035</v>
          </cell>
          <cell r="B990" t="str">
            <v>Lithium</v>
          </cell>
          <cell r="C990" t="str">
            <v>Global Net-zero</v>
          </cell>
          <cell r="D990" t="str">
            <v>Production potential</v>
          </cell>
          <cell r="E990" t="str">
            <v>Current shares</v>
          </cell>
          <cell r="F990" t="str">
            <v>Expansion Extractive+Circularity</v>
          </cell>
          <cell r="G990">
            <v>59165.940947355157</v>
          </cell>
          <cell r="H990">
            <v>146121.35070949371</v>
          </cell>
          <cell r="I990">
            <v>102163.73358637129</v>
          </cell>
          <cell r="J990">
            <v>12914.866312431666</v>
          </cell>
          <cell r="K990">
            <v>0</v>
          </cell>
          <cell r="M990">
            <v>0</v>
          </cell>
          <cell r="N990">
            <v>0.787554996857322</v>
          </cell>
        </row>
        <row r="991">
          <cell r="A991">
            <v>2035</v>
          </cell>
          <cell r="B991" t="str">
            <v>Lithium</v>
          </cell>
          <cell r="C991" t="str">
            <v>Global Net-zero</v>
          </cell>
          <cell r="D991" t="str">
            <v>Production potential</v>
          </cell>
          <cell r="E991" t="str">
            <v>100% CAN</v>
          </cell>
          <cell r="F991" t="str">
            <v>Integrated</v>
          </cell>
          <cell r="G991">
            <v>59165.940947355157</v>
          </cell>
          <cell r="H991">
            <v>146121.35070949371</v>
          </cell>
          <cell r="I991">
            <v>102163.73358637129</v>
          </cell>
          <cell r="J991">
            <v>12914.866312431666</v>
          </cell>
          <cell r="K991">
            <v>0</v>
          </cell>
          <cell r="M991">
            <v>0</v>
          </cell>
          <cell r="N991">
            <v>0.787554996857322</v>
          </cell>
        </row>
        <row r="992">
          <cell r="A992">
            <v>2036</v>
          </cell>
          <cell r="B992" t="str">
            <v>Cobalt</v>
          </cell>
          <cell r="C992" t="str">
            <v>Canada Net-zero</v>
          </cell>
          <cell r="D992" t="str">
            <v>Existing production</v>
          </cell>
          <cell r="E992" t="str">
            <v>Current shares</v>
          </cell>
          <cell r="F992" t="str">
            <v>NIMBY</v>
          </cell>
          <cell r="G992">
            <v>173899.7327411345</v>
          </cell>
          <cell r="H992">
            <v>0</v>
          </cell>
          <cell r="I992">
            <v>0</v>
          </cell>
          <cell r="J992">
            <v>0</v>
          </cell>
          <cell r="K992">
            <v>395226.66532076022</v>
          </cell>
          <cell r="M992">
            <v>173899.7327411345</v>
          </cell>
          <cell r="N992">
            <v>0.439346565686978</v>
          </cell>
        </row>
        <row r="993">
          <cell r="A993">
            <v>2036</v>
          </cell>
          <cell r="B993" t="str">
            <v>Cobalt</v>
          </cell>
          <cell r="C993" t="str">
            <v>Canada Net-zero</v>
          </cell>
          <cell r="D993" t="str">
            <v>Existing production</v>
          </cell>
          <cell r="E993" t="str">
            <v>Current shares</v>
          </cell>
          <cell r="F993" t="str">
            <v>Status Quo</v>
          </cell>
          <cell r="G993">
            <v>173899.7327411345</v>
          </cell>
          <cell r="H993">
            <v>2837</v>
          </cell>
          <cell r="I993">
            <v>1203.4038470959081</v>
          </cell>
          <cell r="J993">
            <v>43.022359758048424</v>
          </cell>
          <cell r="K993">
            <v>392389.66532076022</v>
          </cell>
          <cell r="M993">
            <v>172653.30653428053</v>
          </cell>
          <cell r="N993">
            <v>0.439346565686978</v>
          </cell>
        </row>
        <row r="994">
          <cell r="A994">
            <v>2036</v>
          </cell>
          <cell r="B994" t="str">
            <v>Cobalt</v>
          </cell>
          <cell r="C994" t="str">
            <v>Canada Net-zero</v>
          </cell>
          <cell r="D994" t="str">
            <v>Production potential</v>
          </cell>
          <cell r="E994" t="str">
            <v>Current shares</v>
          </cell>
          <cell r="F994" t="str">
            <v>Expansion Extractive</v>
          </cell>
          <cell r="G994">
            <v>173899.7327411345</v>
          </cell>
          <cell r="H994">
            <v>17802.59181720679</v>
          </cell>
          <cell r="I994">
            <v>7551.5359468116967</v>
          </cell>
          <cell r="J994">
            <v>269.97162840520377</v>
          </cell>
          <cell r="K994">
            <v>377424.0735035534</v>
          </cell>
          <cell r="M994">
            <v>166078.2251659176</v>
          </cell>
          <cell r="N994">
            <v>0.439346565686978</v>
          </cell>
        </row>
        <row r="995">
          <cell r="A995">
            <v>2036</v>
          </cell>
          <cell r="B995" t="str">
            <v>Cobalt</v>
          </cell>
          <cell r="C995" t="str">
            <v>Canada Net-zero</v>
          </cell>
          <cell r="D995" t="str">
            <v>Production potential</v>
          </cell>
          <cell r="E995" t="str">
            <v>Current shares</v>
          </cell>
          <cell r="F995" t="str">
            <v>Expansion Extractive+Circularity</v>
          </cell>
          <cell r="G995">
            <v>173899.7327411345</v>
          </cell>
          <cell r="H995">
            <v>17802.59181720679</v>
          </cell>
          <cell r="I995">
            <v>7551.5359468116967</v>
          </cell>
          <cell r="J995">
            <v>269.97162840520377</v>
          </cell>
          <cell r="K995">
            <v>377424.0735035534</v>
          </cell>
          <cell r="M995">
            <v>166078.2251659176</v>
          </cell>
          <cell r="N995">
            <v>0.439346565686978</v>
          </cell>
        </row>
        <row r="996">
          <cell r="A996">
            <v>2036</v>
          </cell>
          <cell r="B996" t="str">
            <v>Cobalt</v>
          </cell>
          <cell r="C996" t="str">
            <v>Canada Net-zero</v>
          </cell>
          <cell r="D996" t="str">
            <v>Production potential</v>
          </cell>
          <cell r="E996" t="str">
            <v>100% CAN</v>
          </cell>
          <cell r="F996" t="str">
            <v>Integrated</v>
          </cell>
          <cell r="G996">
            <v>173899.7327411345</v>
          </cell>
          <cell r="H996">
            <v>17802.59181720679</v>
          </cell>
          <cell r="I996">
            <v>7821.5075752169087</v>
          </cell>
          <cell r="J996">
            <v>-8.1854523159563541E-12</v>
          </cell>
          <cell r="K996">
            <v>377424.0735035534</v>
          </cell>
          <cell r="M996">
            <v>166078.2251659176</v>
          </cell>
          <cell r="N996">
            <v>0.439346565686978</v>
          </cell>
        </row>
        <row r="997">
          <cell r="A997">
            <v>2036</v>
          </cell>
          <cell r="B997" t="str">
            <v>Cobalt</v>
          </cell>
          <cell r="C997" t="str">
            <v>Current Measures</v>
          </cell>
          <cell r="D997" t="str">
            <v>Existing production</v>
          </cell>
          <cell r="E997" t="str">
            <v>Current shares</v>
          </cell>
          <cell r="F997" t="str">
            <v>NIMBY</v>
          </cell>
          <cell r="G997">
            <v>65955.730277636801</v>
          </cell>
          <cell r="H997">
            <v>0</v>
          </cell>
          <cell r="I997">
            <v>0</v>
          </cell>
          <cell r="J997">
            <v>0</v>
          </cell>
          <cell r="K997">
            <v>149899.38699462911</v>
          </cell>
          <cell r="M997">
            <v>65955.730277636801</v>
          </cell>
          <cell r="N997">
            <v>0.439346565686978</v>
          </cell>
        </row>
        <row r="998">
          <cell r="A998">
            <v>2036</v>
          </cell>
          <cell r="B998" t="str">
            <v>Cobalt</v>
          </cell>
          <cell r="C998" t="str">
            <v>Current Measures</v>
          </cell>
          <cell r="D998" t="str">
            <v>Existing production</v>
          </cell>
          <cell r="E998" t="str">
            <v>Current shares</v>
          </cell>
          <cell r="F998" t="str">
            <v>Status Quo</v>
          </cell>
          <cell r="G998">
            <v>65955.730277636801</v>
          </cell>
          <cell r="H998">
            <v>2837</v>
          </cell>
          <cell r="I998">
            <v>1203.4038470959081</v>
          </cell>
          <cell r="J998">
            <v>43.022359758048424</v>
          </cell>
          <cell r="K998">
            <v>147062.38699462911</v>
          </cell>
          <cell r="M998">
            <v>64709.304070782855</v>
          </cell>
          <cell r="N998">
            <v>0.439346565686978</v>
          </cell>
        </row>
        <row r="999">
          <cell r="A999">
            <v>2036</v>
          </cell>
          <cell r="B999" t="str">
            <v>Cobalt</v>
          </cell>
          <cell r="C999" t="str">
            <v>Current Measures</v>
          </cell>
          <cell r="D999" t="str">
            <v>Production potential</v>
          </cell>
          <cell r="E999" t="str">
            <v>Current shares</v>
          </cell>
          <cell r="F999" t="str">
            <v>Expansion Extractive</v>
          </cell>
          <cell r="G999">
            <v>65955.730277636801</v>
          </cell>
          <cell r="H999">
            <v>17802.59181720679</v>
          </cell>
          <cell r="I999">
            <v>7551.5359468116967</v>
          </cell>
          <cell r="J999">
            <v>269.97162840520377</v>
          </cell>
          <cell r="K999">
            <v>132096.79517742229</v>
          </cell>
          <cell r="M999">
            <v>58134.222702419902</v>
          </cell>
          <cell r="N999">
            <v>0.439346565686978</v>
          </cell>
        </row>
        <row r="1000">
          <cell r="A1000">
            <v>2036</v>
          </cell>
          <cell r="B1000" t="str">
            <v>Cobalt</v>
          </cell>
          <cell r="C1000" t="str">
            <v>Current Measures</v>
          </cell>
          <cell r="D1000" t="str">
            <v>Production potential</v>
          </cell>
          <cell r="E1000" t="str">
            <v>Current shares</v>
          </cell>
          <cell r="F1000" t="str">
            <v>Expansion Extractive+Circularity</v>
          </cell>
          <cell r="G1000">
            <v>65955.730277636801</v>
          </cell>
          <cell r="H1000">
            <v>17802.59181720679</v>
          </cell>
          <cell r="I1000">
            <v>7551.5359468116967</v>
          </cell>
          <cell r="J1000">
            <v>269.97162840520377</v>
          </cell>
          <cell r="K1000">
            <v>132096.79517742229</v>
          </cell>
          <cell r="M1000">
            <v>58134.222702419902</v>
          </cell>
          <cell r="N1000">
            <v>0.439346565686978</v>
          </cell>
        </row>
        <row r="1001">
          <cell r="A1001">
            <v>2036</v>
          </cell>
          <cell r="B1001" t="str">
            <v>Cobalt</v>
          </cell>
          <cell r="C1001" t="str">
            <v>Current Measures</v>
          </cell>
          <cell r="D1001" t="str">
            <v>Production potential</v>
          </cell>
          <cell r="E1001" t="str">
            <v>100% CAN</v>
          </cell>
          <cell r="F1001" t="str">
            <v>Integrated</v>
          </cell>
          <cell r="G1001">
            <v>65955.730277636801</v>
          </cell>
          <cell r="H1001">
            <v>17802.59181720679</v>
          </cell>
          <cell r="I1001">
            <v>7821.5075752169087</v>
          </cell>
          <cell r="J1001">
            <v>-8.1854523159563541E-12</v>
          </cell>
          <cell r="K1001">
            <v>132096.79517742229</v>
          </cell>
          <cell r="M1001">
            <v>58134.222702419895</v>
          </cell>
          <cell r="N1001">
            <v>0.439346565686978</v>
          </cell>
        </row>
        <row r="1002">
          <cell r="A1002">
            <v>2036</v>
          </cell>
          <cell r="B1002" t="str">
            <v>Cobalt</v>
          </cell>
          <cell r="C1002" t="str">
            <v>Global Net-zero</v>
          </cell>
          <cell r="D1002" t="str">
            <v>Existing production</v>
          </cell>
          <cell r="E1002" t="str">
            <v>Current shares</v>
          </cell>
          <cell r="F1002" t="str">
            <v>NIMBY</v>
          </cell>
          <cell r="G1002">
            <v>165496.51829818229</v>
          </cell>
          <cell r="H1002">
            <v>0</v>
          </cell>
          <cell r="I1002">
            <v>0</v>
          </cell>
          <cell r="J1002">
            <v>0</v>
          </cell>
          <cell r="K1002">
            <v>376128.45067768701</v>
          </cell>
          <cell r="M1002">
            <v>165496.51829818229</v>
          </cell>
          <cell r="N1002">
            <v>0.439346565686978</v>
          </cell>
        </row>
        <row r="1003">
          <cell r="A1003">
            <v>2036</v>
          </cell>
          <cell r="B1003" t="str">
            <v>Cobalt</v>
          </cell>
          <cell r="C1003" t="str">
            <v>Global Net-zero</v>
          </cell>
          <cell r="D1003" t="str">
            <v>Existing production</v>
          </cell>
          <cell r="E1003" t="str">
            <v>Current shares</v>
          </cell>
          <cell r="F1003" t="str">
            <v>Status Quo</v>
          </cell>
          <cell r="G1003">
            <v>165496.51829818229</v>
          </cell>
          <cell r="H1003">
            <v>2837</v>
          </cell>
          <cell r="I1003">
            <v>1203.4038470959081</v>
          </cell>
          <cell r="J1003">
            <v>43.022359758048424</v>
          </cell>
          <cell r="K1003">
            <v>373291.45067768701</v>
          </cell>
          <cell r="M1003">
            <v>164250.09209132835</v>
          </cell>
          <cell r="N1003">
            <v>0.439346565686978</v>
          </cell>
        </row>
        <row r="1004">
          <cell r="A1004">
            <v>2036</v>
          </cell>
          <cell r="B1004" t="str">
            <v>Cobalt</v>
          </cell>
          <cell r="C1004" t="str">
            <v>Global Net-zero</v>
          </cell>
          <cell r="D1004" t="str">
            <v>Production potential</v>
          </cell>
          <cell r="E1004" t="str">
            <v>Current shares</v>
          </cell>
          <cell r="F1004" t="str">
            <v>Expansion Extractive</v>
          </cell>
          <cell r="G1004">
            <v>165496.51829818229</v>
          </cell>
          <cell r="H1004">
            <v>17802.59181720679</v>
          </cell>
          <cell r="I1004">
            <v>7551.5359468116967</v>
          </cell>
          <cell r="J1004">
            <v>269.97162840520377</v>
          </cell>
          <cell r="K1004">
            <v>358325.85886048019</v>
          </cell>
          <cell r="M1004">
            <v>157675.01072296538</v>
          </cell>
          <cell r="N1004">
            <v>0.439346565686978</v>
          </cell>
        </row>
        <row r="1005">
          <cell r="A1005">
            <v>2036</v>
          </cell>
          <cell r="B1005" t="str">
            <v>Cobalt</v>
          </cell>
          <cell r="C1005" t="str">
            <v>Global Net-zero</v>
          </cell>
          <cell r="D1005" t="str">
            <v>Production potential</v>
          </cell>
          <cell r="E1005" t="str">
            <v>Current shares</v>
          </cell>
          <cell r="F1005" t="str">
            <v>Expansion Extractive+Circularity</v>
          </cell>
          <cell r="G1005">
            <v>165496.51829818229</v>
          </cell>
          <cell r="H1005">
            <v>17802.59181720679</v>
          </cell>
          <cell r="I1005">
            <v>7551.5359468116967</v>
          </cell>
          <cell r="J1005">
            <v>269.97162840520377</v>
          </cell>
          <cell r="K1005">
            <v>358325.85886048019</v>
          </cell>
          <cell r="M1005">
            <v>157675.01072296538</v>
          </cell>
          <cell r="N1005">
            <v>0.439346565686978</v>
          </cell>
        </row>
        <row r="1006">
          <cell r="A1006">
            <v>2036</v>
          </cell>
          <cell r="B1006" t="str">
            <v>Cobalt</v>
          </cell>
          <cell r="C1006" t="str">
            <v>Global Net-zero</v>
          </cell>
          <cell r="D1006" t="str">
            <v>Production potential</v>
          </cell>
          <cell r="E1006" t="str">
            <v>100% CAN</v>
          </cell>
          <cell r="F1006" t="str">
            <v>Integrated</v>
          </cell>
          <cell r="G1006">
            <v>165496.51829818229</v>
          </cell>
          <cell r="H1006">
            <v>17802.59181720679</v>
          </cell>
          <cell r="I1006">
            <v>7821.5075752169087</v>
          </cell>
          <cell r="J1006">
            <v>-8.1854523159563541E-12</v>
          </cell>
          <cell r="K1006">
            <v>358325.85886048019</v>
          </cell>
          <cell r="M1006">
            <v>157675.01072296541</v>
          </cell>
          <cell r="N1006">
            <v>0.439346565686978</v>
          </cell>
        </row>
        <row r="1007">
          <cell r="A1007">
            <v>2036</v>
          </cell>
          <cell r="B1007" t="str">
            <v>Copper</v>
          </cell>
          <cell r="C1007" t="str">
            <v>Canada Net-zero</v>
          </cell>
          <cell r="D1007" t="str">
            <v>Existing production</v>
          </cell>
          <cell r="E1007" t="str">
            <v>Current shares</v>
          </cell>
          <cell r="F1007" t="str">
            <v>NIMBY</v>
          </cell>
          <cell r="G1007">
            <v>1427841.619496794</v>
          </cell>
          <cell r="H1007">
            <v>0</v>
          </cell>
          <cell r="I1007">
            <v>0</v>
          </cell>
          <cell r="J1007">
            <v>0</v>
          </cell>
          <cell r="K1007">
            <v>1720291.107827463</v>
          </cell>
          <cell r="M1007">
            <v>1427841.619496794</v>
          </cell>
          <cell r="N1007">
            <v>0.83474576271186396</v>
          </cell>
        </row>
        <row r="1008">
          <cell r="A1008">
            <v>2036</v>
          </cell>
          <cell r="B1008" t="str">
            <v>Copper</v>
          </cell>
          <cell r="C1008" t="str">
            <v>Canada Net-zero</v>
          </cell>
          <cell r="D1008" t="str">
            <v>Existing production</v>
          </cell>
          <cell r="E1008" t="str">
            <v>Current shares</v>
          </cell>
          <cell r="F1008" t="str">
            <v>Status Quo</v>
          </cell>
          <cell r="G1008">
            <v>1427841.619496794</v>
          </cell>
          <cell r="H1008">
            <v>260859</v>
          </cell>
          <cell r="I1008">
            <v>137109.7566079231</v>
          </cell>
          <cell r="J1008">
            <v>80641.188307331031</v>
          </cell>
          <cell r="K1008">
            <v>1459432.107827463</v>
          </cell>
          <cell r="M1008">
            <v>1210090.67458154</v>
          </cell>
          <cell r="N1008">
            <v>0.83474576271186396</v>
          </cell>
        </row>
        <row r="1009">
          <cell r="A1009">
            <v>2036</v>
          </cell>
          <cell r="B1009" t="str">
            <v>Copper</v>
          </cell>
          <cell r="C1009" t="str">
            <v>Canada Net-zero</v>
          </cell>
          <cell r="D1009" t="str">
            <v>Production potential</v>
          </cell>
          <cell r="E1009" t="str">
            <v>Current shares</v>
          </cell>
          <cell r="F1009" t="str">
            <v>Expansion Extractive</v>
          </cell>
          <cell r="G1009">
            <v>1427841.619496794</v>
          </cell>
          <cell r="H1009">
            <v>925742.0247192611</v>
          </cell>
          <cell r="I1009">
            <v>486578.05055981921</v>
          </cell>
          <cell r="J1009">
            <v>286181.18193888559</v>
          </cell>
          <cell r="K1009">
            <v>794549.08310820162</v>
          </cell>
          <cell r="M1009">
            <v>655082.38699808915</v>
          </cell>
          <cell r="N1009">
            <v>0.83474576271186396</v>
          </cell>
        </row>
        <row r="1010">
          <cell r="A1010">
            <v>2036</v>
          </cell>
          <cell r="B1010" t="str">
            <v>Copper</v>
          </cell>
          <cell r="C1010" t="str">
            <v>Canada Net-zero</v>
          </cell>
          <cell r="D1010" t="str">
            <v>Production potential</v>
          </cell>
          <cell r="E1010" t="str">
            <v>Current shares</v>
          </cell>
          <cell r="F1010" t="str">
            <v>Expansion Extractive+Circularity</v>
          </cell>
          <cell r="G1010">
            <v>1427841.619496794</v>
          </cell>
          <cell r="H1010">
            <v>925742.0247192611</v>
          </cell>
          <cell r="I1010">
            <v>486578.05055981921</v>
          </cell>
          <cell r="J1010">
            <v>286181.18193888559</v>
          </cell>
          <cell r="K1010">
            <v>794549.08310820162</v>
          </cell>
          <cell r="M1010">
            <v>655082.38699808915</v>
          </cell>
          <cell r="N1010">
            <v>0.83474576271186396</v>
          </cell>
        </row>
        <row r="1011">
          <cell r="A1011">
            <v>2036</v>
          </cell>
          <cell r="B1011" t="str">
            <v>Copper</v>
          </cell>
          <cell r="C1011" t="str">
            <v>Canada Net-zero</v>
          </cell>
          <cell r="D1011" t="str">
            <v>Production potential</v>
          </cell>
          <cell r="E1011" t="str">
            <v>100% CAN</v>
          </cell>
          <cell r="F1011" t="str">
            <v>Integrated</v>
          </cell>
          <cell r="G1011">
            <v>1427841.619496794</v>
          </cell>
          <cell r="H1011">
            <v>925742.0247192611</v>
          </cell>
          <cell r="I1011">
            <v>772759.23249870527</v>
          </cell>
          <cell r="J1011">
            <v>0</v>
          </cell>
          <cell r="K1011">
            <v>794549.08310820162</v>
          </cell>
          <cell r="M1011">
            <v>655082.38699808868</v>
          </cell>
          <cell r="N1011">
            <v>0.83474576271186396</v>
          </cell>
        </row>
        <row r="1012">
          <cell r="A1012">
            <v>2036</v>
          </cell>
          <cell r="B1012" t="str">
            <v>Copper</v>
          </cell>
          <cell r="C1012" t="str">
            <v>Current Measures</v>
          </cell>
          <cell r="D1012" t="str">
            <v>Existing production</v>
          </cell>
          <cell r="E1012" t="str">
            <v>Current shares</v>
          </cell>
          <cell r="F1012" t="str">
            <v>NIMBY</v>
          </cell>
          <cell r="G1012">
            <v>1101195.4808659849</v>
          </cell>
          <cell r="H1012">
            <v>0</v>
          </cell>
          <cell r="I1012">
            <v>0</v>
          </cell>
          <cell r="J1012">
            <v>0</v>
          </cell>
          <cell r="K1012">
            <v>1326741.5432120301</v>
          </cell>
          <cell r="M1012">
            <v>1101195.4808659849</v>
          </cell>
          <cell r="N1012">
            <v>0.83474576271186396</v>
          </cell>
        </row>
        <row r="1013">
          <cell r="A1013">
            <v>2036</v>
          </cell>
          <cell r="B1013" t="str">
            <v>Copper</v>
          </cell>
          <cell r="C1013" t="str">
            <v>Current Measures</v>
          </cell>
          <cell r="D1013" t="str">
            <v>Existing production</v>
          </cell>
          <cell r="E1013" t="str">
            <v>Current shares</v>
          </cell>
          <cell r="F1013" t="str">
            <v>Status Quo</v>
          </cell>
          <cell r="G1013">
            <v>1101195.4808659849</v>
          </cell>
          <cell r="H1013">
            <v>260859</v>
          </cell>
          <cell r="I1013">
            <v>137109.7566079231</v>
          </cell>
          <cell r="J1013">
            <v>80641.188307331031</v>
          </cell>
          <cell r="K1013">
            <v>1065882.5432120301</v>
          </cell>
          <cell r="M1013">
            <v>883444.53595073067</v>
          </cell>
          <cell r="N1013">
            <v>0.83474576271186396</v>
          </cell>
        </row>
        <row r="1014">
          <cell r="A1014">
            <v>2036</v>
          </cell>
          <cell r="B1014" t="str">
            <v>Copper</v>
          </cell>
          <cell r="C1014" t="str">
            <v>Current Measures</v>
          </cell>
          <cell r="D1014" t="str">
            <v>Production potential</v>
          </cell>
          <cell r="E1014" t="str">
            <v>Current shares</v>
          </cell>
          <cell r="F1014" t="str">
            <v>Expansion Extractive</v>
          </cell>
          <cell r="G1014">
            <v>1101195.4808659849</v>
          </cell>
          <cell r="H1014">
            <v>925742.0247192611</v>
          </cell>
          <cell r="I1014">
            <v>486578.05055981921</v>
          </cell>
          <cell r="J1014">
            <v>286181.18193888559</v>
          </cell>
          <cell r="K1014">
            <v>400999.51849276898</v>
          </cell>
          <cell r="M1014">
            <v>328436.24836728012</v>
          </cell>
          <cell r="N1014">
            <v>0.83474576271186396</v>
          </cell>
        </row>
        <row r="1015">
          <cell r="A1015">
            <v>2036</v>
          </cell>
          <cell r="B1015" t="str">
            <v>Copper</v>
          </cell>
          <cell r="C1015" t="str">
            <v>Current Measures</v>
          </cell>
          <cell r="D1015" t="str">
            <v>Production potential</v>
          </cell>
          <cell r="E1015" t="str">
            <v>Current shares</v>
          </cell>
          <cell r="F1015" t="str">
            <v>Expansion Extractive+Circularity</v>
          </cell>
          <cell r="G1015">
            <v>1101195.4808659849</v>
          </cell>
          <cell r="H1015">
            <v>925742.0247192611</v>
          </cell>
          <cell r="I1015">
            <v>486578.05055981921</v>
          </cell>
          <cell r="J1015">
            <v>286181.18193888559</v>
          </cell>
          <cell r="K1015">
            <v>400999.51849276898</v>
          </cell>
          <cell r="M1015">
            <v>328436.24836728012</v>
          </cell>
          <cell r="N1015">
            <v>0.83474576271186396</v>
          </cell>
        </row>
        <row r="1016">
          <cell r="A1016">
            <v>2036</v>
          </cell>
          <cell r="B1016" t="str">
            <v>Copper</v>
          </cell>
          <cell r="C1016" t="str">
            <v>Current Measures</v>
          </cell>
          <cell r="D1016" t="str">
            <v>Production potential</v>
          </cell>
          <cell r="E1016" t="str">
            <v>100% CAN</v>
          </cell>
          <cell r="F1016" t="str">
            <v>Integrated</v>
          </cell>
          <cell r="G1016">
            <v>1101195.4808659849</v>
          </cell>
          <cell r="H1016">
            <v>925742.0247192611</v>
          </cell>
          <cell r="I1016">
            <v>772759.23249870527</v>
          </cell>
          <cell r="J1016">
            <v>0</v>
          </cell>
          <cell r="K1016">
            <v>400999.51849276898</v>
          </cell>
          <cell r="M1016">
            <v>328436.24836727971</v>
          </cell>
          <cell r="N1016">
            <v>0.83474576271186396</v>
          </cell>
        </row>
        <row r="1017">
          <cell r="A1017">
            <v>2036</v>
          </cell>
          <cell r="B1017" t="str">
            <v>Copper</v>
          </cell>
          <cell r="C1017" t="str">
            <v>Global Net-zero</v>
          </cell>
          <cell r="D1017" t="str">
            <v>Existing production</v>
          </cell>
          <cell r="E1017" t="str">
            <v>Current shares</v>
          </cell>
          <cell r="F1017" t="str">
            <v>NIMBY</v>
          </cell>
          <cell r="G1017">
            <v>1361946.7246063449</v>
          </cell>
          <cell r="H1017">
            <v>0</v>
          </cell>
          <cell r="I1017">
            <v>0</v>
          </cell>
          <cell r="J1017">
            <v>0</v>
          </cell>
          <cell r="K1017">
            <v>1640899.668200416</v>
          </cell>
          <cell r="M1017">
            <v>1361946.7246063449</v>
          </cell>
          <cell r="N1017">
            <v>0.83474576271186396</v>
          </cell>
        </row>
        <row r="1018">
          <cell r="A1018">
            <v>2036</v>
          </cell>
          <cell r="B1018" t="str">
            <v>Copper</v>
          </cell>
          <cell r="C1018" t="str">
            <v>Global Net-zero</v>
          </cell>
          <cell r="D1018" t="str">
            <v>Existing production</v>
          </cell>
          <cell r="E1018" t="str">
            <v>Current shares</v>
          </cell>
          <cell r="F1018" t="str">
            <v>Status Quo</v>
          </cell>
          <cell r="G1018">
            <v>1361946.7246063449</v>
          </cell>
          <cell r="H1018">
            <v>260859</v>
          </cell>
          <cell r="I1018">
            <v>137109.7566079231</v>
          </cell>
          <cell r="J1018">
            <v>80641.188307331031</v>
          </cell>
          <cell r="K1018">
            <v>1380040.668200416</v>
          </cell>
          <cell r="M1018">
            <v>1144195.779691091</v>
          </cell>
          <cell r="N1018">
            <v>0.83474576271186396</v>
          </cell>
        </row>
        <row r="1019">
          <cell r="A1019">
            <v>2036</v>
          </cell>
          <cell r="B1019" t="str">
            <v>Copper</v>
          </cell>
          <cell r="C1019" t="str">
            <v>Global Net-zero</v>
          </cell>
          <cell r="D1019" t="str">
            <v>Production potential</v>
          </cell>
          <cell r="E1019" t="str">
            <v>Current shares</v>
          </cell>
          <cell r="F1019" t="str">
            <v>Expansion Extractive</v>
          </cell>
          <cell r="G1019">
            <v>1361946.7246063449</v>
          </cell>
          <cell r="H1019">
            <v>925742.0247192611</v>
          </cell>
          <cell r="I1019">
            <v>486578.05055981921</v>
          </cell>
          <cell r="J1019">
            <v>286181.18193888559</v>
          </cell>
          <cell r="K1019">
            <v>715157.64348115446</v>
          </cell>
          <cell r="M1019">
            <v>589187.49210764014</v>
          </cell>
          <cell r="N1019">
            <v>0.83474576271186396</v>
          </cell>
        </row>
        <row r="1020">
          <cell r="A1020">
            <v>2036</v>
          </cell>
          <cell r="B1020" t="str">
            <v>Copper</v>
          </cell>
          <cell r="C1020" t="str">
            <v>Global Net-zero</v>
          </cell>
          <cell r="D1020" t="str">
            <v>Production potential</v>
          </cell>
          <cell r="E1020" t="str">
            <v>Current shares</v>
          </cell>
          <cell r="F1020" t="str">
            <v>Expansion Extractive+Circularity</v>
          </cell>
          <cell r="G1020">
            <v>1361946.7246063449</v>
          </cell>
          <cell r="H1020">
            <v>925742.0247192611</v>
          </cell>
          <cell r="I1020">
            <v>486578.05055981921</v>
          </cell>
          <cell r="J1020">
            <v>286181.18193888559</v>
          </cell>
          <cell r="K1020">
            <v>715157.64348115446</v>
          </cell>
          <cell r="M1020">
            <v>589187.49210764014</v>
          </cell>
          <cell r="N1020">
            <v>0.83474576271186396</v>
          </cell>
        </row>
        <row r="1021">
          <cell r="A1021">
            <v>2036</v>
          </cell>
          <cell r="B1021" t="str">
            <v>Copper</v>
          </cell>
          <cell r="C1021" t="str">
            <v>Global Net-zero</v>
          </cell>
          <cell r="D1021" t="str">
            <v>Production potential</v>
          </cell>
          <cell r="E1021" t="str">
            <v>100% CAN</v>
          </cell>
          <cell r="F1021" t="str">
            <v>Integrated</v>
          </cell>
          <cell r="G1021">
            <v>1361946.7246063449</v>
          </cell>
          <cell r="H1021">
            <v>925742.0247192611</v>
          </cell>
          <cell r="I1021">
            <v>772759.23249870527</v>
          </cell>
          <cell r="J1021">
            <v>0</v>
          </cell>
          <cell r="K1021">
            <v>715157.64348115446</v>
          </cell>
          <cell r="M1021">
            <v>589187.49210763967</v>
          </cell>
          <cell r="N1021">
            <v>0.83474576271186396</v>
          </cell>
        </row>
        <row r="1022">
          <cell r="A1022">
            <v>2036</v>
          </cell>
          <cell r="B1022" t="str">
            <v>Neodymium</v>
          </cell>
          <cell r="C1022" t="str">
            <v>Canada Net-zero</v>
          </cell>
          <cell r="D1022" t="str">
            <v>Existing production</v>
          </cell>
          <cell r="E1022" t="str">
            <v>Current shares</v>
          </cell>
          <cell r="F1022" t="str">
            <v>NIMBY</v>
          </cell>
          <cell r="G1022">
            <v>5473.9657750696551</v>
          </cell>
          <cell r="H1022">
            <v>0</v>
          </cell>
          <cell r="I1022">
            <v>0</v>
          </cell>
          <cell r="J1022">
            <v>0</v>
          </cell>
          <cell r="K1022">
            <v>9123.2762917827586</v>
          </cell>
          <cell r="M1022">
            <v>5473.9657750696551</v>
          </cell>
          <cell r="N1022">
            <v>1</v>
          </cell>
        </row>
        <row r="1023">
          <cell r="A1023">
            <v>2036</v>
          </cell>
          <cell r="B1023" t="str">
            <v>Neodymium</v>
          </cell>
          <cell r="C1023" t="str">
            <v>Canada Net-zero</v>
          </cell>
          <cell r="D1023" t="str">
            <v>Existing production</v>
          </cell>
          <cell r="E1023" t="str">
            <v>Current shares</v>
          </cell>
          <cell r="F1023" t="str">
            <v>Status Quo</v>
          </cell>
          <cell r="G1023">
            <v>5473.9657750696551</v>
          </cell>
          <cell r="H1023">
            <v>0</v>
          </cell>
          <cell r="I1023">
            <v>0</v>
          </cell>
          <cell r="J1023">
            <v>0</v>
          </cell>
          <cell r="K1023">
            <v>9123.2762917827586</v>
          </cell>
          <cell r="M1023">
            <v>5473.9657750696551</v>
          </cell>
          <cell r="N1023">
            <v>1</v>
          </cell>
        </row>
        <row r="1024">
          <cell r="A1024">
            <v>2036</v>
          </cell>
          <cell r="B1024" t="str">
            <v>Neodymium</v>
          </cell>
          <cell r="C1024" t="str">
            <v>Canada Net-zero</v>
          </cell>
          <cell r="D1024" t="str">
            <v>Production potential</v>
          </cell>
          <cell r="E1024" t="str">
            <v>Current shares</v>
          </cell>
          <cell r="F1024" t="str">
            <v>Expansion Extractive</v>
          </cell>
          <cell r="G1024">
            <v>5473.9657750696551</v>
          </cell>
          <cell r="H1024">
            <v>112.111990107284</v>
          </cell>
          <cell r="I1024">
            <v>67.10394936401832</v>
          </cell>
          <cell r="J1024">
            <v>45.008040743265681</v>
          </cell>
          <cell r="K1024">
            <v>9011.1643016754751</v>
          </cell>
          <cell r="M1024">
            <v>5361.8537849623708</v>
          </cell>
          <cell r="N1024">
            <v>1</v>
          </cell>
        </row>
        <row r="1025">
          <cell r="A1025">
            <v>2036</v>
          </cell>
          <cell r="B1025" t="str">
            <v>Neodymium</v>
          </cell>
          <cell r="C1025" t="str">
            <v>Canada Net-zero</v>
          </cell>
          <cell r="D1025" t="str">
            <v>Production potential</v>
          </cell>
          <cell r="E1025" t="str">
            <v>Current shares</v>
          </cell>
          <cell r="F1025" t="str">
            <v>Expansion Extractive+Circularity</v>
          </cell>
          <cell r="G1025">
            <v>5473.9657750696551</v>
          </cell>
          <cell r="H1025">
            <v>112.111990107284</v>
          </cell>
          <cell r="I1025">
            <v>67.10394936401832</v>
          </cell>
          <cell r="J1025">
            <v>45.008040743265681</v>
          </cell>
          <cell r="K1025">
            <v>9011.1643016754751</v>
          </cell>
          <cell r="M1025">
            <v>5361.8537849623708</v>
          </cell>
          <cell r="N1025">
            <v>1</v>
          </cell>
        </row>
        <row r="1026">
          <cell r="A1026">
            <v>2036</v>
          </cell>
          <cell r="B1026" t="str">
            <v>Neodymium</v>
          </cell>
          <cell r="C1026" t="str">
            <v>Canada Net-zero</v>
          </cell>
          <cell r="D1026" t="str">
            <v>Production potential</v>
          </cell>
          <cell r="E1026" t="str">
            <v>100% CAN</v>
          </cell>
          <cell r="F1026" t="str">
            <v>Integrated</v>
          </cell>
          <cell r="G1026">
            <v>5473.9657750696551</v>
          </cell>
          <cell r="H1026">
            <v>112.111990107284</v>
          </cell>
          <cell r="I1026">
            <v>67.10394936401832</v>
          </cell>
          <cell r="J1026">
            <v>45.008040743265681</v>
          </cell>
          <cell r="K1026">
            <v>9011.1643016754751</v>
          </cell>
          <cell r="M1026">
            <v>5361.8537849623708</v>
          </cell>
          <cell r="N1026">
            <v>1</v>
          </cell>
        </row>
        <row r="1027">
          <cell r="A1027">
            <v>2036</v>
          </cell>
          <cell r="B1027" t="str">
            <v>Neodymium</v>
          </cell>
          <cell r="C1027" t="str">
            <v>Current Measures</v>
          </cell>
          <cell r="D1027" t="str">
            <v>Existing production</v>
          </cell>
          <cell r="E1027" t="str">
            <v>Current shares</v>
          </cell>
          <cell r="F1027" t="str">
            <v>NIMBY</v>
          </cell>
          <cell r="G1027">
            <v>1758.8013355418279</v>
          </cell>
          <cell r="H1027">
            <v>0</v>
          </cell>
          <cell r="I1027">
            <v>0</v>
          </cell>
          <cell r="J1027">
            <v>0</v>
          </cell>
          <cell r="K1027">
            <v>2931.33555923638</v>
          </cell>
          <cell r="M1027">
            <v>1758.8013355418279</v>
          </cell>
          <cell r="N1027">
            <v>1</v>
          </cell>
        </row>
        <row r="1028">
          <cell r="A1028">
            <v>2036</v>
          </cell>
          <cell r="B1028" t="str">
            <v>Neodymium</v>
          </cell>
          <cell r="C1028" t="str">
            <v>Current Measures</v>
          </cell>
          <cell r="D1028" t="str">
            <v>Existing production</v>
          </cell>
          <cell r="E1028" t="str">
            <v>Current shares</v>
          </cell>
          <cell r="F1028" t="str">
            <v>Status Quo</v>
          </cell>
          <cell r="G1028">
            <v>1758.8013355418279</v>
          </cell>
          <cell r="H1028">
            <v>0</v>
          </cell>
          <cell r="I1028">
            <v>0</v>
          </cell>
          <cell r="J1028">
            <v>0</v>
          </cell>
          <cell r="K1028">
            <v>2931.33555923638</v>
          </cell>
          <cell r="M1028">
            <v>1758.8013355418279</v>
          </cell>
          <cell r="N1028">
            <v>1</v>
          </cell>
        </row>
        <row r="1029">
          <cell r="A1029">
            <v>2036</v>
          </cell>
          <cell r="B1029" t="str">
            <v>Neodymium</v>
          </cell>
          <cell r="C1029" t="str">
            <v>Current Measures</v>
          </cell>
          <cell r="D1029" t="str">
            <v>Production potential</v>
          </cell>
          <cell r="E1029" t="str">
            <v>Current shares</v>
          </cell>
          <cell r="F1029" t="str">
            <v>Expansion Extractive</v>
          </cell>
          <cell r="G1029">
            <v>1758.8013355418279</v>
          </cell>
          <cell r="H1029">
            <v>112.111990107284</v>
          </cell>
          <cell r="I1029">
            <v>67.10394936401832</v>
          </cell>
          <cell r="J1029">
            <v>45.008040743265681</v>
          </cell>
          <cell r="K1029">
            <v>2819.2235691290962</v>
          </cell>
          <cell r="M1029">
            <v>1646.6893454345443</v>
          </cell>
          <cell r="N1029">
            <v>1</v>
          </cell>
        </row>
        <row r="1030">
          <cell r="A1030">
            <v>2036</v>
          </cell>
          <cell r="B1030" t="str">
            <v>Neodymium</v>
          </cell>
          <cell r="C1030" t="str">
            <v>Current Measures</v>
          </cell>
          <cell r="D1030" t="str">
            <v>Production potential</v>
          </cell>
          <cell r="E1030" t="str">
            <v>Current shares</v>
          </cell>
          <cell r="F1030" t="str">
            <v>Expansion Extractive+Circularity</v>
          </cell>
          <cell r="G1030">
            <v>1758.8013355418279</v>
          </cell>
          <cell r="H1030">
            <v>112.111990107284</v>
          </cell>
          <cell r="I1030">
            <v>67.10394936401832</v>
          </cell>
          <cell r="J1030">
            <v>45.008040743265681</v>
          </cell>
          <cell r="K1030">
            <v>2819.2235691290962</v>
          </cell>
          <cell r="M1030">
            <v>1646.6893454345443</v>
          </cell>
          <cell r="N1030">
            <v>1</v>
          </cell>
        </row>
        <row r="1031">
          <cell r="A1031">
            <v>2036</v>
          </cell>
          <cell r="B1031" t="str">
            <v>Neodymium</v>
          </cell>
          <cell r="C1031" t="str">
            <v>Current Measures</v>
          </cell>
          <cell r="D1031" t="str">
            <v>Production potential</v>
          </cell>
          <cell r="E1031" t="str">
            <v>100% CAN</v>
          </cell>
          <cell r="F1031" t="str">
            <v>Integrated</v>
          </cell>
          <cell r="G1031">
            <v>1758.8013355418279</v>
          </cell>
          <cell r="H1031">
            <v>112.111990107284</v>
          </cell>
          <cell r="I1031">
            <v>67.10394936401832</v>
          </cell>
          <cell r="J1031">
            <v>45.008040743265681</v>
          </cell>
          <cell r="K1031">
            <v>2819.2235691290962</v>
          </cell>
          <cell r="M1031">
            <v>1646.6893454345443</v>
          </cell>
          <cell r="N1031">
            <v>1</v>
          </cell>
        </row>
        <row r="1032">
          <cell r="A1032">
            <v>2036</v>
          </cell>
          <cell r="B1032" t="str">
            <v>Neodymium</v>
          </cell>
          <cell r="C1032" t="str">
            <v>Global Net-zero</v>
          </cell>
          <cell r="D1032" t="str">
            <v>Existing production</v>
          </cell>
          <cell r="E1032" t="str">
            <v>Current shares</v>
          </cell>
          <cell r="F1032" t="str">
            <v>NIMBY</v>
          </cell>
          <cell r="G1032">
            <v>5249.778261831415</v>
          </cell>
          <cell r="H1032">
            <v>0</v>
          </cell>
          <cell r="I1032">
            <v>0</v>
          </cell>
          <cell r="J1032">
            <v>0</v>
          </cell>
          <cell r="K1032">
            <v>8749.6304363856925</v>
          </cell>
          <cell r="M1032">
            <v>5249.778261831415</v>
          </cell>
          <cell r="N1032">
            <v>1</v>
          </cell>
        </row>
        <row r="1033">
          <cell r="A1033">
            <v>2036</v>
          </cell>
          <cell r="B1033" t="str">
            <v>Neodymium</v>
          </cell>
          <cell r="C1033" t="str">
            <v>Global Net-zero</v>
          </cell>
          <cell r="D1033" t="str">
            <v>Existing production</v>
          </cell>
          <cell r="E1033" t="str">
            <v>Current shares</v>
          </cell>
          <cell r="F1033" t="str">
            <v>Status Quo</v>
          </cell>
          <cell r="G1033">
            <v>5249.778261831415</v>
          </cell>
          <cell r="H1033">
            <v>0</v>
          </cell>
          <cell r="I1033">
            <v>0</v>
          </cell>
          <cell r="J1033">
            <v>0</v>
          </cell>
          <cell r="K1033">
            <v>8749.6304363856925</v>
          </cell>
          <cell r="M1033">
            <v>5249.778261831415</v>
          </cell>
          <cell r="N1033">
            <v>1</v>
          </cell>
        </row>
        <row r="1034">
          <cell r="A1034">
            <v>2036</v>
          </cell>
          <cell r="B1034" t="str">
            <v>Neodymium</v>
          </cell>
          <cell r="C1034" t="str">
            <v>Global Net-zero</v>
          </cell>
          <cell r="D1034" t="str">
            <v>Production potential</v>
          </cell>
          <cell r="E1034" t="str">
            <v>Current shares</v>
          </cell>
          <cell r="F1034" t="str">
            <v>Expansion Extractive</v>
          </cell>
          <cell r="G1034">
            <v>5249.778261831415</v>
          </cell>
          <cell r="H1034">
            <v>112.111990107284</v>
          </cell>
          <cell r="I1034">
            <v>67.10394936401832</v>
          </cell>
          <cell r="J1034">
            <v>45.008040743265681</v>
          </cell>
          <cell r="K1034">
            <v>8637.5184462784091</v>
          </cell>
          <cell r="M1034">
            <v>5137.6662717241306</v>
          </cell>
          <cell r="N1034">
            <v>1</v>
          </cell>
        </row>
        <row r="1035">
          <cell r="A1035">
            <v>2036</v>
          </cell>
          <cell r="B1035" t="str">
            <v>Neodymium</v>
          </cell>
          <cell r="C1035" t="str">
            <v>Global Net-zero</v>
          </cell>
          <cell r="D1035" t="str">
            <v>Production potential</v>
          </cell>
          <cell r="E1035" t="str">
            <v>Current shares</v>
          </cell>
          <cell r="F1035" t="str">
            <v>Expansion Extractive+Circularity</v>
          </cell>
          <cell r="G1035">
            <v>5249.778261831415</v>
          </cell>
          <cell r="H1035">
            <v>112.111990107284</v>
          </cell>
          <cell r="I1035">
            <v>67.10394936401832</v>
          </cell>
          <cell r="J1035">
            <v>45.008040743265681</v>
          </cell>
          <cell r="K1035">
            <v>8637.5184462784091</v>
          </cell>
          <cell r="M1035">
            <v>5137.6662717241306</v>
          </cell>
          <cell r="N1035">
            <v>1</v>
          </cell>
        </row>
        <row r="1036">
          <cell r="A1036">
            <v>2036</v>
          </cell>
          <cell r="B1036" t="str">
            <v>Neodymium</v>
          </cell>
          <cell r="C1036" t="str">
            <v>Global Net-zero</v>
          </cell>
          <cell r="D1036" t="str">
            <v>Production potential</v>
          </cell>
          <cell r="E1036" t="str">
            <v>100% CAN</v>
          </cell>
          <cell r="F1036" t="str">
            <v>Integrated</v>
          </cell>
          <cell r="G1036">
            <v>5249.778261831415</v>
          </cell>
          <cell r="H1036">
            <v>112.111990107284</v>
          </cell>
          <cell r="I1036">
            <v>67.10394936401832</v>
          </cell>
          <cell r="J1036">
            <v>45.008040743265681</v>
          </cell>
          <cell r="K1036">
            <v>8637.5184462784091</v>
          </cell>
          <cell r="M1036">
            <v>5137.6662717241306</v>
          </cell>
          <cell r="N1036">
            <v>1</v>
          </cell>
        </row>
        <row r="1037">
          <cell r="A1037">
            <v>2036</v>
          </cell>
          <cell r="B1037" t="str">
            <v>Nickel</v>
          </cell>
          <cell r="C1037" t="str">
            <v>Canada Net-zero</v>
          </cell>
          <cell r="D1037" t="str">
            <v>Existing production</v>
          </cell>
          <cell r="E1037" t="str">
            <v>Current shares</v>
          </cell>
          <cell r="F1037" t="str">
            <v>NIMBY</v>
          </cell>
          <cell r="G1037">
            <v>165843.46419653171</v>
          </cell>
          <cell r="H1037">
            <v>0</v>
          </cell>
          <cell r="I1037">
            <v>0</v>
          </cell>
          <cell r="J1037">
            <v>0</v>
          </cell>
          <cell r="K1037">
            <v>209928.43569181231</v>
          </cell>
          <cell r="M1037">
            <v>165843.46419653171</v>
          </cell>
          <cell r="N1037">
            <v>0.69917047091553897</v>
          </cell>
        </row>
        <row r="1038">
          <cell r="A1038">
            <v>2036</v>
          </cell>
          <cell r="B1038" t="str">
            <v>Nickel</v>
          </cell>
          <cell r="C1038" t="str">
            <v>Canada Net-zero</v>
          </cell>
          <cell r="D1038" t="str">
            <v>Existing production</v>
          </cell>
          <cell r="E1038" t="str">
            <v>Current shares</v>
          </cell>
          <cell r="F1038" t="str">
            <v>Status Quo</v>
          </cell>
          <cell r="G1038">
            <v>165843.46419653171</v>
          </cell>
          <cell r="H1038">
            <v>116680</v>
          </cell>
          <cell r="I1038">
            <v>65443.483404116138</v>
          </cell>
          <cell r="J1038">
            <v>16135.727142308955</v>
          </cell>
          <cell r="K1038">
            <v>93248.435691812279</v>
          </cell>
          <cell r="M1038">
            <v>84264.25365010665</v>
          </cell>
          <cell r="N1038">
            <v>0.69917047091553897</v>
          </cell>
        </row>
        <row r="1039">
          <cell r="A1039">
            <v>2036</v>
          </cell>
          <cell r="B1039" t="str">
            <v>Nickel</v>
          </cell>
          <cell r="C1039" t="str">
            <v>Canada Net-zero</v>
          </cell>
          <cell r="D1039" t="str">
            <v>Production potential</v>
          </cell>
          <cell r="E1039" t="str">
            <v>Current shares</v>
          </cell>
          <cell r="F1039" t="str">
            <v>Expansion Extractive</v>
          </cell>
          <cell r="G1039">
            <v>165843.46419653171</v>
          </cell>
          <cell r="H1039">
            <v>236101.16516190339</v>
          </cell>
          <cell r="I1039">
            <v>132424.43164180251</v>
          </cell>
          <cell r="J1039">
            <v>32650.531188152934</v>
          </cell>
          <cell r="K1039">
            <v>0</v>
          </cell>
          <cell r="M1039">
            <v>768.50136657632538</v>
          </cell>
          <cell r="N1039">
            <v>0.69917047091553897</v>
          </cell>
        </row>
        <row r="1040">
          <cell r="A1040">
            <v>2036</v>
          </cell>
          <cell r="B1040" t="str">
            <v>Nickel</v>
          </cell>
          <cell r="C1040" t="str">
            <v>Canada Net-zero</v>
          </cell>
          <cell r="D1040" t="str">
            <v>Production potential</v>
          </cell>
          <cell r="E1040" t="str">
            <v>Current shares</v>
          </cell>
          <cell r="F1040" t="str">
            <v>Expansion Extractive+Circularity</v>
          </cell>
          <cell r="G1040">
            <v>165843.46419653171</v>
          </cell>
          <cell r="H1040">
            <v>236101.16516190339</v>
          </cell>
          <cell r="I1040">
            <v>132424.43164180251</v>
          </cell>
          <cell r="J1040">
            <v>32650.531188152934</v>
          </cell>
          <cell r="K1040">
            <v>0</v>
          </cell>
          <cell r="M1040">
            <v>768.50136657632538</v>
          </cell>
          <cell r="N1040">
            <v>0.69917047091553897</v>
          </cell>
        </row>
        <row r="1041">
          <cell r="A1041">
            <v>2036</v>
          </cell>
          <cell r="B1041" t="str">
            <v>Nickel</v>
          </cell>
          <cell r="C1041" t="str">
            <v>Canada Net-zero</v>
          </cell>
          <cell r="D1041" t="str">
            <v>Production potential</v>
          </cell>
          <cell r="E1041" t="str">
            <v>100% CAN</v>
          </cell>
          <cell r="F1041" t="str">
            <v>Integrated</v>
          </cell>
          <cell r="G1041">
            <v>165843.46419653171</v>
          </cell>
          <cell r="H1041">
            <v>236101.16516190339</v>
          </cell>
          <cell r="I1041">
            <v>185942.652387093</v>
          </cell>
          <cell r="J1041">
            <v>-20867.68955713755</v>
          </cell>
          <cell r="K1041">
            <v>0</v>
          </cell>
          <cell r="M1041">
            <v>20867.68955713755</v>
          </cell>
          <cell r="N1041">
            <v>0.69917047091553897</v>
          </cell>
        </row>
        <row r="1042">
          <cell r="A1042">
            <v>2036</v>
          </cell>
          <cell r="B1042" t="str">
            <v>Nickel</v>
          </cell>
          <cell r="C1042" t="str">
            <v>Current Measures</v>
          </cell>
          <cell r="D1042" t="str">
            <v>Existing production</v>
          </cell>
          <cell r="E1042" t="str">
            <v>Current shares</v>
          </cell>
          <cell r="F1042" t="str">
            <v>NIMBY</v>
          </cell>
          <cell r="G1042">
            <v>65540.179703389193</v>
          </cell>
          <cell r="H1042">
            <v>0</v>
          </cell>
          <cell r="I1042">
            <v>0</v>
          </cell>
          <cell r="J1042">
            <v>0</v>
          </cell>
          <cell r="K1042">
            <v>82962.252789100239</v>
          </cell>
          <cell r="M1042">
            <v>65540.179703389193</v>
          </cell>
          <cell r="N1042">
            <v>0.69917047091553897</v>
          </cell>
        </row>
        <row r="1043">
          <cell r="A1043">
            <v>2036</v>
          </cell>
          <cell r="B1043" t="str">
            <v>Nickel</v>
          </cell>
          <cell r="C1043" t="str">
            <v>Current Measures</v>
          </cell>
          <cell r="D1043" t="str">
            <v>Existing production</v>
          </cell>
          <cell r="E1043" t="str">
            <v>Current shares</v>
          </cell>
          <cell r="F1043" t="str">
            <v>Status Quo</v>
          </cell>
          <cell r="G1043">
            <v>65540.179703389193</v>
          </cell>
          <cell r="H1043">
            <v>116680</v>
          </cell>
          <cell r="I1043">
            <v>65443.483404116138</v>
          </cell>
          <cell r="J1043">
            <v>16135.727142308955</v>
          </cell>
          <cell r="K1043">
            <v>0</v>
          </cell>
          <cell r="M1043">
            <v>0</v>
          </cell>
          <cell r="N1043">
            <v>0.69917047091553897</v>
          </cell>
        </row>
        <row r="1044">
          <cell r="A1044">
            <v>2036</v>
          </cell>
          <cell r="B1044" t="str">
            <v>Nickel</v>
          </cell>
          <cell r="C1044" t="str">
            <v>Current Measures</v>
          </cell>
          <cell r="D1044" t="str">
            <v>Production potential</v>
          </cell>
          <cell r="E1044" t="str">
            <v>Current shares</v>
          </cell>
          <cell r="F1044" t="str">
            <v>Expansion Extractive</v>
          </cell>
          <cell r="G1044">
            <v>65540.179703389193</v>
          </cell>
          <cell r="H1044">
            <v>236101.16516190339</v>
          </cell>
          <cell r="I1044">
            <v>132424.43164180251</v>
          </cell>
          <cell r="J1044">
            <v>32650.531188152934</v>
          </cell>
          <cell r="K1044">
            <v>0</v>
          </cell>
          <cell r="M1044">
            <v>0</v>
          </cell>
          <cell r="N1044">
            <v>0.69917047091553897</v>
          </cell>
        </row>
        <row r="1045">
          <cell r="A1045">
            <v>2036</v>
          </cell>
          <cell r="B1045" t="str">
            <v>Nickel</v>
          </cell>
          <cell r="C1045" t="str">
            <v>Current Measures</v>
          </cell>
          <cell r="D1045" t="str">
            <v>Production potential</v>
          </cell>
          <cell r="E1045" t="str">
            <v>Current shares</v>
          </cell>
          <cell r="F1045" t="str">
            <v>Expansion Extractive+Circularity</v>
          </cell>
          <cell r="G1045">
            <v>65540.179703389193</v>
          </cell>
          <cell r="H1045">
            <v>236101.16516190339</v>
          </cell>
          <cell r="I1045">
            <v>132424.43164180251</v>
          </cell>
          <cell r="J1045">
            <v>32650.531188152934</v>
          </cell>
          <cell r="K1045">
            <v>0</v>
          </cell>
          <cell r="M1045">
            <v>0</v>
          </cell>
          <cell r="N1045">
            <v>0.69917047091553897</v>
          </cell>
        </row>
        <row r="1046">
          <cell r="A1046">
            <v>2036</v>
          </cell>
          <cell r="B1046" t="str">
            <v>Nickel</v>
          </cell>
          <cell r="C1046" t="str">
            <v>Current Measures</v>
          </cell>
          <cell r="D1046" t="str">
            <v>Production potential</v>
          </cell>
          <cell r="E1046" t="str">
            <v>100% CAN</v>
          </cell>
          <cell r="F1046" t="str">
            <v>Integrated</v>
          </cell>
          <cell r="G1046">
            <v>65540.179703389193</v>
          </cell>
          <cell r="H1046">
            <v>236101.16516190339</v>
          </cell>
          <cell r="I1046">
            <v>185942.652387093</v>
          </cell>
          <cell r="J1046">
            <v>-20867.68955713755</v>
          </cell>
          <cell r="K1046">
            <v>0</v>
          </cell>
          <cell r="M1046">
            <v>20867.68955713755</v>
          </cell>
          <cell r="N1046">
            <v>0.69917047091553897</v>
          </cell>
        </row>
        <row r="1047">
          <cell r="A1047">
            <v>2036</v>
          </cell>
          <cell r="B1047" t="str">
            <v>Nickel</v>
          </cell>
          <cell r="C1047" t="str">
            <v>Global Net-zero</v>
          </cell>
          <cell r="D1047" t="str">
            <v>Existing production</v>
          </cell>
          <cell r="E1047" t="str">
            <v>Current shares</v>
          </cell>
          <cell r="F1047" t="str">
            <v>NIMBY</v>
          </cell>
          <cell r="G1047">
            <v>159552.34537882611</v>
          </cell>
          <cell r="H1047">
            <v>0</v>
          </cell>
          <cell r="I1047">
            <v>0</v>
          </cell>
          <cell r="J1047">
            <v>0</v>
          </cell>
          <cell r="K1047">
            <v>201964.99415041279</v>
          </cell>
          <cell r="M1047">
            <v>159552.34537882611</v>
          </cell>
          <cell r="N1047">
            <v>0.69917047091553897</v>
          </cell>
        </row>
        <row r="1048">
          <cell r="A1048">
            <v>2036</v>
          </cell>
          <cell r="B1048" t="str">
            <v>Nickel</v>
          </cell>
          <cell r="C1048" t="str">
            <v>Global Net-zero</v>
          </cell>
          <cell r="D1048" t="str">
            <v>Existing production</v>
          </cell>
          <cell r="E1048" t="str">
            <v>Current shares</v>
          </cell>
          <cell r="F1048" t="str">
            <v>Status Quo</v>
          </cell>
          <cell r="G1048">
            <v>159552.34537882611</v>
          </cell>
          <cell r="H1048">
            <v>116680</v>
          </cell>
          <cell r="I1048">
            <v>65443.483404116138</v>
          </cell>
          <cell r="J1048">
            <v>16135.727142308955</v>
          </cell>
          <cell r="K1048">
            <v>85284.994150412793</v>
          </cell>
          <cell r="M1048">
            <v>77973.134832401018</v>
          </cell>
          <cell r="N1048">
            <v>0.69917047091553897</v>
          </cell>
        </row>
        <row r="1049">
          <cell r="A1049">
            <v>2036</v>
          </cell>
          <cell r="B1049" t="str">
            <v>Nickel</v>
          </cell>
          <cell r="C1049" t="str">
            <v>Global Net-zero</v>
          </cell>
          <cell r="D1049" t="str">
            <v>Production potential</v>
          </cell>
          <cell r="E1049" t="str">
            <v>Current shares</v>
          </cell>
          <cell r="F1049" t="str">
            <v>Expansion Extractive</v>
          </cell>
          <cell r="G1049">
            <v>159552.34537882611</v>
          </cell>
          <cell r="H1049">
            <v>236101.16516190339</v>
          </cell>
          <cell r="I1049">
            <v>132424.43164180251</v>
          </cell>
          <cell r="J1049">
            <v>32650.531188152934</v>
          </cell>
          <cell r="K1049">
            <v>0</v>
          </cell>
          <cell r="M1049">
            <v>0</v>
          </cell>
          <cell r="N1049">
            <v>0.69917047091553897</v>
          </cell>
        </row>
        <row r="1050">
          <cell r="A1050">
            <v>2036</v>
          </cell>
          <cell r="B1050" t="str">
            <v>Nickel</v>
          </cell>
          <cell r="C1050" t="str">
            <v>Global Net-zero</v>
          </cell>
          <cell r="D1050" t="str">
            <v>Production potential</v>
          </cell>
          <cell r="E1050" t="str">
            <v>Current shares</v>
          </cell>
          <cell r="F1050" t="str">
            <v>Expansion Extractive+Circularity</v>
          </cell>
          <cell r="G1050">
            <v>159552.34537882611</v>
          </cell>
          <cell r="H1050">
            <v>236101.16516190339</v>
          </cell>
          <cell r="I1050">
            <v>132424.43164180251</v>
          </cell>
          <cell r="J1050">
            <v>32650.531188152934</v>
          </cell>
          <cell r="K1050">
            <v>0</v>
          </cell>
          <cell r="M1050">
            <v>0</v>
          </cell>
          <cell r="N1050">
            <v>0.69917047091553897</v>
          </cell>
        </row>
        <row r="1051">
          <cell r="A1051">
            <v>2036</v>
          </cell>
          <cell r="B1051" t="str">
            <v>Nickel</v>
          </cell>
          <cell r="C1051" t="str">
            <v>Global Net-zero</v>
          </cell>
          <cell r="D1051" t="str">
            <v>Production potential</v>
          </cell>
          <cell r="E1051" t="str">
            <v>100% CAN</v>
          </cell>
          <cell r="F1051" t="str">
            <v>Integrated</v>
          </cell>
          <cell r="G1051">
            <v>159552.34537882611</v>
          </cell>
          <cell r="H1051">
            <v>236101.16516190339</v>
          </cell>
          <cell r="I1051">
            <v>185942.652387093</v>
          </cell>
          <cell r="J1051">
            <v>-20867.68955713755</v>
          </cell>
          <cell r="K1051">
            <v>0</v>
          </cell>
          <cell r="M1051">
            <v>20867.68955713755</v>
          </cell>
          <cell r="N1051">
            <v>0.69917047091553897</v>
          </cell>
        </row>
        <row r="1052">
          <cell r="A1052">
            <v>2036</v>
          </cell>
          <cell r="B1052" t="str">
            <v>Graphite</v>
          </cell>
          <cell r="C1052" t="str">
            <v>Canada Net-zero</v>
          </cell>
          <cell r="D1052" t="str">
            <v>Existing production</v>
          </cell>
          <cell r="E1052" t="str">
            <v>Current shares</v>
          </cell>
          <cell r="F1052" t="str">
            <v>NIMBY</v>
          </cell>
          <cell r="G1052">
            <v>3178.982459798764</v>
          </cell>
          <cell r="H1052">
            <v>0</v>
          </cell>
          <cell r="I1052">
            <v>0</v>
          </cell>
          <cell r="J1052">
            <v>0</v>
          </cell>
          <cell r="K1052">
            <v>3178.982459798764</v>
          </cell>
          <cell r="M1052">
            <v>3178.982459798764</v>
          </cell>
          <cell r="N1052">
            <v>0.59854391398996798</v>
          </cell>
        </row>
        <row r="1053">
          <cell r="A1053">
            <v>2036</v>
          </cell>
          <cell r="B1053" t="str">
            <v>Graphite</v>
          </cell>
          <cell r="C1053" t="str">
            <v>Canada Net-zero</v>
          </cell>
          <cell r="D1053" t="str">
            <v>Existing production</v>
          </cell>
          <cell r="E1053" t="str">
            <v>Current shares</v>
          </cell>
          <cell r="F1053" t="str">
            <v>Status Quo</v>
          </cell>
          <cell r="G1053">
            <v>3178.982459798764</v>
          </cell>
          <cell r="H1053">
            <v>0</v>
          </cell>
          <cell r="I1053">
            <v>0</v>
          </cell>
          <cell r="J1053">
            <v>0</v>
          </cell>
          <cell r="K1053">
            <v>3178.982459798764</v>
          </cell>
          <cell r="M1053">
            <v>3178.982459798764</v>
          </cell>
          <cell r="N1053">
            <v>0.59854391398996798</v>
          </cell>
        </row>
        <row r="1054">
          <cell r="A1054">
            <v>2036</v>
          </cell>
          <cell r="B1054" t="str">
            <v>Graphite</v>
          </cell>
          <cell r="C1054" t="str">
            <v>Canada Net-zero</v>
          </cell>
          <cell r="D1054" t="str">
            <v>Production potential</v>
          </cell>
          <cell r="E1054" t="str">
            <v>Current shares</v>
          </cell>
          <cell r="F1054" t="str">
            <v>Expansion Extractive</v>
          </cell>
          <cell r="G1054">
            <v>3178.982459798764</v>
          </cell>
          <cell r="H1054">
            <v>188697.71052724539</v>
          </cell>
          <cell r="I1054">
            <v>62270.24447399097</v>
          </cell>
          <cell r="J1054">
            <v>50673.621745932469</v>
          </cell>
          <cell r="K1054">
            <v>0</v>
          </cell>
          <cell r="M1054">
            <v>0</v>
          </cell>
          <cell r="N1054">
            <v>0.59854391398996798</v>
          </cell>
        </row>
        <row r="1055">
          <cell r="A1055">
            <v>2036</v>
          </cell>
          <cell r="B1055" t="str">
            <v>Graphite</v>
          </cell>
          <cell r="C1055" t="str">
            <v>Canada Net-zero</v>
          </cell>
          <cell r="D1055" t="str">
            <v>Production potential</v>
          </cell>
          <cell r="E1055" t="str">
            <v>Current shares</v>
          </cell>
          <cell r="F1055" t="str">
            <v>Expansion Extractive+Circularity</v>
          </cell>
          <cell r="G1055">
            <v>3178.982459798764</v>
          </cell>
          <cell r="H1055">
            <v>188697.71052724539</v>
          </cell>
          <cell r="I1055">
            <v>62270.24447399097</v>
          </cell>
          <cell r="J1055">
            <v>50673.621745932469</v>
          </cell>
          <cell r="K1055">
            <v>0</v>
          </cell>
          <cell r="M1055">
            <v>0</v>
          </cell>
          <cell r="N1055">
            <v>0.59854391398996798</v>
          </cell>
        </row>
        <row r="1056">
          <cell r="A1056">
            <v>2036</v>
          </cell>
          <cell r="B1056" t="str">
            <v>Graphite</v>
          </cell>
          <cell r="C1056" t="str">
            <v>Canada Net-zero</v>
          </cell>
          <cell r="D1056" t="str">
            <v>Production potential</v>
          </cell>
          <cell r="E1056" t="str">
            <v>100% CAN</v>
          </cell>
          <cell r="F1056" t="str">
            <v>Integrated</v>
          </cell>
          <cell r="G1056">
            <v>3178.982459798764</v>
          </cell>
          <cell r="H1056">
            <v>188697.71052724539</v>
          </cell>
          <cell r="I1056">
            <v>62270.24447399097</v>
          </cell>
          <cell r="J1056">
            <v>50673.621745932469</v>
          </cell>
          <cell r="K1056">
            <v>0</v>
          </cell>
          <cell r="M1056">
            <v>0</v>
          </cell>
          <cell r="N1056">
            <v>0.59854391398996798</v>
          </cell>
        </row>
        <row r="1057">
          <cell r="A1057">
            <v>2036</v>
          </cell>
          <cell r="B1057" t="str">
            <v>Graphite</v>
          </cell>
          <cell r="C1057" t="str">
            <v>Current Measures</v>
          </cell>
          <cell r="D1057" t="str">
            <v>Existing production</v>
          </cell>
          <cell r="E1057" t="str">
            <v>Current shares</v>
          </cell>
          <cell r="F1057" t="str">
            <v>NIMBY</v>
          </cell>
          <cell r="G1057">
            <v>1181.081330457198</v>
          </cell>
          <cell r="H1057">
            <v>0</v>
          </cell>
          <cell r="I1057">
            <v>0</v>
          </cell>
          <cell r="J1057">
            <v>0</v>
          </cell>
          <cell r="K1057">
            <v>1181.081330457198</v>
          </cell>
          <cell r="M1057">
            <v>1181.081330457198</v>
          </cell>
          <cell r="N1057">
            <v>0.59854391398996798</v>
          </cell>
        </row>
        <row r="1058">
          <cell r="A1058">
            <v>2036</v>
          </cell>
          <cell r="B1058" t="str">
            <v>Graphite</v>
          </cell>
          <cell r="C1058" t="str">
            <v>Current Measures</v>
          </cell>
          <cell r="D1058" t="str">
            <v>Existing production</v>
          </cell>
          <cell r="E1058" t="str">
            <v>Current shares</v>
          </cell>
          <cell r="F1058" t="str">
            <v>Status Quo</v>
          </cell>
          <cell r="G1058">
            <v>1181.081330457198</v>
          </cell>
          <cell r="H1058">
            <v>0</v>
          </cell>
          <cell r="I1058">
            <v>0</v>
          </cell>
          <cell r="J1058">
            <v>0</v>
          </cell>
          <cell r="K1058">
            <v>1181.081330457198</v>
          </cell>
          <cell r="M1058">
            <v>1181.081330457198</v>
          </cell>
          <cell r="N1058">
            <v>0.59854391398996798</v>
          </cell>
        </row>
        <row r="1059">
          <cell r="A1059">
            <v>2036</v>
          </cell>
          <cell r="B1059" t="str">
            <v>Graphite</v>
          </cell>
          <cell r="C1059" t="str">
            <v>Current Measures</v>
          </cell>
          <cell r="D1059" t="str">
            <v>Production potential</v>
          </cell>
          <cell r="E1059" t="str">
            <v>Current shares</v>
          </cell>
          <cell r="F1059" t="str">
            <v>Expansion Extractive</v>
          </cell>
          <cell r="G1059">
            <v>1181.081330457198</v>
          </cell>
          <cell r="H1059">
            <v>188697.71052724539</v>
          </cell>
          <cell r="I1059">
            <v>62270.24447399097</v>
          </cell>
          <cell r="J1059">
            <v>50673.621745932469</v>
          </cell>
          <cell r="K1059">
            <v>0</v>
          </cell>
          <cell r="M1059">
            <v>0</v>
          </cell>
          <cell r="N1059">
            <v>0.59854391398996798</v>
          </cell>
        </row>
        <row r="1060">
          <cell r="A1060">
            <v>2036</v>
          </cell>
          <cell r="B1060" t="str">
            <v>Graphite</v>
          </cell>
          <cell r="C1060" t="str">
            <v>Current Measures</v>
          </cell>
          <cell r="D1060" t="str">
            <v>Production potential</v>
          </cell>
          <cell r="E1060" t="str">
            <v>Current shares</v>
          </cell>
          <cell r="F1060" t="str">
            <v>Expansion Extractive+Circularity</v>
          </cell>
          <cell r="G1060">
            <v>1181.081330457198</v>
          </cell>
          <cell r="H1060">
            <v>188697.71052724539</v>
          </cell>
          <cell r="I1060">
            <v>62270.24447399097</v>
          </cell>
          <cell r="J1060">
            <v>50673.621745932469</v>
          </cell>
          <cell r="K1060">
            <v>0</v>
          </cell>
          <cell r="M1060">
            <v>0</v>
          </cell>
          <cell r="N1060">
            <v>0.59854391398996798</v>
          </cell>
        </row>
        <row r="1061">
          <cell r="A1061">
            <v>2036</v>
          </cell>
          <cell r="B1061" t="str">
            <v>Graphite</v>
          </cell>
          <cell r="C1061" t="str">
            <v>Current Measures</v>
          </cell>
          <cell r="D1061" t="str">
            <v>Production potential</v>
          </cell>
          <cell r="E1061" t="str">
            <v>100% CAN</v>
          </cell>
          <cell r="F1061" t="str">
            <v>Integrated</v>
          </cell>
          <cell r="G1061">
            <v>1181.081330457198</v>
          </cell>
          <cell r="H1061">
            <v>188697.71052724539</v>
          </cell>
          <cell r="I1061">
            <v>62270.24447399097</v>
          </cell>
          <cell r="J1061">
            <v>50673.621745932469</v>
          </cell>
          <cell r="K1061">
            <v>0</v>
          </cell>
          <cell r="M1061">
            <v>0</v>
          </cell>
          <cell r="N1061">
            <v>0.59854391398996798</v>
          </cell>
        </row>
        <row r="1062">
          <cell r="A1062">
            <v>2036</v>
          </cell>
          <cell r="B1062" t="str">
            <v>Graphite</v>
          </cell>
          <cell r="C1062" t="str">
            <v>Global Net-zero</v>
          </cell>
          <cell r="D1062" t="str">
            <v>Existing production</v>
          </cell>
          <cell r="E1062" t="str">
            <v>Current shares</v>
          </cell>
          <cell r="F1062" t="str">
            <v>NIMBY</v>
          </cell>
          <cell r="G1062">
            <v>3028.4346514382819</v>
          </cell>
          <cell r="H1062">
            <v>0</v>
          </cell>
          <cell r="I1062">
            <v>0</v>
          </cell>
          <cell r="J1062">
            <v>0</v>
          </cell>
          <cell r="K1062">
            <v>3028.4346514382819</v>
          </cell>
          <cell r="M1062">
            <v>3028.4346514382819</v>
          </cell>
          <cell r="N1062">
            <v>0.59854391398996798</v>
          </cell>
        </row>
        <row r="1063">
          <cell r="A1063">
            <v>2036</v>
          </cell>
          <cell r="B1063" t="str">
            <v>Graphite</v>
          </cell>
          <cell r="C1063" t="str">
            <v>Global Net-zero</v>
          </cell>
          <cell r="D1063" t="str">
            <v>Existing production</v>
          </cell>
          <cell r="E1063" t="str">
            <v>Current shares</v>
          </cell>
          <cell r="F1063" t="str">
            <v>Status Quo</v>
          </cell>
          <cell r="G1063">
            <v>3028.4346514382819</v>
          </cell>
          <cell r="H1063">
            <v>0</v>
          </cell>
          <cell r="I1063">
            <v>0</v>
          </cell>
          <cell r="J1063">
            <v>0</v>
          </cell>
          <cell r="K1063">
            <v>3028.4346514382819</v>
          </cell>
          <cell r="M1063">
            <v>3028.4346514382819</v>
          </cell>
          <cell r="N1063">
            <v>0.59854391398996798</v>
          </cell>
        </row>
        <row r="1064">
          <cell r="A1064">
            <v>2036</v>
          </cell>
          <cell r="B1064" t="str">
            <v>Graphite</v>
          </cell>
          <cell r="C1064" t="str">
            <v>Global Net-zero</v>
          </cell>
          <cell r="D1064" t="str">
            <v>Production potential</v>
          </cell>
          <cell r="E1064" t="str">
            <v>Current shares</v>
          </cell>
          <cell r="F1064" t="str">
            <v>Expansion Extractive</v>
          </cell>
          <cell r="G1064">
            <v>3028.4346514382819</v>
          </cell>
          <cell r="H1064">
            <v>188697.71052724539</v>
          </cell>
          <cell r="I1064">
            <v>62270.24447399097</v>
          </cell>
          <cell r="J1064">
            <v>50673.621745932469</v>
          </cell>
          <cell r="K1064">
            <v>0</v>
          </cell>
          <cell r="M1064">
            <v>0</v>
          </cell>
          <cell r="N1064">
            <v>0.59854391398996798</v>
          </cell>
        </row>
        <row r="1065">
          <cell r="A1065">
            <v>2036</v>
          </cell>
          <cell r="B1065" t="str">
            <v>Graphite</v>
          </cell>
          <cell r="C1065" t="str">
            <v>Global Net-zero</v>
          </cell>
          <cell r="D1065" t="str">
            <v>Production potential</v>
          </cell>
          <cell r="E1065" t="str">
            <v>Current shares</v>
          </cell>
          <cell r="F1065" t="str">
            <v>Expansion Extractive+Circularity</v>
          </cell>
          <cell r="G1065">
            <v>3028.4346514382819</v>
          </cell>
          <cell r="H1065">
            <v>188697.71052724539</v>
          </cell>
          <cell r="I1065">
            <v>62270.24447399097</v>
          </cell>
          <cell r="J1065">
            <v>50673.621745932469</v>
          </cell>
          <cell r="K1065">
            <v>0</v>
          </cell>
          <cell r="M1065">
            <v>0</v>
          </cell>
          <cell r="N1065">
            <v>0.59854391398996798</v>
          </cell>
        </row>
        <row r="1066">
          <cell r="A1066">
            <v>2036</v>
          </cell>
          <cell r="B1066" t="str">
            <v>Graphite</v>
          </cell>
          <cell r="C1066" t="str">
            <v>Global Net-zero</v>
          </cell>
          <cell r="D1066" t="str">
            <v>Production potential</v>
          </cell>
          <cell r="E1066" t="str">
            <v>100% CAN</v>
          </cell>
          <cell r="F1066" t="str">
            <v>Integrated</v>
          </cell>
          <cell r="G1066">
            <v>3028.4346514382819</v>
          </cell>
          <cell r="H1066">
            <v>188697.71052724539</v>
          </cell>
          <cell r="I1066">
            <v>62270.24447399097</v>
          </cell>
          <cell r="J1066">
            <v>50673.621745932469</v>
          </cell>
          <cell r="K1066">
            <v>0</v>
          </cell>
          <cell r="M1066">
            <v>0</v>
          </cell>
          <cell r="N1066">
            <v>0.59854391398996798</v>
          </cell>
        </row>
        <row r="1067">
          <cell r="A1067">
            <v>2036</v>
          </cell>
          <cell r="B1067" t="str">
            <v>Lithium</v>
          </cell>
          <cell r="C1067" t="str">
            <v>Canada Net-zero</v>
          </cell>
          <cell r="D1067" t="str">
            <v>Existing production</v>
          </cell>
          <cell r="E1067" t="str">
            <v>Current shares</v>
          </cell>
          <cell r="F1067" t="str">
            <v>NIMBY</v>
          </cell>
          <cell r="G1067">
            <v>68174.621934206763</v>
          </cell>
          <cell r="H1067">
            <v>0</v>
          </cell>
          <cell r="I1067">
            <v>0</v>
          </cell>
          <cell r="J1067">
            <v>0</v>
          </cell>
          <cell r="K1067">
            <v>97392.317048866811</v>
          </cell>
          <cell r="M1067">
            <v>68174.621934206763</v>
          </cell>
          <cell r="N1067">
            <v>0.787554996857322</v>
          </cell>
        </row>
        <row r="1068">
          <cell r="A1068">
            <v>2036</v>
          </cell>
          <cell r="B1068" t="str">
            <v>Lithium</v>
          </cell>
          <cell r="C1068" t="str">
            <v>Canada Net-zero</v>
          </cell>
          <cell r="D1068" t="str">
            <v>Existing production</v>
          </cell>
          <cell r="E1068" t="str">
            <v>Current shares</v>
          </cell>
          <cell r="F1068" t="str">
            <v>Status Quo</v>
          </cell>
          <cell r="G1068">
            <v>68174.621934206763</v>
          </cell>
          <cell r="H1068">
            <v>37189</v>
          </cell>
          <cell r="I1068">
            <v>26001.450642877979</v>
          </cell>
          <cell r="J1068">
            <v>3286.9321352489678</v>
          </cell>
          <cell r="K1068">
            <v>60203.317048866811</v>
          </cell>
          <cell r="M1068">
            <v>38886.239156079813</v>
          </cell>
          <cell r="N1068">
            <v>0.787554996857322</v>
          </cell>
        </row>
        <row r="1069">
          <cell r="A1069">
            <v>2036</v>
          </cell>
          <cell r="B1069" t="str">
            <v>Lithium</v>
          </cell>
          <cell r="C1069" t="str">
            <v>Canada Net-zero</v>
          </cell>
          <cell r="D1069" t="str">
            <v>Production potential</v>
          </cell>
          <cell r="E1069" t="str">
            <v>Current shares</v>
          </cell>
          <cell r="F1069" t="str">
            <v>Expansion Extractive</v>
          </cell>
          <cell r="G1069">
            <v>68174.621934206763</v>
          </cell>
          <cell r="H1069">
            <v>194813.12210065019</v>
          </cell>
          <cell r="I1069">
            <v>136207.58231963799</v>
          </cell>
          <cell r="J1069">
            <v>17218.465444104659</v>
          </cell>
          <cell r="K1069">
            <v>0</v>
          </cell>
          <cell r="M1069">
            <v>0</v>
          </cell>
          <cell r="N1069">
            <v>0.787554996857322</v>
          </cell>
        </row>
        <row r="1070">
          <cell r="A1070">
            <v>2036</v>
          </cell>
          <cell r="B1070" t="str">
            <v>Lithium</v>
          </cell>
          <cell r="C1070" t="str">
            <v>Canada Net-zero</v>
          </cell>
          <cell r="D1070" t="str">
            <v>Production potential</v>
          </cell>
          <cell r="E1070" t="str">
            <v>Current shares</v>
          </cell>
          <cell r="F1070" t="str">
            <v>Expansion Extractive+Circularity</v>
          </cell>
          <cell r="G1070">
            <v>68174.621934206763</v>
          </cell>
          <cell r="H1070">
            <v>194813.12210065019</v>
          </cell>
          <cell r="I1070">
            <v>136207.58231963799</v>
          </cell>
          <cell r="J1070">
            <v>17218.465444104659</v>
          </cell>
          <cell r="K1070">
            <v>0</v>
          </cell>
          <cell r="M1070">
            <v>0</v>
          </cell>
          <cell r="N1070">
            <v>0.787554996857322</v>
          </cell>
        </row>
        <row r="1071">
          <cell r="A1071">
            <v>2036</v>
          </cell>
          <cell r="B1071" t="str">
            <v>Lithium</v>
          </cell>
          <cell r="C1071" t="str">
            <v>Canada Net-zero</v>
          </cell>
          <cell r="D1071" t="str">
            <v>Production potential</v>
          </cell>
          <cell r="E1071" t="str">
            <v>100% CAN</v>
          </cell>
          <cell r="F1071" t="str">
            <v>Integrated</v>
          </cell>
          <cell r="G1071">
            <v>68174.621934206763</v>
          </cell>
          <cell r="H1071">
            <v>194813.12210065019</v>
          </cell>
          <cell r="I1071">
            <v>136207.58231963799</v>
          </cell>
          <cell r="J1071">
            <v>17218.465444104659</v>
          </cell>
          <cell r="K1071">
            <v>0</v>
          </cell>
          <cell r="M1071">
            <v>0</v>
          </cell>
          <cell r="N1071">
            <v>0.787554996857322</v>
          </cell>
        </row>
        <row r="1072">
          <cell r="A1072">
            <v>2036</v>
          </cell>
          <cell r="B1072" t="str">
            <v>Lithium</v>
          </cell>
          <cell r="C1072" t="str">
            <v>Current Measures</v>
          </cell>
          <cell r="D1072" t="str">
            <v>Existing production</v>
          </cell>
          <cell r="E1072" t="str">
            <v>Current shares</v>
          </cell>
          <cell r="F1072" t="str">
            <v>NIMBY</v>
          </cell>
          <cell r="G1072">
            <v>25328.788125042582</v>
          </cell>
          <cell r="H1072">
            <v>0</v>
          </cell>
          <cell r="I1072">
            <v>0</v>
          </cell>
          <cell r="J1072">
            <v>0</v>
          </cell>
          <cell r="K1072">
            <v>36183.98303577512</v>
          </cell>
          <cell r="M1072">
            <v>25328.788125042582</v>
          </cell>
          <cell r="N1072">
            <v>0.787554996857322</v>
          </cell>
        </row>
        <row r="1073">
          <cell r="A1073">
            <v>2036</v>
          </cell>
          <cell r="B1073" t="str">
            <v>Lithium</v>
          </cell>
          <cell r="C1073" t="str">
            <v>Current Measures</v>
          </cell>
          <cell r="D1073" t="str">
            <v>Existing production</v>
          </cell>
          <cell r="E1073" t="str">
            <v>Current shares</v>
          </cell>
          <cell r="F1073" t="str">
            <v>Status Quo</v>
          </cell>
          <cell r="G1073">
            <v>25328.788125042582</v>
          </cell>
          <cell r="H1073">
            <v>37189</v>
          </cell>
          <cell r="I1073">
            <v>26001.450642877979</v>
          </cell>
          <cell r="J1073">
            <v>3286.9321352489678</v>
          </cell>
          <cell r="K1073">
            <v>0</v>
          </cell>
          <cell r="M1073">
            <v>0</v>
          </cell>
          <cell r="N1073">
            <v>0.787554996857322</v>
          </cell>
        </row>
        <row r="1074">
          <cell r="A1074">
            <v>2036</v>
          </cell>
          <cell r="B1074" t="str">
            <v>Lithium</v>
          </cell>
          <cell r="C1074" t="str">
            <v>Current Measures</v>
          </cell>
          <cell r="D1074" t="str">
            <v>Production potential</v>
          </cell>
          <cell r="E1074" t="str">
            <v>Current shares</v>
          </cell>
          <cell r="F1074" t="str">
            <v>Expansion Extractive</v>
          </cell>
          <cell r="G1074">
            <v>25328.788125042582</v>
          </cell>
          <cell r="H1074">
            <v>194813.12210065019</v>
          </cell>
          <cell r="I1074">
            <v>136207.58231963799</v>
          </cell>
          <cell r="J1074">
            <v>17218.465444104659</v>
          </cell>
          <cell r="K1074">
            <v>0</v>
          </cell>
          <cell r="M1074">
            <v>0</v>
          </cell>
          <cell r="N1074">
            <v>0.787554996857322</v>
          </cell>
        </row>
        <row r="1075">
          <cell r="A1075">
            <v>2036</v>
          </cell>
          <cell r="B1075" t="str">
            <v>Lithium</v>
          </cell>
          <cell r="C1075" t="str">
            <v>Current Measures</v>
          </cell>
          <cell r="D1075" t="str">
            <v>Production potential</v>
          </cell>
          <cell r="E1075" t="str">
            <v>Current shares</v>
          </cell>
          <cell r="F1075" t="str">
            <v>Expansion Extractive+Circularity</v>
          </cell>
          <cell r="G1075">
            <v>25328.788125042582</v>
          </cell>
          <cell r="H1075">
            <v>194813.12210065019</v>
          </cell>
          <cell r="I1075">
            <v>136207.58231963799</v>
          </cell>
          <cell r="J1075">
            <v>17218.465444104659</v>
          </cell>
          <cell r="K1075">
            <v>0</v>
          </cell>
          <cell r="M1075">
            <v>0</v>
          </cell>
          <cell r="N1075">
            <v>0.787554996857322</v>
          </cell>
        </row>
        <row r="1076">
          <cell r="A1076">
            <v>2036</v>
          </cell>
          <cell r="B1076" t="str">
            <v>Lithium</v>
          </cell>
          <cell r="C1076" t="str">
            <v>Current Measures</v>
          </cell>
          <cell r="D1076" t="str">
            <v>Production potential</v>
          </cell>
          <cell r="E1076" t="str">
            <v>100% CAN</v>
          </cell>
          <cell r="F1076" t="str">
            <v>Integrated</v>
          </cell>
          <cell r="G1076">
            <v>25328.788125042582</v>
          </cell>
          <cell r="H1076">
            <v>194813.12210065019</v>
          </cell>
          <cell r="I1076">
            <v>136207.58231963799</v>
          </cell>
          <cell r="J1076">
            <v>17218.465444104659</v>
          </cell>
          <cell r="K1076">
            <v>0</v>
          </cell>
          <cell r="M1076">
            <v>0</v>
          </cell>
          <cell r="N1076">
            <v>0.787554996857322</v>
          </cell>
        </row>
        <row r="1077">
          <cell r="A1077">
            <v>2036</v>
          </cell>
          <cell r="B1077" t="str">
            <v>Lithium</v>
          </cell>
          <cell r="C1077" t="str">
            <v>Global Net-zero</v>
          </cell>
          <cell r="D1077" t="str">
            <v>Existing production</v>
          </cell>
          <cell r="E1077" t="str">
            <v>Current shares</v>
          </cell>
          <cell r="F1077" t="str">
            <v>NIMBY</v>
          </cell>
          <cell r="G1077">
            <v>64946.06057918453</v>
          </cell>
          <cell r="H1077">
            <v>0</v>
          </cell>
          <cell r="I1077">
            <v>0</v>
          </cell>
          <cell r="J1077">
            <v>0</v>
          </cell>
          <cell r="K1077">
            <v>92780.086541692188</v>
          </cell>
          <cell r="M1077">
            <v>64946.06057918453</v>
          </cell>
          <cell r="N1077">
            <v>0.787554996857322</v>
          </cell>
        </row>
        <row r="1078">
          <cell r="A1078">
            <v>2036</v>
          </cell>
          <cell r="B1078" t="str">
            <v>Lithium</v>
          </cell>
          <cell r="C1078" t="str">
            <v>Global Net-zero</v>
          </cell>
          <cell r="D1078" t="str">
            <v>Existing production</v>
          </cell>
          <cell r="E1078" t="str">
            <v>Current shares</v>
          </cell>
          <cell r="F1078" t="str">
            <v>Status Quo</v>
          </cell>
          <cell r="G1078">
            <v>64946.06057918453</v>
          </cell>
          <cell r="H1078">
            <v>37189</v>
          </cell>
          <cell r="I1078">
            <v>26001.450642877979</v>
          </cell>
          <cell r="J1078">
            <v>3286.9321352489678</v>
          </cell>
          <cell r="K1078">
            <v>55591.086541692188</v>
          </cell>
          <cell r="M1078">
            <v>35657.67780105758</v>
          </cell>
          <cell r="N1078">
            <v>0.787554996857322</v>
          </cell>
        </row>
        <row r="1079">
          <cell r="A1079">
            <v>2036</v>
          </cell>
          <cell r="B1079" t="str">
            <v>Lithium</v>
          </cell>
          <cell r="C1079" t="str">
            <v>Global Net-zero</v>
          </cell>
          <cell r="D1079" t="str">
            <v>Production potential</v>
          </cell>
          <cell r="E1079" t="str">
            <v>Current shares</v>
          </cell>
          <cell r="F1079" t="str">
            <v>Expansion Extractive</v>
          </cell>
          <cell r="G1079">
            <v>64946.06057918453</v>
          </cell>
          <cell r="H1079">
            <v>194813.12210065019</v>
          </cell>
          <cell r="I1079">
            <v>136207.58231963799</v>
          </cell>
          <cell r="J1079">
            <v>17218.465444104659</v>
          </cell>
          <cell r="K1079">
            <v>0</v>
          </cell>
          <cell r="M1079">
            <v>0</v>
          </cell>
          <cell r="N1079">
            <v>0.787554996857322</v>
          </cell>
        </row>
        <row r="1080">
          <cell r="A1080">
            <v>2036</v>
          </cell>
          <cell r="B1080" t="str">
            <v>Lithium</v>
          </cell>
          <cell r="C1080" t="str">
            <v>Global Net-zero</v>
          </cell>
          <cell r="D1080" t="str">
            <v>Production potential</v>
          </cell>
          <cell r="E1080" t="str">
            <v>Current shares</v>
          </cell>
          <cell r="F1080" t="str">
            <v>Expansion Extractive+Circularity</v>
          </cell>
          <cell r="G1080">
            <v>64946.06057918453</v>
          </cell>
          <cell r="H1080">
            <v>194813.12210065019</v>
          </cell>
          <cell r="I1080">
            <v>136207.58231963799</v>
          </cell>
          <cell r="J1080">
            <v>17218.465444104659</v>
          </cell>
          <cell r="K1080">
            <v>0</v>
          </cell>
          <cell r="M1080">
            <v>0</v>
          </cell>
          <cell r="N1080">
            <v>0.787554996857322</v>
          </cell>
        </row>
        <row r="1081">
          <cell r="A1081">
            <v>2036</v>
          </cell>
          <cell r="B1081" t="str">
            <v>Lithium</v>
          </cell>
          <cell r="C1081" t="str">
            <v>Global Net-zero</v>
          </cell>
          <cell r="D1081" t="str">
            <v>Production potential</v>
          </cell>
          <cell r="E1081" t="str">
            <v>100% CAN</v>
          </cell>
          <cell r="F1081" t="str">
            <v>Integrated</v>
          </cell>
          <cell r="G1081">
            <v>64946.06057918453</v>
          </cell>
          <cell r="H1081">
            <v>194813.12210065019</v>
          </cell>
          <cell r="I1081">
            <v>136207.58231963799</v>
          </cell>
          <cell r="J1081">
            <v>17218.465444104659</v>
          </cell>
          <cell r="K1081">
            <v>0</v>
          </cell>
          <cell r="M1081">
            <v>0</v>
          </cell>
          <cell r="N1081">
            <v>0.787554996857322</v>
          </cell>
        </row>
        <row r="1082">
          <cell r="A1082">
            <v>2037</v>
          </cell>
          <cell r="B1082" t="str">
            <v>Cobalt</v>
          </cell>
          <cell r="C1082" t="str">
            <v>Canada Net-zero</v>
          </cell>
          <cell r="D1082" t="str">
            <v>Existing production</v>
          </cell>
          <cell r="E1082" t="str">
            <v>Current shares</v>
          </cell>
          <cell r="F1082" t="str">
            <v>NIMBY</v>
          </cell>
          <cell r="G1082">
            <v>195842.1780346538</v>
          </cell>
          <cell r="H1082">
            <v>0</v>
          </cell>
          <cell r="I1082">
            <v>0</v>
          </cell>
          <cell r="J1082">
            <v>0</v>
          </cell>
          <cell r="K1082">
            <v>445095.8591696677</v>
          </cell>
          <cell r="M1082">
            <v>195842.1780346538</v>
          </cell>
          <cell r="N1082">
            <v>0.439346565686978</v>
          </cell>
        </row>
        <row r="1083">
          <cell r="A1083">
            <v>2037</v>
          </cell>
          <cell r="B1083" t="str">
            <v>Cobalt</v>
          </cell>
          <cell r="C1083" t="str">
            <v>Canada Net-zero</v>
          </cell>
          <cell r="D1083" t="str">
            <v>Existing production</v>
          </cell>
          <cell r="E1083" t="str">
            <v>Current shares</v>
          </cell>
          <cell r="F1083" t="str">
            <v>Status Quo</v>
          </cell>
          <cell r="G1083">
            <v>195842.1780346538</v>
          </cell>
          <cell r="H1083">
            <v>947</v>
          </cell>
          <cell r="I1083">
            <v>401.70019146980081</v>
          </cell>
          <cell r="J1083">
            <v>14.361006235767377</v>
          </cell>
          <cell r="K1083">
            <v>444148.8591696677</v>
          </cell>
          <cell r="M1083">
            <v>195426.11683694823</v>
          </cell>
          <cell r="N1083">
            <v>0.439346565686978</v>
          </cell>
        </row>
        <row r="1084">
          <cell r="A1084">
            <v>2037</v>
          </cell>
          <cell r="B1084" t="str">
            <v>Cobalt</v>
          </cell>
          <cell r="C1084" t="str">
            <v>Canada Net-zero</v>
          </cell>
          <cell r="D1084" t="str">
            <v>Production potential</v>
          </cell>
          <cell r="E1084" t="str">
            <v>Current shares</v>
          </cell>
          <cell r="F1084" t="str">
            <v>Expansion Extractive</v>
          </cell>
          <cell r="G1084">
            <v>195842.1780346538</v>
          </cell>
          <cell r="H1084">
            <v>20461.41490497061</v>
          </cell>
          <cell r="I1084">
            <v>8679.3603855012989</v>
          </cell>
          <cell r="J1084">
            <v>310.29198209388232</v>
          </cell>
          <cell r="K1084">
            <v>424634.44426469709</v>
          </cell>
          <cell r="M1084">
            <v>186852.52566705862</v>
          </cell>
          <cell r="N1084">
            <v>0.439346565686978</v>
          </cell>
        </row>
        <row r="1085">
          <cell r="A1085">
            <v>2037</v>
          </cell>
          <cell r="B1085" t="str">
            <v>Cobalt</v>
          </cell>
          <cell r="C1085" t="str">
            <v>Canada Net-zero</v>
          </cell>
          <cell r="D1085" t="str">
            <v>Production potential</v>
          </cell>
          <cell r="E1085" t="str">
            <v>Current shares</v>
          </cell>
          <cell r="F1085" t="str">
            <v>Expansion Extractive+Circularity</v>
          </cell>
          <cell r="G1085">
            <v>195842.1780346538</v>
          </cell>
          <cell r="H1085">
            <v>20461.41490497061</v>
          </cell>
          <cell r="I1085">
            <v>8679.3603855012989</v>
          </cell>
          <cell r="J1085">
            <v>310.29198209388232</v>
          </cell>
          <cell r="K1085">
            <v>424634.44426469709</v>
          </cell>
          <cell r="M1085">
            <v>186852.52566705862</v>
          </cell>
          <cell r="N1085">
            <v>0.439346565686978</v>
          </cell>
        </row>
        <row r="1086">
          <cell r="A1086">
            <v>2037</v>
          </cell>
          <cell r="B1086" t="str">
            <v>Cobalt</v>
          </cell>
          <cell r="C1086" t="str">
            <v>Canada Net-zero</v>
          </cell>
          <cell r="D1086" t="str">
            <v>Production potential</v>
          </cell>
          <cell r="E1086" t="str">
            <v>100% CAN</v>
          </cell>
          <cell r="F1086" t="str">
            <v>Integrated</v>
          </cell>
          <cell r="G1086">
            <v>195842.1780346538</v>
          </cell>
          <cell r="H1086">
            <v>20461.41490497061</v>
          </cell>
          <cell r="I1086">
            <v>8989.6523675951903</v>
          </cell>
          <cell r="J1086">
            <v>0</v>
          </cell>
          <cell r="K1086">
            <v>424634.44426469709</v>
          </cell>
          <cell r="M1086">
            <v>186852.52566705859</v>
          </cell>
          <cell r="N1086">
            <v>0.439346565686978</v>
          </cell>
        </row>
        <row r="1087">
          <cell r="A1087">
            <v>2037</v>
          </cell>
          <cell r="B1087" t="str">
            <v>Cobalt</v>
          </cell>
          <cell r="C1087" t="str">
            <v>Current Measures</v>
          </cell>
          <cell r="D1087" t="str">
            <v>Existing production</v>
          </cell>
          <cell r="E1087" t="str">
            <v>Current shares</v>
          </cell>
          <cell r="F1087" t="str">
            <v>NIMBY</v>
          </cell>
          <cell r="G1087">
            <v>73598.891657163113</v>
          </cell>
          <cell r="H1087">
            <v>0</v>
          </cell>
          <cell r="I1087">
            <v>0</v>
          </cell>
          <cell r="J1087">
            <v>0</v>
          </cell>
          <cell r="K1087">
            <v>167270.20831173431</v>
          </cell>
          <cell r="M1087">
            <v>73598.891657163113</v>
          </cell>
          <cell r="N1087">
            <v>0.439346565686978</v>
          </cell>
        </row>
        <row r="1088">
          <cell r="A1088">
            <v>2037</v>
          </cell>
          <cell r="B1088" t="str">
            <v>Cobalt</v>
          </cell>
          <cell r="C1088" t="str">
            <v>Current Measures</v>
          </cell>
          <cell r="D1088" t="str">
            <v>Existing production</v>
          </cell>
          <cell r="E1088" t="str">
            <v>Current shares</v>
          </cell>
          <cell r="F1088" t="str">
            <v>Status Quo</v>
          </cell>
          <cell r="G1088">
            <v>73598.891657163113</v>
          </cell>
          <cell r="H1088">
            <v>947</v>
          </cell>
          <cell r="I1088">
            <v>401.70019146980081</v>
          </cell>
          <cell r="J1088">
            <v>14.361006235767377</v>
          </cell>
          <cell r="K1088">
            <v>166323.20831173431</v>
          </cell>
          <cell r="M1088">
            <v>73182.830459457546</v>
          </cell>
          <cell r="N1088">
            <v>0.439346565686978</v>
          </cell>
        </row>
        <row r="1089">
          <cell r="A1089">
            <v>2037</v>
          </cell>
          <cell r="B1089" t="str">
            <v>Cobalt</v>
          </cell>
          <cell r="C1089" t="str">
            <v>Current Measures</v>
          </cell>
          <cell r="D1089" t="str">
            <v>Production potential</v>
          </cell>
          <cell r="E1089" t="str">
            <v>Current shares</v>
          </cell>
          <cell r="F1089" t="str">
            <v>Expansion Extractive</v>
          </cell>
          <cell r="G1089">
            <v>73598.891657163113</v>
          </cell>
          <cell r="H1089">
            <v>20461.41490497061</v>
          </cell>
          <cell r="I1089">
            <v>8679.3603855012989</v>
          </cell>
          <cell r="J1089">
            <v>310.29198209388232</v>
          </cell>
          <cell r="K1089">
            <v>146808.7934067637</v>
          </cell>
          <cell r="M1089">
            <v>64609.239289567922</v>
          </cell>
          <cell r="N1089">
            <v>0.439346565686978</v>
          </cell>
        </row>
        <row r="1090">
          <cell r="A1090">
            <v>2037</v>
          </cell>
          <cell r="B1090" t="str">
            <v>Cobalt</v>
          </cell>
          <cell r="C1090" t="str">
            <v>Current Measures</v>
          </cell>
          <cell r="D1090" t="str">
            <v>Production potential</v>
          </cell>
          <cell r="E1090" t="str">
            <v>Current shares</v>
          </cell>
          <cell r="F1090" t="str">
            <v>Expansion Extractive+Circularity</v>
          </cell>
          <cell r="G1090">
            <v>73598.891657163113</v>
          </cell>
          <cell r="H1090">
            <v>20461.41490497061</v>
          </cell>
          <cell r="I1090">
            <v>8679.3603855012989</v>
          </cell>
          <cell r="J1090">
            <v>310.29198209388232</v>
          </cell>
          <cell r="K1090">
            <v>146808.7934067637</v>
          </cell>
          <cell r="M1090">
            <v>64609.239289567922</v>
          </cell>
          <cell r="N1090">
            <v>0.439346565686978</v>
          </cell>
        </row>
        <row r="1091">
          <cell r="A1091">
            <v>2037</v>
          </cell>
          <cell r="B1091" t="str">
            <v>Cobalt</v>
          </cell>
          <cell r="C1091" t="str">
            <v>Current Measures</v>
          </cell>
          <cell r="D1091" t="str">
            <v>Production potential</v>
          </cell>
          <cell r="E1091" t="str">
            <v>100% CAN</v>
          </cell>
          <cell r="F1091" t="str">
            <v>Integrated</v>
          </cell>
          <cell r="G1091">
            <v>73598.891657163113</v>
          </cell>
          <cell r="H1091">
            <v>20461.41490497061</v>
          </cell>
          <cell r="I1091">
            <v>8989.6523675951903</v>
          </cell>
          <cell r="J1091">
            <v>0</v>
          </cell>
          <cell r="K1091">
            <v>146808.7934067637</v>
          </cell>
          <cell r="M1091">
            <v>64609.239289567922</v>
          </cell>
          <cell r="N1091">
            <v>0.439346565686978</v>
          </cell>
        </row>
        <row r="1092">
          <cell r="A1092">
            <v>2037</v>
          </cell>
          <cell r="B1092" t="str">
            <v>Cobalt</v>
          </cell>
          <cell r="C1092" t="str">
            <v>Global Net-zero</v>
          </cell>
          <cell r="D1092" t="str">
            <v>Existing production</v>
          </cell>
          <cell r="E1092" t="str">
            <v>Current shares</v>
          </cell>
          <cell r="F1092" t="str">
            <v>NIMBY</v>
          </cell>
          <cell r="G1092">
            <v>186507.43822649619</v>
          </cell>
          <cell r="H1092">
            <v>0</v>
          </cell>
          <cell r="I1092">
            <v>0</v>
          </cell>
          <cell r="J1092">
            <v>0</v>
          </cell>
          <cell r="K1092">
            <v>423880.541423855</v>
          </cell>
          <cell r="M1092">
            <v>186507.43822649619</v>
          </cell>
          <cell r="N1092">
            <v>0.439346565686978</v>
          </cell>
        </row>
        <row r="1093">
          <cell r="A1093">
            <v>2037</v>
          </cell>
          <cell r="B1093" t="str">
            <v>Cobalt</v>
          </cell>
          <cell r="C1093" t="str">
            <v>Global Net-zero</v>
          </cell>
          <cell r="D1093" t="str">
            <v>Existing production</v>
          </cell>
          <cell r="E1093" t="str">
            <v>Current shares</v>
          </cell>
          <cell r="F1093" t="str">
            <v>Status Quo</v>
          </cell>
          <cell r="G1093">
            <v>186507.43822649619</v>
          </cell>
          <cell r="H1093">
            <v>947</v>
          </cell>
          <cell r="I1093">
            <v>401.70019146980081</v>
          </cell>
          <cell r="J1093">
            <v>14.361006235767377</v>
          </cell>
          <cell r="K1093">
            <v>422933.541423855</v>
          </cell>
          <cell r="M1093">
            <v>186091.37702879065</v>
          </cell>
          <cell r="N1093">
            <v>0.439346565686978</v>
          </cell>
        </row>
        <row r="1094">
          <cell r="A1094">
            <v>2037</v>
          </cell>
          <cell r="B1094" t="str">
            <v>Cobalt</v>
          </cell>
          <cell r="C1094" t="str">
            <v>Global Net-zero</v>
          </cell>
          <cell r="D1094" t="str">
            <v>Production potential</v>
          </cell>
          <cell r="E1094" t="str">
            <v>Current shares</v>
          </cell>
          <cell r="F1094" t="str">
            <v>Expansion Extractive</v>
          </cell>
          <cell r="G1094">
            <v>186507.43822649619</v>
          </cell>
          <cell r="H1094">
            <v>20461.41490497061</v>
          </cell>
          <cell r="I1094">
            <v>8679.3603855012989</v>
          </cell>
          <cell r="J1094">
            <v>310.29198209388232</v>
          </cell>
          <cell r="K1094">
            <v>403419.12651888438</v>
          </cell>
          <cell r="M1094">
            <v>177517.78585890101</v>
          </cell>
          <cell r="N1094">
            <v>0.439346565686978</v>
          </cell>
        </row>
        <row r="1095">
          <cell r="A1095">
            <v>2037</v>
          </cell>
          <cell r="B1095" t="str">
            <v>Cobalt</v>
          </cell>
          <cell r="C1095" t="str">
            <v>Global Net-zero</v>
          </cell>
          <cell r="D1095" t="str">
            <v>Production potential</v>
          </cell>
          <cell r="E1095" t="str">
            <v>Current shares</v>
          </cell>
          <cell r="F1095" t="str">
            <v>Expansion Extractive+Circularity</v>
          </cell>
          <cell r="G1095">
            <v>186507.43822649619</v>
          </cell>
          <cell r="H1095">
            <v>20461.41490497061</v>
          </cell>
          <cell r="I1095">
            <v>8679.3603855012989</v>
          </cell>
          <cell r="J1095">
            <v>310.29198209388232</v>
          </cell>
          <cell r="K1095">
            <v>403419.12651888438</v>
          </cell>
          <cell r="M1095">
            <v>177517.78585890101</v>
          </cell>
          <cell r="N1095">
            <v>0.439346565686978</v>
          </cell>
        </row>
        <row r="1096">
          <cell r="A1096">
            <v>2037</v>
          </cell>
          <cell r="B1096" t="str">
            <v>Cobalt</v>
          </cell>
          <cell r="C1096" t="str">
            <v>Global Net-zero</v>
          </cell>
          <cell r="D1096" t="str">
            <v>Production potential</v>
          </cell>
          <cell r="E1096" t="str">
            <v>100% CAN</v>
          </cell>
          <cell r="F1096" t="str">
            <v>Integrated</v>
          </cell>
          <cell r="G1096">
            <v>186507.43822649619</v>
          </cell>
          <cell r="H1096">
            <v>20461.41490497061</v>
          </cell>
          <cell r="I1096">
            <v>8989.6523675951903</v>
          </cell>
          <cell r="J1096">
            <v>0</v>
          </cell>
          <cell r="K1096">
            <v>403419.12651888438</v>
          </cell>
          <cell r="M1096">
            <v>177517.78585890101</v>
          </cell>
          <cell r="N1096">
            <v>0.439346565686978</v>
          </cell>
        </row>
        <row r="1097">
          <cell r="A1097">
            <v>2037</v>
          </cell>
          <cell r="B1097" t="str">
            <v>Copper</v>
          </cell>
          <cell r="C1097" t="str">
            <v>Canada Net-zero</v>
          </cell>
          <cell r="D1097" t="str">
            <v>Existing production</v>
          </cell>
          <cell r="E1097" t="str">
            <v>Current shares</v>
          </cell>
          <cell r="F1097" t="str">
            <v>NIMBY</v>
          </cell>
          <cell r="G1097">
            <v>1478036.3950053221</v>
          </cell>
          <cell r="H1097">
            <v>0</v>
          </cell>
          <cell r="I1097">
            <v>0</v>
          </cell>
          <cell r="J1097">
            <v>0</v>
          </cell>
          <cell r="K1097">
            <v>1780766.7409702679</v>
          </cell>
          <cell r="M1097">
            <v>1478036.3950053221</v>
          </cell>
          <cell r="N1097">
            <v>0.83474576271186396</v>
          </cell>
        </row>
        <row r="1098">
          <cell r="A1098">
            <v>2037</v>
          </cell>
          <cell r="B1098" t="str">
            <v>Copper</v>
          </cell>
          <cell r="C1098" t="str">
            <v>Canada Net-zero</v>
          </cell>
          <cell r="D1098" t="str">
            <v>Existing production</v>
          </cell>
          <cell r="E1098" t="str">
            <v>Current shares</v>
          </cell>
          <cell r="F1098" t="str">
            <v>Status Quo</v>
          </cell>
          <cell r="G1098">
            <v>1478036.3950053221</v>
          </cell>
          <cell r="H1098">
            <v>216675</v>
          </cell>
          <cell r="I1098">
            <v>113886.262360209</v>
          </cell>
          <cell r="J1098">
            <v>66982.275775384114</v>
          </cell>
          <cell r="K1098">
            <v>1564091.7409702679</v>
          </cell>
          <cell r="M1098">
            <v>1297167.8568697288</v>
          </cell>
          <cell r="N1098">
            <v>0.83474576271186396</v>
          </cell>
        </row>
        <row r="1099">
          <cell r="A1099">
            <v>2037</v>
          </cell>
          <cell r="B1099" t="str">
            <v>Copper</v>
          </cell>
          <cell r="C1099" t="str">
            <v>Canada Net-zero</v>
          </cell>
          <cell r="D1099" t="str">
            <v>Production potential</v>
          </cell>
          <cell r="E1099" t="str">
            <v>Current shares</v>
          </cell>
          <cell r="F1099" t="str">
            <v>Expansion Extractive</v>
          </cell>
          <cell r="G1099">
            <v>1478036.3950053221</v>
          </cell>
          <cell r="H1099">
            <v>973099.29728133942</v>
          </cell>
          <cell r="I1099">
            <v>511469.4444339106</v>
          </cell>
          <cell r="J1099">
            <v>300821.07066957996</v>
          </cell>
          <cell r="K1099">
            <v>807667.44368892827</v>
          </cell>
          <cell r="M1099">
            <v>665745.8799018315</v>
          </cell>
          <cell r="N1099">
            <v>0.83474576271186396</v>
          </cell>
        </row>
        <row r="1100">
          <cell r="A1100">
            <v>2037</v>
          </cell>
          <cell r="B1100" t="str">
            <v>Copper</v>
          </cell>
          <cell r="C1100" t="str">
            <v>Canada Net-zero</v>
          </cell>
          <cell r="D1100" t="str">
            <v>Production potential</v>
          </cell>
          <cell r="E1100" t="str">
            <v>Current shares</v>
          </cell>
          <cell r="F1100" t="str">
            <v>Expansion Extractive+Circularity</v>
          </cell>
          <cell r="G1100">
            <v>1478036.3950053221</v>
          </cell>
          <cell r="H1100">
            <v>973099.29728133942</v>
          </cell>
          <cell r="I1100">
            <v>511469.4444339106</v>
          </cell>
          <cell r="J1100">
            <v>300821.07066957996</v>
          </cell>
          <cell r="K1100">
            <v>807667.44368892827</v>
          </cell>
          <cell r="M1100">
            <v>665745.8799018315</v>
          </cell>
          <cell r="N1100">
            <v>0.83474576271186396</v>
          </cell>
        </row>
        <row r="1101">
          <cell r="A1101">
            <v>2037</v>
          </cell>
          <cell r="B1101" t="str">
            <v>Copper</v>
          </cell>
          <cell r="C1101" t="str">
            <v>Canada Net-zero</v>
          </cell>
          <cell r="D1101" t="str">
            <v>Production potential</v>
          </cell>
          <cell r="E1101" t="str">
            <v>100% CAN</v>
          </cell>
          <cell r="F1101" t="str">
            <v>Integrated</v>
          </cell>
          <cell r="G1101">
            <v>1478036.3950053221</v>
          </cell>
          <cell r="H1101">
            <v>973099.29728133942</v>
          </cell>
          <cell r="I1101">
            <v>812290.51510349091</v>
          </cell>
          <cell r="J1101">
            <v>0</v>
          </cell>
          <cell r="K1101">
            <v>807667.44368892827</v>
          </cell>
          <cell r="M1101">
            <v>665745.87990183115</v>
          </cell>
          <cell r="N1101">
            <v>0.83474576271186396</v>
          </cell>
        </row>
        <row r="1102">
          <cell r="A1102">
            <v>2037</v>
          </cell>
          <cell r="B1102" t="str">
            <v>Copper</v>
          </cell>
          <cell r="C1102" t="str">
            <v>Current Measures</v>
          </cell>
          <cell r="D1102" t="str">
            <v>Existing production</v>
          </cell>
          <cell r="E1102" t="str">
            <v>Current shares</v>
          </cell>
          <cell r="F1102" t="str">
            <v>NIMBY</v>
          </cell>
          <cell r="G1102">
            <v>1130192.3701368021</v>
          </cell>
          <cell r="H1102">
            <v>0</v>
          </cell>
          <cell r="I1102">
            <v>0</v>
          </cell>
          <cell r="J1102">
            <v>0</v>
          </cell>
          <cell r="K1102">
            <v>1361677.5543816891</v>
          </cell>
          <cell r="M1102">
            <v>1130192.3701368021</v>
          </cell>
          <cell r="N1102">
            <v>0.83474576271186396</v>
          </cell>
        </row>
        <row r="1103">
          <cell r="A1103">
            <v>2037</v>
          </cell>
          <cell r="B1103" t="str">
            <v>Copper</v>
          </cell>
          <cell r="C1103" t="str">
            <v>Current Measures</v>
          </cell>
          <cell r="D1103" t="str">
            <v>Existing production</v>
          </cell>
          <cell r="E1103" t="str">
            <v>Current shares</v>
          </cell>
          <cell r="F1103" t="str">
            <v>Status Quo</v>
          </cell>
          <cell r="G1103">
            <v>1130192.3701368021</v>
          </cell>
          <cell r="H1103">
            <v>216675</v>
          </cell>
          <cell r="I1103">
            <v>113886.262360209</v>
          </cell>
          <cell r="J1103">
            <v>66982.275775384114</v>
          </cell>
          <cell r="K1103">
            <v>1145002.5543816891</v>
          </cell>
          <cell r="M1103">
            <v>949323.83200120879</v>
          </cell>
          <cell r="N1103">
            <v>0.83474576271186396</v>
          </cell>
        </row>
        <row r="1104">
          <cell r="A1104">
            <v>2037</v>
          </cell>
          <cell r="B1104" t="str">
            <v>Copper</v>
          </cell>
          <cell r="C1104" t="str">
            <v>Current Measures</v>
          </cell>
          <cell r="D1104" t="str">
            <v>Production potential</v>
          </cell>
          <cell r="E1104" t="str">
            <v>Current shares</v>
          </cell>
          <cell r="F1104" t="str">
            <v>Expansion Extractive</v>
          </cell>
          <cell r="G1104">
            <v>1130192.3701368021</v>
          </cell>
          <cell r="H1104">
            <v>973099.29728133942</v>
          </cell>
          <cell r="I1104">
            <v>511469.4444339106</v>
          </cell>
          <cell r="J1104">
            <v>300821.07066957996</v>
          </cell>
          <cell r="K1104">
            <v>388578.25710034987</v>
          </cell>
          <cell r="M1104">
            <v>317901.85503331159</v>
          </cell>
          <cell r="N1104">
            <v>0.83474576271186396</v>
          </cell>
        </row>
        <row r="1105">
          <cell r="A1105">
            <v>2037</v>
          </cell>
          <cell r="B1105" t="str">
            <v>Copper</v>
          </cell>
          <cell r="C1105" t="str">
            <v>Current Measures</v>
          </cell>
          <cell r="D1105" t="str">
            <v>Production potential</v>
          </cell>
          <cell r="E1105" t="str">
            <v>Current shares</v>
          </cell>
          <cell r="F1105" t="str">
            <v>Expansion Extractive+Circularity</v>
          </cell>
          <cell r="G1105">
            <v>1130192.3701368021</v>
          </cell>
          <cell r="H1105">
            <v>973099.29728133942</v>
          </cell>
          <cell r="I1105">
            <v>511469.4444339106</v>
          </cell>
          <cell r="J1105">
            <v>300821.07066957996</v>
          </cell>
          <cell r="K1105">
            <v>388578.25710034987</v>
          </cell>
          <cell r="M1105">
            <v>317901.85503331159</v>
          </cell>
          <cell r="N1105">
            <v>0.83474576271186396</v>
          </cell>
        </row>
        <row r="1106">
          <cell r="A1106">
            <v>2037</v>
          </cell>
          <cell r="B1106" t="str">
            <v>Copper</v>
          </cell>
          <cell r="C1106" t="str">
            <v>Current Measures</v>
          </cell>
          <cell r="D1106" t="str">
            <v>Production potential</v>
          </cell>
          <cell r="E1106" t="str">
            <v>100% CAN</v>
          </cell>
          <cell r="F1106" t="str">
            <v>Integrated</v>
          </cell>
          <cell r="G1106">
            <v>1130192.3701368021</v>
          </cell>
          <cell r="H1106">
            <v>973099.29728133942</v>
          </cell>
          <cell r="I1106">
            <v>812290.51510349091</v>
          </cell>
          <cell r="J1106">
            <v>0</v>
          </cell>
          <cell r="K1106">
            <v>388578.25710034987</v>
          </cell>
          <cell r="M1106">
            <v>317901.85503331118</v>
          </cell>
          <cell r="N1106">
            <v>0.83474576271186396</v>
          </cell>
        </row>
        <row r="1107">
          <cell r="A1107">
            <v>2037</v>
          </cell>
          <cell r="B1107" t="str">
            <v>Copper</v>
          </cell>
          <cell r="C1107" t="str">
            <v>Global Net-zero</v>
          </cell>
          <cell r="D1107" t="str">
            <v>Existing production</v>
          </cell>
          <cell r="E1107" t="str">
            <v>Current shares</v>
          </cell>
          <cell r="F1107" t="str">
            <v>NIMBY</v>
          </cell>
          <cell r="G1107">
            <v>1402619.85449987</v>
          </cell>
          <cell r="H1107">
            <v>0</v>
          </cell>
          <cell r="I1107">
            <v>0</v>
          </cell>
          <cell r="J1107">
            <v>0</v>
          </cell>
          <cell r="K1107">
            <v>1689903.4391564699</v>
          </cell>
          <cell r="M1107">
            <v>1402619.85449987</v>
          </cell>
          <cell r="N1107">
            <v>0.83474576271186396</v>
          </cell>
        </row>
        <row r="1108">
          <cell r="A1108">
            <v>2037</v>
          </cell>
          <cell r="B1108" t="str">
            <v>Copper</v>
          </cell>
          <cell r="C1108" t="str">
            <v>Global Net-zero</v>
          </cell>
          <cell r="D1108" t="str">
            <v>Existing production</v>
          </cell>
          <cell r="E1108" t="str">
            <v>Current shares</v>
          </cell>
          <cell r="F1108" t="str">
            <v>Status Quo</v>
          </cell>
          <cell r="G1108">
            <v>1402619.85449987</v>
          </cell>
          <cell r="H1108">
            <v>216675</v>
          </cell>
          <cell r="I1108">
            <v>113886.262360209</v>
          </cell>
          <cell r="J1108">
            <v>66982.275775384114</v>
          </cell>
          <cell r="K1108">
            <v>1473228.4391564699</v>
          </cell>
          <cell r="M1108">
            <v>1221751.3163642769</v>
          </cell>
          <cell r="N1108">
            <v>0.83474576271186396</v>
          </cell>
        </row>
        <row r="1109">
          <cell r="A1109">
            <v>2037</v>
          </cell>
          <cell r="B1109" t="str">
            <v>Copper</v>
          </cell>
          <cell r="C1109" t="str">
            <v>Global Net-zero</v>
          </cell>
          <cell r="D1109" t="str">
            <v>Production potential</v>
          </cell>
          <cell r="E1109" t="str">
            <v>Current shares</v>
          </cell>
          <cell r="F1109" t="str">
            <v>Expansion Extractive</v>
          </cell>
          <cell r="G1109">
            <v>1402619.85449987</v>
          </cell>
          <cell r="H1109">
            <v>973099.29728133942</v>
          </cell>
          <cell r="I1109">
            <v>511469.4444339106</v>
          </cell>
          <cell r="J1109">
            <v>300821.07066957996</v>
          </cell>
          <cell r="K1109">
            <v>716804.14187513047</v>
          </cell>
          <cell r="M1109">
            <v>590329.33939637942</v>
          </cell>
          <cell r="N1109">
            <v>0.83474576271186396</v>
          </cell>
        </row>
        <row r="1110">
          <cell r="A1110">
            <v>2037</v>
          </cell>
          <cell r="B1110" t="str">
            <v>Copper</v>
          </cell>
          <cell r="C1110" t="str">
            <v>Global Net-zero</v>
          </cell>
          <cell r="D1110" t="str">
            <v>Production potential</v>
          </cell>
          <cell r="E1110" t="str">
            <v>Current shares</v>
          </cell>
          <cell r="F1110" t="str">
            <v>Expansion Extractive+Circularity</v>
          </cell>
          <cell r="G1110">
            <v>1402619.85449987</v>
          </cell>
          <cell r="H1110">
            <v>973099.29728133942</v>
          </cell>
          <cell r="I1110">
            <v>511469.4444339106</v>
          </cell>
          <cell r="J1110">
            <v>300821.07066957996</v>
          </cell>
          <cell r="K1110">
            <v>716804.14187513047</v>
          </cell>
          <cell r="M1110">
            <v>590329.33939637942</v>
          </cell>
          <cell r="N1110">
            <v>0.83474576271186396</v>
          </cell>
        </row>
        <row r="1111">
          <cell r="A1111">
            <v>2037</v>
          </cell>
          <cell r="B1111" t="str">
            <v>Copper</v>
          </cell>
          <cell r="C1111" t="str">
            <v>Global Net-zero</v>
          </cell>
          <cell r="D1111" t="str">
            <v>Production potential</v>
          </cell>
          <cell r="E1111" t="str">
            <v>100% CAN</v>
          </cell>
          <cell r="F1111" t="str">
            <v>Integrated</v>
          </cell>
          <cell r="G1111">
            <v>1402619.85449987</v>
          </cell>
          <cell r="H1111">
            <v>973099.29728133942</v>
          </cell>
          <cell r="I1111">
            <v>812290.51510349091</v>
          </cell>
          <cell r="J1111">
            <v>0</v>
          </cell>
          <cell r="K1111">
            <v>716804.14187513047</v>
          </cell>
          <cell r="M1111">
            <v>590329.33939637907</v>
          </cell>
          <cell r="N1111">
            <v>0.83474576271186396</v>
          </cell>
        </row>
        <row r="1112">
          <cell r="A1112">
            <v>2037</v>
          </cell>
          <cell r="B1112" t="str">
            <v>Neodymium</v>
          </cell>
          <cell r="C1112" t="str">
            <v>Canada Net-zero</v>
          </cell>
          <cell r="D1112" t="str">
            <v>Existing production</v>
          </cell>
          <cell r="E1112" t="str">
            <v>Current shares</v>
          </cell>
          <cell r="F1112" t="str">
            <v>NIMBY</v>
          </cell>
          <cell r="G1112">
            <v>5975.1221443033437</v>
          </cell>
          <cell r="H1112">
            <v>0</v>
          </cell>
          <cell r="I1112">
            <v>0</v>
          </cell>
          <cell r="J1112">
            <v>0</v>
          </cell>
          <cell r="K1112">
            <v>9958.5369071722398</v>
          </cell>
          <cell r="M1112">
            <v>5975.1221443033437</v>
          </cell>
          <cell r="N1112">
            <v>1</v>
          </cell>
        </row>
        <row r="1113">
          <cell r="A1113">
            <v>2037</v>
          </cell>
          <cell r="B1113" t="str">
            <v>Neodymium</v>
          </cell>
          <cell r="C1113" t="str">
            <v>Canada Net-zero</v>
          </cell>
          <cell r="D1113" t="str">
            <v>Existing production</v>
          </cell>
          <cell r="E1113" t="str">
            <v>Current shares</v>
          </cell>
          <cell r="F1113" t="str">
            <v>Status Quo</v>
          </cell>
          <cell r="G1113">
            <v>5975.1221443033437</v>
          </cell>
          <cell r="H1113">
            <v>0</v>
          </cell>
          <cell r="I1113">
            <v>0</v>
          </cell>
          <cell r="J1113">
            <v>0</v>
          </cell>
          <cell r="K1113">
            <v>9958.5369071722398</v>
          </cell>
          <cell r="M1113">
            <v>5975.1221443033437</v>
          </cell>
          <cell r="N1113">
            <v>1</v>
          </cell>
        </row>
        <row r="1114">
          <cell r="A1114">
            <v>2037</v>
          </cell>
          <cell r="B1114" t="str">
            <v>Neodymium</v>
          </cell>
          <cell r="C1114" t="str">
            <v>Canada Net-zero</v>
          </cell>
          <cell r="D1114" t="str">
            <v>Production potential</v>
          </cell>
          <cell r="E1114" t="str">
            <v>Current shares</v>
          </cell>
          <cell r="F1114" t="str">
            <v>Expansion Extractive</v>
          </cell>
          <cell r="G1114">
            <v>5975.1221443033437</v>
          </cell>
          <cell r="H1114">
            <v>157.05645137680381</v>
          </cell>
          <cell r="I1114">
            <v>94.005183124447228</v>
          </cell>
          <cell r="J1114">
            <v>63.051268252356579</v>
          </cell>
          <cell r="K1114">
            <v>9801.4804557954358</v>
          </cell>
          <cell r="M1114">
            <v>5818.0656929265397</v>
          </cell>
          <cell r="N1114">
            <v>1</v>
          </cell>
        </row>
        <row r="1115">
          <cell r="A1115">
            <v>2037</v>
          </cell>
          <cell r="B1115" t="str">
            <v>Neodymium</v>
          </cell>
          <cell r="C1115" t="str">
            <v>Canada Net-zero</v>
          </cell>
          <cell r="D1115" t="str">
            <v>Production potential</v>
          </cell>
          <cell r="E1115" t="str">
            <v>Current shares</v>
          </cell>
          <cell r="F1115" t="str">
            <v>Expansion Extractive+Circularity</v>
          </cell>
          <cell r="G1115">
            <v>5975.1221443033437</v>
          </cell>
          <cell r="H1115">
            <v>157.05645137680381</v>
          </cell>
          <cell r="I1115">
            <v>94.005183124447228</v>
          </cell>
          <cell r="J1115">
            <v>63.051268252356579</v>
          </cell>
          <cell r="K1115">
            <v>9801.4804557954358</v>
          </cell>
          <cell r="M1115">
            <v>5818.0656929265397</v>
          </cell>
          <cell r="N1115">
            <v>1</v>
          </cell>
        </row>
        <row r="1116">
          <cell r="A1116">
            <v>2037</v>
          </cell>
          <cell r="B1116" t="str">
            <v>Neodymium</v>
          </cell>
          <cell r="C1116" t="str">
            <v>Canada Net-zero</v>
          </cell>
          <cell r="D1116" t="str">
            <v>Production potential</v>
          </cell>
          <cell r="E1116" t="str">
            <v>100% CAN</v>
          </cell>
          <cell r="F1116" t="str">
            <v>Integrated</v>
          </cell>
          <cell r="G1116">
            <v>5975.1221443033437</v>
          </cell>
          <cell r="H1116">
            <v>157.05645137680381</v>
          </cell>
          <cell r="I1116">
            <v>94.005183124447228</v>
          </cell>
          <cell r="J1116">
            <v>63.051268252356579</v>
          </cell>
          <cell r="K1116">
            <v>9801.4804557954358</v>
          </cell>
          <cell r="M1116">
            <v>5818.0656929265397</v>
          </cell>
          <cell r="N1116">
            <v>1</v>
          </cell>
        </row>
        <row r="1117">
          <cell r="A1117">
            <v>2037</v>
          </cell>
          <cell r="B1117" t="str">
            <v>Neodymium</v>
          </cell>
          <cell r="C1117" t="str">
            <v>Current Measures</v>
          </cell>
          <cell r="D1117" t="str">
            <v>Existing production</v>
          </cell>
          <cell r="E1117" t="str">
            <v>Current shares</v>
          </cell>
          <cell r="F1117" t="str">
            <v>NIMBY</v>
          </cell>
          <cell r="G1117">
            <v>1928.421284278415</v>
          </cell>
          <cell r="H1117">
            <v>0</v>
          </cell>
          <cell r="I1117">
            <v>0</v>
          </cell>
          <cell r="J1117">
            <v>0</v>
          </cell>
          <cell r="K1117">
            <v>3214.035473797358</v>
          </cell>
          <cell r="M1117">
            <v>1928.421284278415</v>
          </cell>
          <cell r="N1117">
            <v>1</v>
          </cell>
        </row>
        <row r="1118">
          <cell r="A1118">
            <v>2037</v>
          </cell>
          <cell r="B1118" t="str">
            <v>Neodymium</v>
          </cell>
          <cell r="C1118" t="str">
            <v>Current Measures</v>
          </cell>
          <cell r="D1118" t="str">
            <v>Existing production</v>
          </cell>
          <cell r="E1118" t="str">
            <v>Current shares</v>
          </cell>
          <cell r="F1118" t="str">
            <v>Status Quo</v>
          </cell>
          <cell r="G1118">
            <v>1928.421284278415</v>
          </cell>
          <cell r="H1118">
            <v>0</v>
          </cell>
          <cell r="I1118">
            <v>0</v>
          </cell>
          <cell r="J1118">
            <v>0</v>
          </cell>
          <cell r="K1118">
            <v>3214.035473797358</v>
          </cell>
          <cell r="M1118">
            <v>1928.421284278415</v>
          </cell>
          <cell r="N1118">
            <v>1</v>
          </cell>
        </row>
        <row r="1119">
          <cell r="A1119">
            <v>2037</v>
          </cell>
          <cell r="B1119" t="str">
            <v>Neodymium</v>
          </cell>
          <cell r="C1119" t="str">
            <v>Current Measures</v>
          </cell>
          <cell r="D1119" t="str">
            <v>Production potential</v>
          </cell>
          <cell r="E1119" t="str">
            <v>Current shares</v>
          </cell>
          <cell r="F1119" t="str">
            <v>Expansion Extractive</v>
          </cell>
          <cell r="G1119">
            <v>1928.421284278415</v>
          </cell>
          <cell r="H1119">
            <v>157.05645137680381</v>
          </cell>
          <cell r="I1119">
            <v>94.005183124447228</v>
          </cell>
          <cell r="J1119">
            <v>63.051268252356579</v>
          </cell>
          <cell r="K1119">
            <v>3056.979022420554</v>
          </cell>
          <cell r="M1119">
            <v>1771.3648329016114</v>
          </cell>
          <cell r="N1119">
            <v>1</v>
          </cell>
        </row>
        <row r="1120">
          <cell r="A1120">
            <v>2037</v>
          </cell>
          <cell r="B1120" t="str">
            <v>Neodymium</v>
          </cell>
          <cell r="C1120" t="str">
            <v>Current Measures</v>
          </cell>
          <cell r="D1120" t="str">
            <v>Production potential</v>
          </cell>
          <cell r="E1120" t="str">
            <v>Current shares</v>
          </cell>
          <cell r="F1120" t="str">
            <v>Expansion Extractive+Circularity</v>
          </cell>
          <cell r="G1120">
            <v>1928.421284278415</v>
          </cell>
          <cell r="H1120">
            <v>157.05645137680381</v>
          </cell>
          <cell r="I1120">
            <v>94.005183124447228</v>
          </cell>
          <cell r="J1120">
            <v>63.051268252356579</v>
          </cell>
          <cell r="K1120">
            <v>3056.979022420554</v>
          </cell>
          <cell r="M1120">
            <v>1771.3648329016114</v>
          </cell>
          <cell r="N1120">
            <v>1</v>
          </cell>
        </row>
        <row r="1121">
          <cell r="A1121">
            <v>2037</v>
          </cell>
          <cell r="B1121" t="str">
            <v>Neodymium</v>
          </cell>
          <cell r="C1121" t="str">
            <v>Current Measures</v>
          </cell>
          <cell r="D1121" t="str">
            <v>Production potential</v>
          </cell>
          <cell r="E1121" t="str">
            <v>100% CAN</v>
          </cell>
          <cell r="F1121" t="str">
            <v>Integrated</v>
          </cell>
          <cell r="G1121">
            <v>1928.421284278415</v>
          </cell>
          <cell r="H1121">
            <v>157.05645137680381</v>
          </cell>
          <cell r="I1121">
            <v>94.005183124447228</v>
          </cell>
          <cell r="J1121">
            <v>63.051268252356579</v>
          </cell>
          <cell r="K1121">
            <v>3056.979022420554</v>
          </cell>
          <cell r="M1121">
            <v>1771.3648329016114</v>
          </cell>
          <cell r="N1121">
            <v>1</v>
          </cell>
        </row>
        <row r="1122">
          <cell r="A1122">
            <v>2037</v>
          </cell>
          <cell r="B1122" t="str">
            <v>Neodymium</v>
          </cell>
          <cell r="C1122" t="str">
            <v>Global Net-zero</v>
          </cell>
          <cell r="D1122" t="str">
            <v>Existing production</v>
          </cell>
          <cell r="E1122" t="str">
            <v>Current shares</v>
          </cell>
          <cell r="F1122" t="str">
            <v>NIMBY</v>
          </cell>
          <cell r="G1122">
            <v>5732.0456775822131</v>
          </cell>
          <cell r="H1122">
            <v>0</v>
          </cell>
          <cell r="I1122">
            <v>0</v>
          </cell>
          <cell r="J1122">
            <v>0</v>
          </cell>
          <cell r="K1122">
            <v>9553.4094626370224</v>
          </cell>
          <cell r="M1122">
            <v>5732.0456775822131</v>
          </cell>
          <cell r="N1122">
            <v>1</v>
          </cell>
        </row>
        <row r="1123">
          <cell r="A1123">
            <v>2037</v>
          </cell>
          <cell r="B1123" t="str">
            <v>Neodymium</v>
          </cell>
          <cell r="C1123" t="str">
            <v>Global Net-zero</v>
          </cell>
          <cell r="D1123" t="str">
            <v>Existing production</v>
          </cell>
          <cell r="E1123" t="str">
            <v>Current shares</v>
          </cell>
          <cell r="F1123" t="str">
            <v>Status Quo</v>
          </cell>
          <cell r="G1123">
            <v>5732.0456775822131</v>
          </cell>
          <cell r="H1123">
            <v>0</v>
          </cell>
          <cell r="I1123">
            <v>0</v>
          </cell>
          <cell r="J1123">
            <v>0</v>
          </cell>
          <cell r="K1123">
            <v>9553.4094626370224</v>
          </cell>
          <cell r="M1123">
            <v>5732.0456775822131</v>
          </cell>
          <cell r="N1123">
            <v>1</v>
          </cell>
        </row>
        <row r="1124">
          <cell r="A1124">
            <v>2037</v>
          </cell>
          <cell r="B1124" t="str">
            <v>Neodymium</v>
          </cell>
          <cell r="C1124" t="str">
            <v>Global Net-zero</v>
          </cell>
          <cell r="D1124" t="str">
            <v>Production potential</v>
          </cell>
          <cell r="E1124" t="str">
            <v>Current shares</v>
          </cell>
          <cell r="F1124" t="str">
            <v>Expansion Extractive</v>
          </cell>
          <cell r="G1124">
            <v>5732.0456775822131</v>
          </cell>
          <cell r="H1124">
            <v>157.05645137680381</v>
          </cell>
          <cell r="I1124">
            <v>94.005183124447228</v>
          </cell>
          <cell r="J1124">
            <v>63.051268252356579</v>
          </cell>
          <cell r="K1124">
            <v>9396.3530112602184</v>
          </cell>
          <cell r="M1124">
            <v>5574.9892262054091</v>
          </cell>
          <cell r="N1124">
            <v>1</v>
          </cell>
        </row>
        <row r="1125">
          <cell r="A1125">
            <v>2037</v>
          </cell>
          <cell r="B1125" t="str">
            <v>Neodymium</v>
          </cell>
          <cell r="C1125" t="str">
            <v>Global Net-zero</v>
          </cell>
          <cell r="D1125" t="str">
            <v>Production potential</v>
          </cell>
          <cell r="E1125" t="str">
            <v>Current shares</v>
          </cell>
          <cell r="F1125" t="str">
            <v>Expansion Extractive+Circularity</v>
          </cell>
          <cell r="G1125">
            <v>5732.0456775822131</v>
          </cell>
          <cell r="H1125">
            <v>157.05645137680381</v>
          </cell>
          <cell r="I1125">
            <v>94.005183124447228</v>
          </cell>
          <cell r="J1125">
            <v>63.051268252356579</v>
          </cell>
          <cell r="K1125">
            <v>9396.3530112602184</v>
          </cell>
          <cell r="M1125">
            <v>5574.9892262054091</v>
          </cell>
          <cell r="N1125">
            <v>1</v>
          </cell>
        </row>
        <row r="1126">
          <cell r="A1126">
            <v>2037</v>
          </cell>
          <cell r="B1126" t="str">
            <v>Neodymium</v>
          </cell>
          <cell r="C1126" t="str">
            <v>Global Net-zero</v>
          </cell>
          <cell r="D1126" t="str">
            <v>Production potential</v>
          </cell>
          <cell r="E1126" t="str">
            <v>100% CAN</v>
          </cell>
          <cell r="F1126" t="str">
            <v>Integrated</v>
          </cell>
          <cell r="G1126">
            <v>5732.0456775822131</v>
          </cell>
          <cell r="H1126">
            <v>157.05645137680381</v>
          </cell>
          <cell r="I1126">
            <v>94.005183124447228</v>
          </cell>
          <cell r="J1126">
            <v>63.051268252356579</v>
          </cell>
          <cell r="K1126">
            <v>9396.3530112602184</v>
          </cell>
          <cell r="M1126">
            <v>5574.9892262054091</v>
          </cell>
          <cell r="N1126">
            <v>1</v>
          </cell>
        </row>
        <row r="1127">
          <cell r="A1127">
            <v>2037</v>
          </cell>
          <cell r="B1127" t="str">
            <v>Nickel</v>
          </cell>
          <cell r="C1127" t="str">
            <v>Canada Net-zero</v>
          </cell>
          <cell r="D1127" t="str">
            <v>Existing production</v>
          </cell>
          <cell r="E1127" t="str">
            <v>Current shares</v>
          </cell>
          <cell r="F1127" t="str">
            <v>NIMBY</v>
          </cell>
          <cell r="G1127">
            <v>177436.22424093171</v>
          </cell>
          <cell r="H1127">
            <v>0</v>
          </cell>
          <cell r="I1127">
            <v>0</v>
          </cell>
          <cell r="J1127">
            <v>0</v>
          </cell>
          <cell r="K1127">
            <v>224602.81549485019</v>
          </cell>
          <cell r="M1127">
            <v>177436.22424093171</v>
          </cell>
          <cell r="N1127">
            <v>0.69917047091553897</v>
          </cell>
        </row>
        <row r="1128">
          <cell r="A1128">
            <v>2037</v>
          </cell>
          <cell r="B1128" t="str">
            <v>Nickel</v>
          </cell>
          <cell r="C1128" t="str">
            <v>Canada Net-zero</v>
          </cell>
          <cell r="D1128" t="str">
            <v>Existing production</v>
          </cell>
          <cell r="E1128" t="str">
            <v>Current shares</v>
          </cell>
          <cell r="F1128" t="str">
            <v>Status Quo</v>
          </cell>
          <cell r="G1128">
            <v>177436.22424093171</v>
          </cell>
          <cell r="H1128">
            <v>82660</v>
          </cell>
          <cell r="I1128">
            <v>46362.344345082623</v>
          </cell>
          <cell r="J1128">
            <v>11431.086780795828</v>
          </cell>
          <cell r="K1128">
            <v>141942.81549485019</v>
          </cell>
          <cell r="M1128">
            <v>119642.79311505327</v>
          </cell>
          <cell r="N1128">
            <v>0.69917047091553897</v>
          </cell>
        </row>
        <row r="1129">
          <cell r="A1129">
            <v>2037</v>
          </cell>
          <cell r="B1129" t="str">
            <v>Nickel</v>
          </cell>
          <cell r="C1129" t="str">
            <v>Canada Net-zero</v>
          </cell>
          <cell r="D1129" t="str">
            <v>Production potential</v>
          </cell>
          <cell r="E1129" t="str">
            <v>Current shares</v>
          </cell>
          <cell r="F1129" t="str">
            <v>Expansion Extractive</v>
          </cell>
          <cell r="G1129">
            <v>177436.22424093171</v>
          </cell>
          <cell r="H1129">
            <v>246851.46808035299</v>
          </cell>
          <cell r="I1129">
            <v>138454.06200375629</v>
          </cell>
          <cell r="J1129">
            <v>34137.195180176233</v>
          </cell>
          <cell r="K1129">
            <v>0</v>
          </cell>
          <cell r="M1129">
            <v>4844.9670569991576</v>
          </cell>
          <cell r="N1129">
            <v>0.69917047091553897</v>
          </cell>
        </row>
        <row r="1130">
          <cell r="A1130">
            <v>2037</v>
          </cell>
          <cell r="B1130" t="str">
            <v>Nickel</v>
          </cell>
          <cell r="C1130" t="str">
            <v>Canada Net-zero</v>
          </cell>
          <cell r="D1130" t="str">
            <v>Production potential</v>
          </cell>
          <cell r="E1130" t="str">
            <v>Current shares</v>
          </cell>
          <cell r="F1130" t="str">
            <v>Expansion Extractive+Circularity</v>
          </cell>
          <cell r="G1130">
            <v>177436.22424093171</v>
          </cell>
          <cell r="H1130">
            <v>246851.46808035299</v>
          </cell>
          <cell r="I1130">
            <v>138454.06200375629</v>
          </cell>
          <cell r="J1130">
            <v>34137.195180176233</v>
          </cell>
          <cell r="K1130">
            <v>0</v>
          </cell>
          <cell r="M1130">
            <v>4844.9670569991576</v>
          </cell>
          <cell r="N1130">
            <v>0.69917047091553897</v>
          </cell>
        </row>
        <row r="1131">
          <cell r="A1131">
            <v>2037</v>
          </cell>
          <cell r="B1131" t="str">
            <v>Nickel</v>
          </cell>
          <cell r="C1131" t="str">
            <v>Canada Net-zero</v>
          </cell>
          <cell r="D1131" t="str">
            <v>Production potential</v>
          </cell>
          <cell r="E1131" t="str">
            <v>100% CAN</v>
          </cell>
          <cell r="F1131" t="str">
            <v>Integrated</v>
          </cell>
          <cell r="G1131">
            <v>177436.22424093171</v>
          </cell>
          <cell r="H1131">
            <v>246851.46808035299</v>
          </cell>
          <cell r="I1131">
            <v>194409.10716824781</v>
          </cell>
          <cell r="J1131">
            <v>-21817.849984315282</v>
          </cell>
          <cell r="K1131">
            <v>0</v>
          </cell>
          <cell r="M1131">
            <v>21817.849984315282</v>
          </cell>
          <cell r="N1131">
            <v>0.69917047091553897</v>
          </cell>
        </row>
        <row r="1132">
          <cell r="A1132">
            <v>2037</v>
          </cell>
          <cell r="B1132" t="str">
            <v>Nickel</v>
          </cell>
          <cell r="C1132" t="str">
            <v>Current Measures</v>
          </cell>
          <cell r="D1132" t="str">
            <v>Existing production</v>
          </cell>
          <cell r="E1132" t="str">
            <v>Current shares</v>
          </cell>
          <cell r="F1132" t="str">
            <v>NIMBY</v>
          </cell>
          <cell r="G1132">
            <v>69481.842507553956</v>
          </cell>
          <cell r="H1132">
            <v>0</v>
          </cell>
          <cell r="I1132">
            <v>0</v>
          </cell>
          <cell r="J1132">
            <v>0</v>
          </cell>
          <cell r="K1132">
            <v>87951.699376650577</v>
          </cell>
          <cell r="M1132">
            <v>69481.842507553956</v>
          </cell>
          <cell r="N1132">
            <v>0.69917047091553897</v>
          </cell>
        </row>
        <row r="1133">
          <cell r="A1133">
            <v>2037</v>
          </cell>
          <cell r="B1133" t="str">
            <v>Nickel</v>
          </cell>
          <cell r="C1133" t="str">
            <v>Current Measures</v>
          </cell>
          <cell r="D1133" t="str">
            <v>Existing production</v>
          </cell>
          <cell r="E1133" t="str">
            <v>Current shares</v>
          </cell>
          <cell r="F1133" t="str">
            <v>Status Quo</v>
          </cell>
          <cell r="G1133">
            <v>69481.842507553956</v>
          </cell>
          <cell r="H1133">
            <v>82660</v>
          </cell>
          <cell r="I1133">
            <v>46362.344345082623</v>
          </cell>
          <cell r="J1133">
            <v>11431.086780795828</v>
          </cell>
          <cell r="K1133">
            <v>5291.6993766505766</v>
          </cell>
          <cell r="M1133">
            <v>11688.411381675502</v>
          </cell>
          <cell r="N1133">
            <v>0.69917047091553897</v>
          </cell>
        </row>
        <row r="1134">
          <cell r="A1134">
            <v>2037</v>
          </cell>
          <cell r="B1134" t="str">
            <v>Nickel</v>
          </cell>
          <cell r="C1134" t="str">
            <v>Current Measures</v>
          </cell>
          <cell r="D1134" t="str">
            <v>Production potential</v>
          </cell>
          <cell r="E1134" t="str">
            <v>Current shares</v>
          </cell>
          <cell r="F1134" t="str">
            <v>Expansion Extractive</v>
          </cell>
          <cell r="G1134">
            <v>69481.842507553956</v>
          </cell>
          <cell r="H1134">
            <v>246851.46808035299</v>
          </cell>
          <cell r="I1134">
            <v>138454.06200375629</v>
          </cell>
          <cell r="J1134">
            <v>34137.195180176233</v>
          </cell>
          <cell r="K1134">
            <v>0</v>
          </cell>
          <cell r="M1134">
            <v>0</v>
          </cell>
          <cell r="N1134">
            <v>0.69917047091553897</v>
          </cell>
        </row>
        <row r="1135">
          <cell r="A1135">
            <v>2037</v>
          </cell>
          <cell r="B1135" t="str">
            <v>Nickel</v>
          </cell>
          <cell r="C1135" t="str">
            <v>Current Measures</v>
          </cell>
          <cell r="D1135" t="str">
            <v>Production potential</v>
          </cell>
          <cell r="E1135" t="str">
            <v>Current shares</v>
          </cell>
          <cell r="F1135" t="str">
            <v>Expansion Extractive+Circularity</v>
          </cell>
          <cell r="G1135">
            <v>69481.842507553956</v>
          </cell>
          <cell r="H1135">
            <v>246851.46808035299</v>
          </cell>
          <cell r="I1135">
            <v>138454.06200375629</v>
          </cell>
          <cell r="J1135">
            <v>34137.195180176233</v>
          </cell>
          <cell r="K1135">
            <v>0</v>
          </cell>
          <cell r="M1135">
            <v>0</v>
          </cell>
          <cell r="N1135">
            <v>0.69917047091553897</v>
          </cell>
        </row>
        <row r="1136">
          <cell r="A1136">
            <v>2037</v>
          </cell>
          <cell r="B1136" t="str">
            <v>Nickel</v>
          </cell>
          <cell r="C1136" t="str">
            <v>Current Measures</v>
          </cell>
          <cell r="D1136" t="str">
            <v>Production potential</v>
          </cell>
          <cell r="E1136" t="str">
            <v>100% CAN</v>
          </cell>
          <cell r="F1136" t="str">
            <v>Integrated</v>
          </cell>
          <cell r="G1136">
            <v>69481.842507553956</v>
          </cell>
          <cell r="H1136">
            <v>246851.46808035299</v>
          </cell>
          <cell r="I1136">
            <v>194409.10716824781</v>
          </cell>
          <cell r="J1136">
            <v>-21817.849984315282</v>
          </cell>
          <cell r="K1136">
            <v>0</v>
          </cell>
          <cell r="M1136">
            <v>21817.849984315282</v>
          </cell>
          <cell r="N1136">
            <v>0.69917047091553897</v>
          </cell>
        </row>
        <row r="1137">
          <cell r="A1137">
            <v>2037</v>
          </cell>
          <cell r="B1137" t="str">
            <v>Nickel</v>
          </cell>
          <cell r="C1137" t="str">
            <v>Global Net-zero</v>
          </cell>
          <cell r="D1137" t="str">
            <v>Existing production</v>
          </cell>
          <cell r="E1137" t="str">
            <v>Current shares</v>
          </cell>
          <cell r="F1137" t="str">
            <v>NIMBY</v>
          </cell>
          <cell r="G1137">
            <v>170535.0212582692</v>
          </cell>
          <cell r="H1137">
            <v>0</v>
          </cell>
          <cell r="I1137">
            <v>0</v>
          </cell>
          <cell r="J1137">
            <v>0</v>
          </cell>
          <cell r="K1137">
            <v>215867.11551679639</v>
          </cell>
          <cell r="M1137">
            <v>170535.0212582692</v>
          </cell>
          <cell r="N1137">
            <v>0.69917047091553897</v>
          </cell>
        </row>
        <row r="1138">
          <cell r="A1138">
            <v>2037</v>
          </cell>
          <cell r="B1138" t="str">
            <v>Nickel</v>
          </cell>
          <cell r="C1138" t="str">
            <v>Global Net-zero</v>
          </cell>
          <cell r="D1138" t="str">
            <v>Existing production</v>
          </cell>
          <cell r="E1138" t="str">
            <v>Current shares</v>
          </cell>
          <cell r="F1138" t="str">
            <v>Status Quo</v>
          </cell>
          <cell r="G1138">
            <v>170535.0212582692</v>
          </cell>
          <cell r="H1138">
            <v>82660</v>
          </cell>
          <cell r="I1138">
            <v>46362.344345082623</v>
          </cell>
          <cell r="J1138">
            <v>11431.086780795828</v>
          </cell>
          <cell r="K1138">
            <v>133207.11551679639</v>
          </cell>
          <cell r="M1138">
            <v>112741.59013239077</v>
          </cell>
          <cell r="N1138">
            <v>0.69917047091553897</v>
          </cell>
        </row>
        <row r="1139">
          <cell r="A1139">
            <v>2037</v>
          </cell>
          <cell r="B1139" t="str">
            <v>Nickel</v>
          </cell>
          <cell r="C1139" t="str">
            <v>Global Net-zero</v>
          </cell>
          <cell r="D1139" t="str">
            <v>Production potential</v>
          </cell>
          <cell r="E1139" t="str">
            <v>Current shares</v>
          </cell>
          <cell r="F1139" t="str">
            <v>Expansion Extractive</v>
          </cell>
          <cell r="G1139">
            <v>170535.0212582692</v>
          </cell>
          <cell r="H1139">
            <v>246851.46808035299</v>
          </cell>
          <cell r="I1139">
            <v>138454.06200375629</v>
          </cell>
          <cell r="J1139">
            <v>34137.195180176233</v>
          </cell>
          <cell r="K1139">
            <v>0</v>
          </cell>
          <cell r="M1139">
            <v>0</v>
          </cell>
          <cell r="N1139">
            <v>0.69917047091553897</v>
          </cell>
        </row>
        <row r="1140">
          <cell r="A1140">
            <v>2037</v>
          </cell>
          <cell r="B1140" t="str">
            <v>Nickel</v>
          </cell>
          <cell r="C1140" t="str">
            <v>Global Net-zero</v>
          </cell>
          <cell r="D1140" t="str">
            <v>Production potential</v>
          </cell>
          <cell r="E1140" t="str">
            <v>Current shares</v>
          </cell>
          <cell r="F1140" t="str">
            <v>Expansion Extractive+Circularity</v>
          </cell>
          <cell r="G1140">
            <v>170535.0212582692</v>
          </cell>
          <cell r="H1140">
            <v>246851.46808035299</v>
          </cell>
          <cell r="I1140">
            <v>138454.06200375629</v>
          </cell>
          <cell r="J1140">
            <v>34137.195180176233</v>
          </cell>
          <cell r="K1140">
            <v>0</v>
          </cell>
          <cell r="M1140">
            <v>0</v>
          </cell>
          <cell r="N1140">
            <v>0.69917047091553897</v>
          </cell>
        </row>
        <row r="1141">
          <cell r="A1141">
            <v>2037</v>
          </cell>
          <cell r="B1141" t="str">
            <v>Nickel</v>
          </cell>
          <cell r="C1141" t="str">
            <v>Global Net-zero</v>
          </cell>
          <cell r="D1141" t="str">
            <v>Production potential</v>
          </cell>
          <cell r="E1141" t="str">
            <v>100% CAN</v>
          </cell>
          <cell r="F1141" t="str">
            <v>Integrated</v>
          </cell>
          <cell r="G1141">
            <v>170535.0212582692</v>
          </cell>
          <cell r="H1141">
            <v>246851.46808035299</v>
          </cell>
          <cell r="I1141">
            <v>194409.10716824781</v>
          </cell>
          <cell r="J1141">
            <v>-21817.849984315282</v>
          </cell>
          <cell r="K1141">
            <v>0</v>
          </cell>
          <cell r="M1141">
            <v>21817.849984315282</v>
          </cell>
          <cell r="N1141">
            <v>0.69917047091553897</v>
          </cell>
        </row>
        <row r="1142">
          <cell r="A1142">
            <v>2037</v>
          </cell>
          <cell r="B1142" t="str">
            <v>Graphite</v>
          </cell>
          <cell r="C1142" t="str">
            <v>Canada Net-zero</v>
          </cell>
          <cell r="D1142" t="str">
            <v>Existing production</v>
          </cell>
          <cell r="E1142" t="str">
            <v>Current shares</v>
          </cell>
          <cell r="F1142" t="str">
            <v>NIMBY</v>
          </cell>
          <cell r="G1142">
            <v>3230.4798003226651</v>
          </cell>
          <cell r="H1142">
            <v>0</v>
          </cell>
          <cell r="I1142">
            <v>0</v>
          </cell>
          <cell r="J1142">
            <v>0</v>
          </cell>
          <cell r="K1142">
            <v>3230.4798003226651</v>
          </cell>
          <cell r="M1142">
            <v>3230.4798003226651</v>
          </cell>
          <cell r="N1142">
            <v>0.59854391398996798</v>
          </cell>
        </row>
        <row r="1143">
          <cell r="A1143">
            <v>2037</v>
          </cell>
          <cell r="B1143" t="str">
            <v>Graphite</v>
          </cell>
          <cell r="C1143" t="str">
            <v>Canada Net-zero</v>
          </cell>
          <cell r="D1143" t="str">
            <v>Existing production</v>
          </cell>
          <cell r="E1143" t="str">
            <v>Current shares</v>
          </cell>
          <cell r="F1143" t="str">
            <v>Status Quo</v>
          </cell>
          <cell r="G1143">
            <v>3230.4798003226651</v>
          </cell>
          <cell r="H1143">
            <v>0</v>
          </cell>
          <cell r="I1143">
            <v>0</v>
          </cell>
          <cell r="J1143">
            <v>0</v>
          </cell>
          <cell r="K1143">
            <v>3230.4798003226651</v>
          </cell>
          <cell r="M1143">
            <v>3230.4798003226651</v>
          </cell>
          <cell r="N1143">
            <v>0.59854391398996798</v>
          </cell>
        </row>
        <row r="1144">
          <cell r="A1144">
            <v>2037</v>
          </cell>
          <cell r="B1144" t="str">
            <v>Graphite</v>
          </cell>
          <cell r="C1144" t="str">
            <v>Canada Net-zero</v>
          </cell>
          <cell r="D1144" t="str">
            <v>Production potential</v>
          </cell>
          <cell r="E1144" t="str">
            <v>Current shares</v>
          </cell>
          <cell r="F1144" t="str">
            <v>Expansion Extractive</v>
          </cell>
          <cell r="G1144">
            <v>3230.4798003226651</v>
          </cell>
          <cell r="H1144">
            <v>227739.74804021401</v>
          </cell>
          <cell r="I1144">
            <v>75154.116853270636</v>
          </cell>
          <cell r="J1144">
            <v>61158.123309808187</v>
          </cell>
          <cell r="K1144">
            <v>0</v>
          </cell>
          <cell r="M1144">
            <v>0</v>
          </cell>
          <cell r="N1144">
            <v>0.59854391398996798</v>
          </cell>
        </row>
        <row r="1145">
          <cell r="A1145">
            <v>2037</v>
          </cell>
          <cell r="B1145" t="str">
            <v>Graphite</v>
          </cell>
          <cell r="C1145" t="str">
            <v>Canada Net-zero</v>
          </cell>
          <cell r="D1145" t="str">
            <v>Production potential</v>
          </cell>
          <cell r="E1145" t="str">
            <v>Current shares</v>
          </cell>
          <cell r="F1145" t="str">
            <v>Expansion Extractive+Circularity</v>
          </cell>
          <cell r="G1145">
            <v>3230.4798003226651</v>
          </cell>
          <cell r="H1145">
            <v>227739.74804021401</v>
          </cell>
          <cell r="I1145">
            <v>75154.116853270636</v>
          </cell>
          <cell r="J1145">
            <v>61158.123309808187</v>
          </cell>
          <cell r="K1145">
            <v>0</v>
          </cell>
          <cell r="M1145">
            <v>0</v>
          </cell>
          <cell r="N1145">
            <v>0.59854391398996798</v>
          </cell>
        </row>
        <row r="1146">
          <cell r="A1146">
            <v>2037</v>
          </cell>
          <cell r="B1146" t="str">
            <v>Graphite</v>
          </cell>
          <cell r="C1146" t="str">
            <v>Canada Net-zero</v>
          </cell>
          <cell r="D1146" t="str">
            <v>Production potential</v>
          </cell>
          <cell r="E1146" t="str">
            <v>100% CAN</v>
          </cell>
          <cell r="F1146" t="str">
            <v>Integrated</v>
          </cell>
          <cell r="G1146">
            <v>3230.4798003226651</v>
          </cell>
          <cell r="H1146">
            <v>227739.74804021401</v>
          </cell>
          <cell r="I1146">
            <v>75154.116853270636</v>
          </cell>
          <cell r="J1146">
            <v>61158.123309808187</v>
          </cell>
          <cell r="K1146">
            <v>0</v>
          </cell>
          <cell r="M1146">
            <v>0</v>
          </cell>
          <cell r="N1146">
            <v>0.59854391398996798</v>
          </cell>
        </row>
        <row r="1147">
          <cell r="A1147">
            <v>2037</v>
          </cell>
          <cell r="B1147" t="str">
            <v>Graphite</v>
          </cell>
          <cell r="C1147" t="str">
            <v>Current Measures</v>
          </cell>
          <cell r="D1147" t="str">
            <v>Existing production</v>
          </cell>
          <cell r="E1147" t="str">
            <v>Current shares</v>
          </cell>
          <cell r="F1147" t="str">
            <v>NIMBY</v>
          </cell>
          <cell r="G1147">
            <v>1189.986753633372</v>
          </cell>
          <cell r="H1147">
            <v>0</v>
          </cell>
          <cell r="I1147">
            <v>0</v>
          </cell>
          <cell r="J1147">
            <v>0</v>
          </cell>
          <cell r="K1147">
            <v>1189.986753633372</v>
          </cell>
          <cell r="M1147">
            <v>1189.986753633372</v>
          </cell>
          <cell r="N1147">
            <v>0.59854391398996798</v>
          </cell>
        </row>
        <row r="1148">
          <cell r="A1148">
            <v>2037</v>
          </cell>
          <cell r="B1148" t="str">
            <v>Graphite</v>
          </cell>
          <cell r="C1148" t="str">
            <v>Current Measures</v>
          </cell>
          <cell r="D1148" t="str">
            <v>Existing production</v>
          </cell>
          <cell r="E1148" t="str">
            <v>Current shares</v>
          </cell>
          <cell r="F1148" t="str">
            <v>Status Quo</v>
          </cell>
          <cell r="G1148">
            <v>1189.986753633372</v>
          </cell>
          <cell r="H1148">
            <v>0</v>
          </cell>
          <cell r="I1148">
            <v>0</v>
          </cell>
          <cell r="J1148">
            <v>0</v>
          </cell>
          <cell r="K1148">
            <v>1189.986753633372</v>
          </cell>
          <cell r="M1148">
            <v>1189.986753633372</v>
          </cell>
          <cell r="N1148">
            <v>0.59854391398996798</v>
          </cell>
        </row>
        <row r="1149">
          <cell r="A1149">
            <v>2037</v>
          </cell>
          <cell r="B1149" t="str">
            <v>Graphite</v>
          </cell>
          <cell r="C1149" t="str">
            <v>Current Measures</v>
          </cell>
          <cell r="D1149" t="str">
            <v>Production potential</v>
          </cell>
          <cell r="E1149" t="str">
            <v>Current shares</v>
          </cell>
          <cell r="F1149" t="str">
            <v>Expansion Extractive</v>
          </cell>
          <cell r="G1149">
            <v>1189.986753633372</v>
          </cell>
          <cell r="H1149">
            <v>227739.74804021401</v>
          </cell>
          <cell r="I1149">
            <v>75154.116853270636</v>
          </cell>
          <cell r="J1149">
            <v>61158.123309808187</v>
          </cell>
          <cell r="K1149">
            <v>0</v>
          </cell>
          <cell r="M1149">
            <v>0</v>
          </cell>
          <cell r="N1149">
            <v>0.59854391398996798</v>
          </cell>
        </row>
        <row r="1150">
          <cell r="A1150">
            <v>2037</v>
          </cell>
          <cell r="B1150" t="str">
            <v>Graphite</v>
          </cell>
          <cell r="C1150" t="str">
            <v>Current Measures</v>
          </cell>
          <cell r="D1150" t="str">
            <v>Production potential</v>
          </cell>
          <cell r="E1150" t="str">
            <v>Current shares</v>
          </cell>
          <cell r="F1150" t="str">
            <v>Expansion Extractive+Circularity</v>
          </cell>
          <cell r="G1150">
            <v>1189.986753633372</v>
          </cell>
          <cell r="H1150">
            <v>227739.74804021401</v>
          </cell>
          <cell r="I1150">
            <v>75154.116853270636</v>
          </cell>
          <cell r="J1150">
            <v>61158.123309808187</v>
          </cell>
          <cell r="K1150">
            <v>0</v>
          </cell>
          <cell r="M1150">
            <v>0</v>
          </cell>
          <cell r="N1150">
            <v>0.59854391398996798</v>
          </cell>
        </row>
        <row r="1151">
          <cell r="A1151">
            <v>2037</v>
          </cell>
          <cell r="B1151" t="str">
            <v>Graphite</v>
          </cell>
          <cell r="C1151" t="str">
            <v>Current Measures</v>
          </cell>
          <cell r="D1151" t="str">
            <v>Production potential</v>
          </cell>
          <cell r="E1151" t="str">
            <v>100% CAN</v>
          </cell>
          <cell r="F1151" t="str">
            <v>Integrated</v>
          </cell>
          <cell r="G1151">
            <v>1189.986753633372</v>
          </cell>
          <cell r="H1151">
            <v>227739.74804021401</v>
          </cell>
          <cell r="I1151">
            <v>75154.116853270636</v>
          </cell>
          <cell r="J1151">
            <v>61158.123309808187</v>
          </cell>
          <cell r="K1151">
            <v>0</v>
          </cell>
          <cell r="M1151">
            <v>0</v>
          </cell>
          <cell r="N1151">
            <v>0.59854391398996798</v>
          </cell>
        </row>
        <row r="1152">
          <cell r="A1152">
            <v>2037</v>
          </cell>
          <cell r="B1152" t="str">
            <v>Graphite</v>
          </cell>
          <cell r="C1152" t="str">
            <v>Global Net-zero</v>
          </cell>
          <cell r="D1152" t="str">
            <v>Existing production</v>
          </cell>
          <cell r="E1152" t="str">
            <v>Current shares</v>
          </cell>
          <cell r="F1152" t="str">
            <v>NIMBY</v>
          </cell>
          <cell r="G1152">
            <v>3080.4826094202749</v>
          </cell>
          <cell r="H1152">
            <v>0</v>
          </cell>
          <cell r="I1152">
            <v>0</v>
          </cell>
          <cell r="J1152">
            <v>0</v>
          </cell>
          <cell r="K1152">
            <v>3080.4826094202749</v>
          </cell>
          <cell r="M1152">
            <v>3080.4826094202749</v>
          </cell>
          <cell r="N1152">
            <v>0.59854391398996798</v>
          </cell>
        </row>
        <row r="1153">
          <cell r="A1153">
            <v>2037</v>
          </cell>
          <cell r="B1153" t="str">
            <v>Graphite</v>
          </cell>
          <cell r="C1153" t="str">
            <v>Global Net-zero</v>
          </cell>
          <cell r="D1153" t="str">
            <v>Existing production</v>
          </cell>
          <cell r="E1153" t="str">
            <v>Current shares</v>
          </cell>
          <cell r="F1153" t="str">
            <v>Status Quo</v>
          </cell>
          <cell r="G1153">
            <v>3080.4826094202749</v>
          </cell>
          <cell r="H1153">
            <v>0</v>
          </cell>
          <cell r="I1153">
            <v>0</v>
          </cell>
          <cell r="J1153">
            <v>0</v>
          </cell>
          <cell r="K1153">
            <v>3080.4826094202749</v>
          </cell>
          <cell r="M1153">
            <v>3080.4826094202749</v>
          </cell>
          <cell r="N1153">
            <v>0.59854391398996798</v>
          </cell>
        </row>
        <row r="1154">
          <cell r="A1154">
            <v>2037</v>
          </cell>
          <cell r="B1154" t="str">
            <v>Graphite</v>
          </cell>
          <cell r="C1154" t="str">
            <v>Global Net-zero</v>
          </cell>
          <cell r="D1154" t="str">
            <v>Production potential</v>
          </cell>
          <cell r="E1154" t="str">
            <v>Current shares</v>
          </cell>
          <cell r="F1154" t="str">
            <v>Expansion Extractive</v>
          </cell>
          <cell r="G1154">
            <v>3080.4826094202749</v>
          </cell>
          <cell r="H1154">
            <v>227739.74804021401</v>
          </cell>
          <cell r="I1154">
            <v>75154.116853270636</v>
          </cell>
          <cell r="J1154">
            <v>61158.123309808187</v>
          </cell>
          <cell r="K1154">
            <v>0</v>
          </cell>
          <cell r="M1154">
            <v>0</v>
          </cell>
          <cell r="N1154">
            <v>0.59854391398996798</v>
          </cell>
        </row>
        <row r="1155">
          <cell r="A1155">
            <v>2037</v>
          </cell>
          <cell r="B1155" t="str">
            <v>Graphite</v>
          </cell>
          <cell r="C1155" t="str">
            <v>Global Net-zero</v>
          </cell>
          <cell r="D1155" t="str">
            <v>Production potential</v>
          </cell>
          <cell r="E1155" t="str">
            <v>Current shares</v>
          </cell>
          <cell r="F1155" t="str">
            <v>Expansion Extractive+Circularity</v>
          </cell>
          <cell r="G1155">
            <v>3080.4826094202749</v>
          </cell>
          <cell r="H1155">
            <v>227739.74804021401</v>
          </cell>
          <cell r="I1155">
            <v>75154.116853270636</v>
          </cell>
          <cell r="J1155">
            <v>61158.123309808187</v>
          </cell>
          <cell r="K1155">
            <v>0</v>
          </cell>
          <cell r="M1155">
            <v>0</v>
          </cell>
          <cell r="N1155">
            <v>0.59854391398996798</v>
          </cell>
        </row>
        <row r="1156">
          <cell r="A1156">
            <v>2037</v>
          </cell>
          <cell r="B1156" t="str">
            <v>Graphite</v>
          </cell>
          <cell r="C1156" t="str">
            <v>Global Net-zero</v>
          </cell>
          <cell r="D1156" t="str">
            <v>Production potential</v>
          </cell>
          <cell r="E1156" t="str">
            <v>100% CAN</v>
          </cell>
          <cell r="F1156" t="str">
            <v>Integrated</v>
          </cell>
          <cell r="G1156">
            <v>3080.4826094202749</v>
          </cell>
          <cell r="H1156">
            <v>227739.74804021401</v>
          </cell>
          <cell r="I1156">
            <v>75154.116853270636</v>
          </cell>
          <cell r="J1156">
            <v>61158.123309808187</v>
          </cell>
          <cell r="K1156">
            <v>0</v>
          </cell>
          <cell r="M1156">
            <v>0</v>
          </cell>
          <cell r="N1156">
            <v>0.59854391398996798</v>
          </cell>
        </row>
        <row r="1157">
          <cell r="A1157">
            <v>2037</v>
          </cell>
          <cell r="B1157" t="str">
            <v>Lithium</v>
          </cell>
          <cell r="C1157" t="str">
            <v>Canada Net-zero</v>
          </cell>
          <cell r="D1157" t="str">
            <v>Existing production</v>
          </cell>
          <cell r="E1157" t="str">
            <v>Current shares</v>
          </cell>
          <cell r="F1157" t="str">
            <v>NIMBY</v>
          </cell>
          <cell r="G1157">
            <v>73716.882405397235</v>
          </cell>
          <cell r="H1157">
            <v>0</v>
          </cell>
          <cell r="I1157">
            <v>0</v>
          </cell>
          <cell r="J1157">
            <v>0</v>
          </cell>
          <cell r="K1157">
            <v>105309.8320077103</v>
          </cell>
          <cell r="M1157">
            <v>73716.882405397235</v>
          </cell>
          <cell r="N1157">
            <v>0.787554996857322</v>
          </cell>
        </row>
        <row r="1158">
          <cell r="A1158">
            <v>2037</v>
          </cell>
          <cell r="B1158" t="str">
            <v>Lithium</v>
          </cell>
          <cell r="C1158" t="str">
            <v>Canada Net-zero</v>
          </cell>
          <cell r="D1158" t="str">
            <v>Existing production</v>
          </cell>
          <cell r="E1158" t="str">
            <v>Current shares</v>
          </cell>
          <cell r="F1158" t="str">
            <v>Status Quo</v>
          </cell>
          <cell r="G1158">
            <v>73716.882405397235</v>
          </cell>
          <cell r="H1158">
            <v>39270</v>
          </cell>
          <cell r="I1158">
            <v>27456.42439285322</v>
          </cell>
          <cell r="J1158">
            <v>3470.8603337338136</v>
          </cell>
          <cell r="K1158">
            <v>66039.832007710342</v>
          </cell>
          <cell r="M1158">
            <v>42789.597678810205</v>
          </cell>
          <cell r="N1158">
            <v>0.787554996857322</v>
          </cell>
        </row>
        <row r="1159">
          <cell r="A1159">
            <v>2037</v>
          </cell>
          <cell r="B1159" t="str">
            <v>Lithium</v>
          </cell>
          <cell r="C1159" t="str">
            <v>Canada Net-zero</v>
          </cell>
          <cell r="D1159" t="str">
            <v>Production potential</v>
          </cell>
          <cell r="E1159" t="str">
            <v>Current shares</v>
          </cell>
          <cell r="F1159" t="str">
            <v>Expansion Extractive</v>
          </cell>
          <cell r="G1159">
            <v>73716.882405397235</v>
          </cell>
          <cell r="H1159">
            <v>259730.37039642569</v>
          </cell>
          <cell r="I1159">
            <v>181595.80538113631</v>
          </cell>
          <cell r="J1159">
            <v>22956.145660171809</v>
          </cell>
          <cell r="K1159">
            <v>0</v>
          </cell>
          <cell r="M1159">
            <v>0</v>
          </cell>
          <cell r="N1159">
            <v>0.787554996857322</v>
          </cell>
        </row>
        <row r="1160">
          <cell r="A1160">
            <v>2037</v>
          </cell>
          <cell r="B1160" t="str">
            <v>Lithium</v>
          </cell>
          <cell r="C1160" t="str">
            <v>Canada Net-zero</v>
          </cell>
          <cell r="D1160" t="str">
            <v>Production potential</v>
          </cell>
          <cell r="E1160" t="str">
            <v>Current shares</v>
          </cell>
          <cell r="F1160" t="str">
            <v>Expansion Extractive+Circularity</v>
          </cell>
          <cell r="G1160">
            <v>73716.882405397235</v>
          </cell>
          <cell r="H1160">
            <v>259730.37039642569</v>
          </cell>
          <cell r="I1160">
            <v>181595.80538113631</v>
          </cell>
          <cell r="J1160">
            <v>22956.145660171809</v>
          </cell>
          <cell r="K1160">
            <v>0</v>
          </cell>
          <cell r="M1160">
            <v>0</v>
          </cell>
          <cell r="N1160">
            <v>0.787554996857322</v>
          </cell>
        </row>
        <row r="1161">
          <cell r="A1161">
            <v>2037</v>
          </cell>
          <cell r="B1161" t="str">
            <v>Lithium</v>
          </cell>
          <cell r="C1161" t="str">
            <v>Canada Net-zero</v>
          </cell>
          <cell r="D1161" t="str">
            <v>Production potential</v>
          </cell>
          <cell r="E1161" t="str">
            <v>100% CAN</v>
          </cell>
          <cell r="F1161" t="str">
            <v>Integrated</v>
          </cell>
          <cell r="G1161">
            <v>73716.882405397235</v>
          </cell>
          <cell r="H1161">
            <v>259730.37039642569</v>
          </cell>
          <cell r="I1161">
            <v>181595.80538113631</v>
          </cell>
          <cell r="J1161">
            <v>22956.145660171809</v>
          </cell>
          <cell r="K1161">
            <v>0</v>
          </cell>
          <cell r="M1161">
            <v>0</v>
          </cell>
          <cell r="N1161">
            <v>0.787554996857322</v>
          </cell>
        </row>
        <row r="1162">
          <cell r="A1162">
            <v>2037</v>
          </cell>
          <cell r="B1162" t="str">
            <v>Lithium</v>
          </cell>
          <cell r="C1162" t="str">
            <v>Current Measures</v>
          </cell>
          <cell r="D1162" t="str">
            <v>Existing production</v>
          </cell>
          <cell r="E1162" t="str">
            <v>Current shares</v>
          </cell>
          <cell r="F1162" t="str">
            <v>NIMBY</v>
          </cell>
          <cell r="G1162">
            <v>27154.51542919709</v>
          </cell>
          <cell r="H1162">
            <v>0</v>
          </cell>
          <cell r="I1162">
            <v>0</v>
          </cell>
          <cell r="J1162">
            <v>0</v>
          </cell>
          <cell r="K1162">
            <v>38792.164898852992</v>
          </cell>
          <cell r="M1162">
            <v>27154.51542919709</v>
          </cell>
          <cell r="N1162">
            <v>0.787554996857322</v>
          </cell>
        </row>
        <row r="1163">
          <cell r="A1163">
            <v>2037</v>
          </cell>
          <cell r="B1163" t="str">
            <v>Lithium</v>
          </cell>
          <cell r="C1163" t="str">
            <v>Current Measures</v>
          </cell>
          <cell r="D1163" t="str">
            <v>Existing production</v>
          </cell>
          <cell r="E1163" t="str">
            <v>Current shares</v>
          </cell>
          <cell r="F1163" t="str">
            <v>Status Quo</v>
          </cell>
          <cell r="G1163">
            <v>27154.51542919709</v>
          </cell>
          <cell r="H1163">
            <v>39270</v>
          </cell>
          <cell r="I1163">
            <v>27456.42439285322</v>
          </cell>
          <cell r="J1163">
            <v>3470.8603337338136</v>
          </cell>
          <cell r="K1163">
            <v>0</v>
          </cell>
          <cell r="M1163">
            <v>0</v>
          </cell>
          <cell r="N1163">
            <v>0.787554996857322</v>
          </cell>
        </row>
        <row r="1164">
          <cell r="A1164">
            <v>2037</v>
          </cell>
          <cell r="B1164" t="str">
            <v>Lithium</v>
          </cell>
          <cell r="C1164" t="str">
            <v>Current Measures</v>
          </cell>
          <cell r="D1164" t="str">
            <v>Production potential</v>
          </cell>
          <cell r="E1164" t="str">
            <v>Current shares</v>
          </cell>
          <cell r="F1164" t="str">
            <v>Expansion Extractive</v>
          </cell>
          <cell r="G1164">
            <v>27154.51542919709</v>
          </cell>
          <cell r="H1164">
            <v>259730.37039642569</v>
          </cell>
          <cell r="I1164">
            <v>181595.80538113631</v>
          </cell>
          <cell r="J1164">
            <v>22956.145660171809</v>
          </cell>
          <cell r="K1164">
            <v>0</v>
          </cell>
          <cell r="M1164">
            <v>0</v>
          </cell>
          <cell r="N1164">
            <v>0.787554996857322</v>
          </cell>
        </row>
        <row r="1165">
          <cell r="A1165">
            <v>2037</v>
          </cell>
          <cell r="B1165" t="str">
            <v>Lithium</v>
          </cell>
          <cell r="C1165" t="str">
            <v>Current Measures</v>
          </cell>
          <cell r="D1165" t="str">
            <v>Production potential</v>
          </cell>
          <cell r="E1165" t="str">
            <v>Current shares</v>
          </cell>
          <cell r="F1165" t="str">
            <v>Expansion Extractive+Circularity</v>
          </cell>
          <cell r="G1165">
            <v>27154.51542919709</v>
          </cell>
          <cell r="H1165">
            <v>259730.37039642569</v>
          </cell>
          <cell r="I1165">
            <v>181595.80538113631</v>
          </cell>
          <cell r="J1165">
            <v>22956.145660171809</v>
          </cell>
          <cell r="K1165">
            <v>0</v>
          </cell>
          <cell r="M1165">
            <v>0</v>
          </cell>
          <cell r="N1165">
            <v>0.787554996857322</v>
          </cell>
        </row>
        <row r="1166">
          <cell r="A1166">
            <v>2037</v>
          </cell>
          <cell r="B1166" t="str">
            <v>Lithium</v>
          </cell>
          <cell r="C1166" t="str">
            <v>Current Measures</v>
          </cell>
          <cell r="D1166" t="str">
            <v>Production potential</v>
          </cell>
          <cell r="E1166" t="str">
            <v>100% CAN</v>
          </cell>
          <cell r="F1166" t="str">
            <v>Integrated</v>
          </cell>
          <cell r="G1166">
            <v>27154.51542919709</v>
          </cell>
          <cell r="H1166">
            <v>259730.37039642569</v>
          </cell>
          <cell r="I1166">
            <v>181595.80538113631</v>
          </cell>
          <cell r="J1166">
            <v>22956.145660171809</v>
          </cell>
          <cell r="K1166">
            <v>0</v>
          </cell>
          <cell r="M1166">
            <v>0</v>
          </cell>
          <cell r="N1166">
            <v>0.787554996857322</v>
          </cell>
        </row>
        <row r="1167">
          <cell r="A1167">
            <v>2037</v>
          </cell>
          <cell r="B1167" t="str">
            <v>Lithium</v>
          </cell>
          <cell r="C1167" t="str">
            <v>Global Net-zero</v>
          </cell>
          <cell r="D1167" t="str">
            <v>Existing production</v>
          </cell>
          <cell r="E1167" t="str">
            <v>Current shares</v>
          </cell>
          <cell r="F1167" t="str">
            <v>NIMBY</v>
          </cell>
          <cell r="G1167">
            <v>70294.070325969486</v>
          </cell>
          <cell r="H1167">
            <v>0</v>
          </cell>
          <cell r="I1167">
            <v>0</v>
          </cell>
          <cell r="J1167">
            <v>0</v>
          </cell>
          <cell r="K1167">
            <v>100420.10046567069</v>
          </cell>
          <cell r="M1167">
            <v>70294.070325969486</v>
          </cell>
          <cell r="N1167">
            <v>0.787554996857322</v>
          </cell>
        </row>
        <row r="1168">
          <cell r="A1168">
            <v>2037</v>
          </cell>
          <cell r="B1168" t="str">
            <v>Lithium</v>
          </cell>
          <cell r="C1168" t="str">
            <v>Global Net-zero</v>
          </cell>
          <cell r="D1168" t="str">
            <v>Existing production</v>
          </cell>
          <cell r="E1168" t="str">
            <v>Current shares</v>
          </cell>
          <cell r="F1168" t="str">
            <v>Status Quo</v>
          </cell>
          <cell r="G1168">
            <v>70294.070325969486</v>
          </cell>
          <cell r="H1168">
            <v>39270</v>
          </cell>
          <cell r="I1168">
            <v>27456.42439285322</v>
          </cell>
          <cell r="J1168">
            <v>3470.8603337338136</v>
          </cell>
          <cell r="K1168">
            <v>61150.100465670686</v>
          </cell>
          <cell r="M1168">
            <v>39366.785599382456</v>
          </cell>
          <cell r="N1168">
            <v>0.787554996857322</v>
          </cell>
        </row>
        <row r="1169">
          <cell r="A1169">
            <v>2037</v>
          </cell>
          <cell r="B1169" t="str">
            <v>Lithium</v>
          </cell>
          <cell r="C1169" t="str">
            <v>Global Net-zero</v>
          </cell>
          <cell r="D1169" t="str">
            <v>Production potential</v>
          </cell>
          <cell r="E1169" t="str">
            <v>Current shares</v>
          </cell>
          <cell r="F1169" t="str">
            <v>Expansion Extractive</v>
          </cell>
          <cell r="G1169">
            <v>70294.070325969486</v>
          </cell>
          <cell r="H1169">
            <v>259730.37039642569</v>
          </cell>
          <cell r="I1169">
            <v>181595.80538113631</v>
          </cell>
          <cell r="J1169">
            <v>22956.145660171809</v>
          </cell>
          <cell r="K1169">
            <v>0</v>
          </cell>
          <cell r="M1169">
            <v>0</v>
          </cell>
          <cell r="N1169">
            <v>0.787554996857322</v>
          </cell>
        </row>
        <row r="1170">
          <cell r="A1170">
            <v>2037</v>
          </cell>
          <cell r="B1170" t="str">
            <v>Lithium</v>
          </cell>
          <cell r="C1170" t="str">
            <v>Global Net-zero</v>
          </cell>
          <cell r="D1170" t="str">
            <v>Production potential</v>
          </cell>
          <cell r="E1170" t="str">
            <v>Current shares</v>
          </cell>
          <cell r="F1170" t="str">
            <v>Expansion Extractive+Circularity</v>
          </cell>
          <cell r="G1170">
            <v>70294.070325969486</v>
          </cell>
          <cell r="H1170">
            <v>259730.37039642569</v>
          </cell>
          <cell r="I1170">
            <v>181595.80538113631</v>
          </cell>
          <cell r="J1170">
            <v>22956.145660171809</v>
          </cell>
          <cell r="K1170">
            <v>0</v>
          </cell>
          <cell r="M1170">
            <v>0</v>
          </cell>
          <cell r="N1170">
            <v>0.787554996857322</v>
          </cell>
        </row>
        <row r="1171">
          <cell r="A1171">
            <v>2037</v>
          </cell>
          <cell r="B1171" t="str">
            <v>Lithium</v>
          </cell>
          <cell r="C1171" t="str">
            <v>Global Net-zero</v>
          </cell>
          <cell r="D1171" t="str">
            <v>Production potential</v>
          </cell>
          <cell r="E1171" t="str">
            <v>100% CAN</v>
          </cell>
          <cell r="F1171" t="str">
            <v>Integrated</v>
          </cell>
          <cell r="G1171">
            <v>70294.070325969486</v>
          </cell>
          <cell r="H1171">
            <v>259730.37039642569</v>
          </cell>
          <cell r="I1171">
            <v>181595.80538113631</v>
          </cell>
          <cell r="J1171">
            <v>22956.145660171809</v>
          </cell>
          <cell r="K1171">
            <v>0</v>
          </cell>
          <cell r="M1171">
            <v>0</v>
          </cell>
          <cell r="N1171">
            <v>0.787554996857322</v>
          </cell>
        </row>
        <row r="1172">
          <cell r="A1172">
            <v>2038</v>
          </cell>
          <cell r="B1172" t="str">
            <v>Cobalt</v>
          </cell>
          <cell r="C1172" t="str">
            <v>Canada Net-zero</v>
          </cell>
          <cell r="D1172" t="str">
            <v>Existing production</v>
          </cell>
          <cell r="E1172" t="str">
            <v>Current shares</v>
          </cell>
          <cell r="F1172" t="str">
            <v>NIMBY</v>
          </cell>
          <cell r="G1172">
            <v>217957.7461959504</v>
          </cell>
          <cell r="H1172">
            <v>0</v>
          </cell>
          <cell r="I1172">
            <v>0</v>
          </cell>
          <cell r="J1172">
            <v>0</v>
          </cell>
          <cell r="K1172">
            <v>495358.51408170548</v>
          </cell>
          <cell r="M1172">
            <v>217957.7461959504</v>
          </cell>
          <cell r="N1172">
            <v>0.439346565686978</v>
          </cell>
        </row>
        <row r="1173">
          <cell r="A1173">
            <v>2038</v>
          </cell>
          <cell r="B1173" t="str">
            <v>Cobalt</v>
          </cell>
          <cell r="C1173" t="str">
            <v>Canada Net-zero</v>
          </cell>
          <cell r="D1173" t="str">
            <v>Existing production</v>
          </cell>
          <cell r="E1173" t="str">
            <v>Current shares</v>
          </cell>
          <cell r="F1173" t="str">
            <v>Status Quo</v>
          </cell>
          <cell r="G1173">
            <v>217957.7461959504</v>
          </cell>
          <cell r="H1173">
            <v>261</v>
          </cell>
          <cell r="I1173">
            <v>110.71145720551</v>
          </cell>
          <cell r="J1173">
            <v>3.9579964387912554</v>
          </cell>
          <cell r="K1173">
            <v>495097.51408170548</v>
          </cell>
          <cell r="M1173">
            <v>217843.07674230612</v>
          </cell>
          <cell r="N1173">
            <v>0.439346565686978</v>
          </cell>
        </row>
        <row r="1174">
          <cell r="A1174">
            <v>2038</v>
          </cell>
          <cell r="B1174" t="str">
            <v>Cobalt</v>
          </cell>
          <cell r="C1174" t="str">
            <v>Canada Net-zero</v>
          </cell>
          <cell r="D1174" t="str">
            <v>Production potential</v>
          </cell>
          <cell r="E1174" t="str">
            <v>Current shares</v>
          </cell>
          <cell r="F1174" t="str">
            <v>Expansion Extractive</v>
          </cell>
          <cell r="G1174">
            <v>217957.7461959504</v>
          </cell>
          <cell r="H1174">
            <v>23517.33411697366</v>
          </cell>
          <cell r="I1174">
            <v>9975.625784210768</v>
          </cell>
          <cell r="J1174">
            <v>356.63419419480852</v>
          </cell>
          <cell r="K1174">
            <v>471841.1799647318</v>
          </cell>
          <cell r="M1174">
            <v>207625.48621754479</v>
          </cell>
          <cell r="N1174">
            <v>0.439346565686978</v>
          </cell>
        </row>
        <row r="1175">
          <cell r="A1175">
            <v>2038</v>
          </cell>
          <cell r="B1175" t="str">
            <v>Cobalt</v>
          </cell>
          <cell r="C1175" t="str">
            <v>Canada Net-zero</v>
          </cell>
          <cell r="D1175" t="str">
            <v>Production potential</v>
          </cell>
          <cell r="E1175" t="str">
            <v>Current shares</v>
          </cell>
          <cell r="F1175" t="str">
            <v>Expansion Extractive+Circularity</v>
          </cell>
          <cell r="G1175">
            <v>217957.7461959504</v>
          </cell>
          <cell r="H1175">
            <v>23517.33411697366</v>
          </cell>
          <cell r="I1175">
            <v>9975.625784210768</v>
          </cell>
          <cell r="J1175">
            <v>356.63419419480852</v>
          </cell>
          <cell r="K1175">
            <v>471841.1799647318</v>
          </cell>
          <cell r="M1175">
            <v>207625.48621754479</v>
          </cell>
          <cell r="N1175">
            <v>0.439346565686978</v>
          </cell>
        </row>
        <row r="1176">
          <cell r="A1176">
            <v>2038</v>
          </cell>
          <cell r="B1176" t="str">
            <v>Cobalt</v>
          </cell>
          <cell r="C1176" t="str">
            <v>Canada Net-zero</v>
          </cell>
          <cell r="D1176" t="str">
            <v>Production potential</v>
          </cell>
          <cell r="E1176" t="str">
            <v>100% CAN</v>
          </cell>
          <cell r="F1176" t="str">
            <v>Integrated</v>
          </cell>
          <cell r="G1176">
            <v>217957.7461959504</v>
          </cell>
          <cell r="H1176">
            <v>23517.33411697366</v>
          </cell>
          <cell r="I1176">
            <v>10332.259978405589</v>
          </cell>
          <cell r="J1176">
            <v>0</v>
          </cell>
          <cell r="K1176">
            <v>471841.1799647318</v>
          </cell>
          <cell r="M1176">
            <v>207625.48621754479</v>
          </cell>
          <cell r="N1176">
            <v>0.439346565686978</v>
          </cell>
        </row>
        <row r="1177">
          <cell r="A1177">
            <v>2038</v>
          </cell>
          <cell r="B1177" t="str">
            <v>Cobalt</v>
          </cell>
          <cell r="C1177" t="str">
            <v>Current Measures</v>
          </cell>
          <cell r="D1177" t="str">
            <v>Existing production</v>
          </cell>
          <cell r="E1177" t="str">
            <v>Current shares</v>
          </cell>
          <cell r="F1177" t="str">
            <v>NIMBY</v>
          </cell>
          <cell r="G1177">
            <v>81581.249659793117</v>
          </cell>
          <cell r="H1177">
            <v>0</v>
          </cell>
          <cell r="I1177">
            <v>0</v>
          </cell>
          <cell r="J1177">
            <v>0</v>
          </cell>
          <cell r="K1177">
            <v>185411.93104498429</v>
          </cell>
          <cell r="M1177">
            <v>81581.249659793117</v>
          </cell>
          <cell r="N1177">
            <v>0.439346565686978</v>
          </cell>
        </row>
        <row r="1178">
          <cell r="A1178">
            <v>2038</v>
          </cell>
          <cell r="B1178" t="str">
            <v>Cobalt</v>
          </cell>
          <cell r="C1178" t="str">
            <v>Current Measures</v>
          </cell>
          <cell r="D1178" t="str">
            <v>Existing production</v>
          </cell>
          <cell r="E1178" t="str">
            <v>Current shares</v>
          </cell>
          <cell r="F1178" t="str">
            <v>Status Quo</v>
          </cell>
          <cell r="G1178">
            <v>81581.249659793117</v>
          </cell>
          <cell r="H1178">
            <v>261</v>
          </cell>
          <cell r="I1178">
            <v>110.71145720551</v>
          </cell>
          <cell r="J1178">
            <v>3.9579964387912554</v>
          </cell>
          <cell r="K1178">
            <v>185150.93104498429</v>
          </cell>
          <cell r="M1178">
            <v>81466.580206148807</v>
          </cell>
          <cell r="N1178">
            <v>0.439346565686978</v>
          </cell>
        </row>
        <row r="1179">
          <cell r="A1179">
            <v>2038</v>
          </cell>
          <cell r="B1179" t="str">
            <v>Cobalt</v>
          </cell>
          <cell r="C1179" t="str">
            <v>Current Measures</v>
          </cell>
          <cell r="D1179" t="str">
            <v>Production potential</v>
          </cell>
          <cell r="E1179" t="str">
            <v>Current shares</v>
          </cell>
          <cell r="F1179" t="str">
            <v>Expansion Extractive</v>
          </cell>
          <cell r="G1179">
            <v>81581.249659793117</v>
          </cell>
          <cell r="H1179">
            <v>23517.33411697366</v>
          </cell>
          <cell r="I1179">
            <v>9975.625784210768</v>
          </cell>
          <cell r="J1179">
            <v>356.63419419480852</v>
          </cell>
          <cell r="K1179">
            <v>161894.59692801069</v>
          </cell>
          <cell r="M1179">
            <v>71248.989681387538</v>
          </cell>
          <cell r="N1179">
            <v>0.439346565686978</v>
          </cell>
        </row>
        <row r="1180">
          <cell r="A1180">
            <v>2038</v>
          </cell>
          <cell r="B1180" t="str">
            <v>Cobalt</v>
          </cell>
          <cell r="C1180" t="str">
            <v>Current Measures</v>
          </cell>
          <cell r="D1180" t="str">
            <v>Production potential</v>
          </cell>
          <cell r="E1180" t="str">
            <v>Current shares</v>
          </cell>
          <cell r="F1180" t="str">
            <v>Expansion Extractive+Circularity</v>
          </cell>
          <cell r="G1180">
            <v>81581.249659793117</v>
          </cell>
          <cell r="H1180">
            <v>23517.33411697366</v>
          </cell>
          <cell r="I1180">
            <v>9975.625784210768</v>
          </cell>
          <cell r="J1180">
            <v>356.63419419480852</v>
          </cell>
          <cell r="K1180">
            <v>161894.59692801069</v>
          </cell>
          <cell r="M1180">
            <v>71248.989681387538</v>
          </cell>
          <cell r="N1180">
            <v>0.439346565686978</v>
          </cell>
        </row>
        <row r="1181">
          <cell r="A1181">
            <v>2038</v>
          </cell>
          <cell r="B1181" t="str">
            <v>Cobalt</v>
          </cell>
          <cell r="C1181" t="str">
            <v>Current Measures</v>
          </cell>
          <cell r="D1181" t="str">
            <v>Production potential</v>
          </cell>
          <cell r="E1181" t="str">
            <v>100% CAN</v>
          </cell>
          <cell r="F1181" t="str">
            <v>Integrated</v>
          </cell>
          <cell r="G1181">
            <v>81581.249659793117</v>
          </cell>
          <cell r="H1181">
            <v>23517.33411697366</v>
          </cell>
          <cell r="I1181">
            <v>10332.259978405589</v>
          </cell>
          <cell r="J1181">
            <v>0</v>
          </cell>
          <cell r="K1181">
            <v>161894.59692801069</v>
          </cell>
          <cell r="M1181">
            <v>71248.989681387524</v>
          </cell>
          <cell r="N1181">
            <v>0.439346565686978</v>
          </cell>
        </row>
        <row r="1182">
          <cell r="A1182">
            <v>2038</v>
          </cell>
          <cell r="B1182" t="str">
            <v>Cobalt</v>
          </cell>
          <cell r="C1182" t="str">
            <v>Global Net-zero</v>
          </cell>
          <cell r="D1182" t="str">
            <v>Existing production</v>
          </cell>
          <cell r="E1182" t="str">
            <v>Current shares</v>
          </cell>
          <cell r="F1182" t="str">
            <v>NIMBY</v>
          </cell>
          <cell r="G1182">
            <v>207519.60886178669</v>
          </cell>
          <cell r="H1182">
            <v>0</v>
          </cell>
          <cell r="I1182">
            <v>0</v>
          </cell>
          <cell r="J1182">
            <v>0</v>
          </cell>
          <cell r="K1182">
            <v>471635.47468587878</v>
          </cell>
          <cell r="M1182">
            <v>207519.60886178669</v>
          </cell>
          <cell r="N1182">
            <v>0.439346565686978</v>
          </cell>
        </row>
        <row r="1183">
          <cell r="A1183">
            <v>2038</v>
          </cell>
          <cell r="B1183" t="str">
            <v>Cobalt</v>
          </cell>
          <cell r="C1183" t="str">
            <v>Global Net-zero</v>
          </cell>
          <cell r="D1183" t="str">
            <v>Existing production</v>
          </cell>
          <cell r="E1183" t="str">
            <v>Current shares</v>
          </cell>
          <cell r="F1183" t="str">
            <v>Status Quo</v>
          </cell>
          <cell r="G1183">
            <v>207519.60886178669</v>
          </cell>
          <cell r="H1183">
            <v>261</v>
          </cell>
          <cell r="I1183">
            <v>110.71145720551</v>
          </cell>
          <cell r="J1183">
            <v>3.9579964387912554</v>
          </cell>
          <cell r="K1183">
            <v>471374.47468587878</v>
          </cell>
          <cell r="M1183">
            <v>207404.93940814241</v>
          </cell>
          <cell r="N1183">
            <v>0.439346565686978</v>
          </cell>
        </row>
        <row r="1184">
          <cell r="A1184">
            <v>2038</v>
          </cell>
          <cell r="B1184" t="str">
            <v>Cobalt</v>
          </cell>
          <cell r="C1184" t="str">
            <v>Global Net-zero</v>
          </cell>
          <cell r="D1184" t="str">
            <v>Production potential</v>
          </cell>
          <cell r="E1184" t="str">
            <v>Current shares</v>
          </cell>
          <cell r="F1184" t="str">
            <v>Expansion Extractive</v>
          </cell>
          <cell r="G1184">
            <v>207519.60886178669</v>
          </cell>
          <cell r="H1184">
            <v>23517.33411697366</v>
          </cell>
          <cell r="I1184">
            <v>9975.625784210768</v>
          </cell>
          <cell r="J1184">
            <v>356.63419419480852</v>
          </cell>
          <cell r="K1184">
            <v>448118.14056890522</v>
          </cell>
          <cell r="M1184">
            <v>197187.34888338108</v>
          </cell>
          <cell r="N1184">
            <v>0.439346565686978</v>
          </cell>
        </row>
        <row r="1185">
          <cell r="A1185">
            <v>2038</v>
          </cell>
          <cell r="B1185" t="str">
            <v>Cobalt</v>
          </cell>
          <cell r="C1185" t="str">
            <v>Global Net-zero</v>
          </cell>
          <cell r="D1185" t="str">
            <v>Production potential</v>
          </cell>
          <cell r="E1185" t="str">
            <v>Current shares</v>
          </cell>
          <cell r="F1185" t="str">
            <v>Expansion Extractive+Circularity</v>
          </cell>
          <cell r="G1185">
            <v>207519.60886178669</v>
          </cell>
          <cell r="H1185">
            <v>23517.33411697366</v>
          </cell>
          <cell r="I1185">
            <v>9975.625784210768</v>
          </cell>
          <cell r="J1185">
            <v>356.63419419480852</v>
          </cell>
          <cell r="K1185">
            <v>448118.14056890522</v>
          </cell>
          <cell r="M1185">
            <v>197187.34888338108</v>
          </cell>
          <cell r="N1185">
            <v>0.439346565686978</v>
          </cell>
        </row>
        <row r="1186">
          <cell r="A1186">
            <v>2038</v>
          </cell>
          <cell r="B1186" t="str">
            <v>Cobalt</v>
          </cell>
          <cell r="C1186" t="str">
            <v>Global Net-zero</v>
          </cell>
          <cell r="D1186" t="str">
            <v>Production potential</v>
          </cell>
          <cell r="E1186" t="str">
            <v>100% CAN</v>
          </cell>
          <cell r="F1186" t="str">
            <v>Integrated</v>
          </cell>
          <cell r="G1186">
            <v>207519.60886178669</v>
          </cell>
          <cell r="H1186">
            <v>23517.33411697366</v>
          </cell>
          <cell r="I1186">
            <v>10332.259978405589</v>
          </cell>
          <cell r="J1186">
            <v>0</v>
          </cell>
          <cell r="K1186">
            <v>448118.14056890522</v>
          </cell>
          <cell r="M1186">
            <v>197187.34888338111</v>
          </cell>
          <cell r="N1186">
            <v>0.439346565686978</v>
          </cell>
        </row>
        <row r="1187">
          <cell r="A1187">
            <v>2038</v>
          </cell>
          <cell r="B1187" t="str">
            <v>Copper</v>
          </cell>
          <cell r="C1187" t="str">
            <v>Canada Net-zero</v>
          </cell>
          <cell r="D1187" t="str">
            <v>Existing production</v>
          </cell>
          <cell r="E1187" t="str">
            <v>Current shares</v>
          </cell>
          <cell r="F1187" t="str">
            <v>NIMBY</v>
          </cell>
          <cell r="G1187">
            <v>1525342.03872534</v>
          </cell>
          <cell r="H1187">
            <v>0</v>
          </cell>
          <cell r="I1187">
            <v>0</v>
          </cell>
          <cell r="J1187">
            <v>0</v>
          </cell>
          <cell r="K1187">
            <v>1837761.492440169</v>
          </cell>
          <cell r="M1187">
            <v>1525342.03872534</v>
          </cell>
          <cell r="N1187">
            <v>0.83474576271186396</v>
          </cell>
        </row>
        <row r="1188">
          <cell r="A1188">
            <v>2038</v>
          </cell>
          <cell r="B1188" t="str">
            <v>Copper</v>
          </cell>
          <cell r="C1188" t="str">
            <v>Canada Net-zero</v>
          </cell>
          <cell r="D1188" t="str">
            <v>Existing production</v>
          </cell>
          <cell r="E1188" t="str">
            <v>Current shares</v>
          </cell>
          <cell r="F1188" t="str">
            <v>Status Quo</v>
          </cell>
          <cell r="G1188">
            <v>1525342.03872534</v>
          </cell>
          <cell r="H1188">
            <v>149633</v>
          </cell>
          <cell r="I1188">
            <v>78648.404734026277</v>
          </cell>
          <cell r="J1188">
            <v>46257.107977838066</v>
          </cell>
          <cell r="K1188">
            <v>1688128.492440169</v>
          </cell>
          <cell r="M1188">
            <v>1400436.5260134761</v>
          </cell>
          <cell r="N1188">
            <v>0.83474576271186396</v>
          </cell>
        </row>
        <row r="1189">
          <cell r="A1189">
            <v>2038</v>
          </cell>
          <cell r="B1189" t="str">
            <v>Copper</v>
          </cell>
          <cell r="C1189" t="str">
            <v>Canada Net-zero</v>
          </cell>
          <cell r="D1189" t="str">
            <v>Production potential</v>
          </cell>
          <cell r="E1189" t="str">
            <v>Current shares</v>
          </cell>
          <cell r="F1189" t="str">
            <v>Expansion Extractive</v>
          </cell>
          <cell r="G1189">
            <v>1525342.03872534</v>
          </cell>
          <cell r="H1189">
            <v>1022879.179171539</v>
          </cell>
          <cell r="I1189">
            <v>537634.18281723827</v>
          </cell>
          <cell r="J1189">
            <v>316209.87776239344</v>
          </cell>
          <cell r="K1189">
            <v>814882.31326862948</v>
          </cell>
          <cell r="M1189">
            <v>671497.97814570833</v>
          </cell>
          <cell r="N1189">
            <v>0.83474576271186396</v>
          </cell>
        </row>
        <row r="1190">
          <cell r="A1190">
            <v>2038</v>
          </cell>
          <cell r="B1190" t="str">
            <v>Copper</v>
          </cell>
          <cell r="C1190" t="str">
            <v>Canada Net-zero</v>
          </cell>
          <cell r="D1190" t="str">
            <v>Production potential</v>
          </cell>
          <cell r="E1190" t="str">
            <v>Current shares</v>
          </cell>
          <cell r="F1190" t="str">
            <v>Expansion Extractive+Circularity</v>
          </cell>
          <cell r="G1190">
            <v>1525342.03872534</v>
          </cell>
          <cell r="H1190">
            <v>1022879.179171539</v>
          </cell>
          <cell r="I1190">
            <v>537634.18281723827</v>
          </cell>
          <cell r="J1190">
            <v>316209.87776239344</v>
          </cell>
          <cell r="K1190">
            <v>814882.31326862948</v>
          </cell>
          <cell r="M1190">
            <v>671497.97814570833</v>
          </cell>
          <cell r="N1190">
            <v>0.83474576271186396</v>
          </cell>
        </row>
        <row r="1191">
          <cell r="A1191">
            <v>2038</v>
          </cell>
          <cell r="B1191" t="str">
            <v>Copper</v>
          </cell>
          <cell r="C1191" t="str">
            <v>Canada Net-zero</v>
          </cell>
          <cell r="D1191" t="str">
            <v>Production potential</v>
          </cell>
          <cell r="E1191" t="str">
            <v>100% CAN</v>
          </cell>
          <cell r="F1191" t="str">
            <v>Integrated</v>
          </cell>
          <cell r="G1191">
            <v>1525342.03872534</v>
          </cell>
          <cell r="H1191">
            <v>1022879.179171539</v>
          </cell>
          <cell r="I1191">
            <v>853844.06057963229</v>
          </cell>
          <cell r="J1191">
            <v>0</v>
          </cell>
          <cell r="K1191">
            <v>814882.31326862948</v>
          </cell>
          <cell r="M1191">
            <v>671497.97814570775</v>
          </cell>
          <cell r="N1191">
            <v>0.83474576271186396</v>
          </cell>
        </row>
        <row r="1192">
          <cell r="A1192">
            <v>2038</v>
          </cell>
          <cell r="B1192" t="str">
            <v>Copper</v>
          </cell>
          <cell r="C1192" t="str">
            <v>Current Measures</v>
          </cell>
          <cell r="D1192" t="str">
            <v>Existing production</v>
          </cell>
          <cell r="E1192" t="str">
            <v>Current shares</v>
          </cell>
          <cell r="F1192" t="str">
            <v>NIMBY</v>
          </cell>
          <cell r="G1192">
            <v>1157581.233594937</v>
          </cell>
          <cell r="H1192">
            <v>0</v>
          </cell>
          <cell r="I1192">
            <v>0</v>
          </cell>
          <cell r="J1192">
            <v>0</v>
          </cell>
          <cell r="K1192">
            <v>1394676.1850541411</v>
          </cell>
          <cell r="M1192">
            <v>1157581.233594937</v>
          </cell>
          <cell r="N1192">
            <v>0.83474576271186396</v>
          </cell>
        </row>
        <row r="1193">
          <cell r="A1193">
            <v>2038</v>
          </cell>
          <cell r="B1193" t="str">
            <v>Copper</v>
          </cell>
          <cell r="C1193" t="str">
            <v>Current Measures</v>
          </cell>
          <cell r="D1193" t="str">
            <v>Existing production</v>
          </cell>
          <cell r="E1193" t="str">
            <v>Current shares</v>
          </cell>
          <cell r="F1193" t="str">
            <v>Status Quo</v>
          </cell>
          <cell r="G1193">
            <v>1157581.233594937</v>
          </cell>
          <cell r="H1193">
            <v>149633</v>
          </cell>
          <cell r="I1193">
            <v>78648.404734026277</v>
          </cell>
          <cell r="J1193">
            <v>46257.107977838066</v>
          </cell>
          <cell r="K1193">
            <v>1245043.1850541411</v>
          </cell>
          <cell r="M1193">
            <v>1032675.7208830731</v>
          </cell>
          <cell r="N1193">
            <v>0.83474576271186396</v>
          </cell>
        </row>
        <row r="1194">
          <cell r="A1194">
            <v>2038</v>
          </cell>
          <cell r="B1194" t="str">
            <v>Copper</v>
          </cell>
          <cell r="C1194" t="str">
            <v>Current Measures</v>
          </cell>
          <cell r="D1194" t="str">
            <v>Production potential</v>
          </cell>
          <cell r="E1194" t="str">
            <v>Current shares</v>
          </cell>
          <cell r="F1194" t="str">
            <v>Expansion Extractive</v>
          </cell>
          <cell r="G1194">
            <v>1157581.233594937</v>
          </cell>
          <cell r="H1194">
            <v>1022879.179171539</v>
          </cell>
          <cell r="I1194">
            <v>537634.18281723827</v>
          </cell>
          <cell r="J1194">
            <v>316209.87776239344</v>
          </cell>
          <cell r="K1194">
            <v>371797.00588260178</v>
          </cell>
          <cell r="M1194">
            <v>303737.17301530531</v>
          </cell>
          <cell r="N1194">
            <v>0.83474576271186396</v>
          </cell>
        </row>
        <row r="1195">
          <cell r="A1195">
            <v>2038</v>
          </cell>
          <cell r="B1195" t="str">
            <v>Copper</v>
          </cell>
          <cell r="C1195" t="str">
            <v>Current Measures</v>
          </cell>
          <cell r="D1195" t="str">
            <v>Production potential</v>
          </cell>
          <cell r="E1195" t="str">
            <v>Current shares</v>
          </cell>
          <cell r="F1195" t="str">
            <v>Expansion Extractive+Circularity</v>
          </cell>
          <cell r="G1195">
            <v>1157581.233594937</v>
          </cell>
          <cell r="H1195">
            <v>1022879.179171539</v>
          </cell>
          <cell r="I1195">
            <v>537634.18281723827</v>
          </cell>
          <cell r="J1195">
            <v>316209.87776239344</v>
          </cell>
          <cell r="K1195">
            <v>371797.00588260178</v>
          </cell>
          <cell r="M1195">
            <v>303737.17301530531</v>
          </cell>
          <cell r="N1195">
            <v>0.83474576271186396</v>
          </cell>
        </row>
        <row r="1196">
          <cell r="A1196">
            <v>2038</v>
          </cell>
          <cell r="B1196" t="str">
            <v>Copper</v>
          </cell>
          <cell r="C1196" t="str">
            <v>Current Measures</v>
          </cell>
          <cell r="D1196" t="str">
            <v>Production potential</v>
          </cell>
          <cell r="E1196" t="str">
            <v>100% CAN</v>
          </cell>
          <cell r="F1196" t="str">
            <v>Integrated</v>
          </cell>
          <cell r="G1196">
            <v>1157581.233594937</v>
          </cell>
          <cell r="H1196">
            <v>1022879.179171539</v>
          </cell>
          <cell r="I1196">
            <v>853844.06057963229</v>
          </cell>
          <cell r="J1196">
            <v>0</v>
          </cell>
          <cell r="K1196">
            <v>371797.00588260178</v>
          </cell>
          <cell r="M1196">
            <v>303737.17301530472</v>
          </cell>
          <cell r="N1196">
            <v>0.83474576271186396</v>
          </cell>
        </row>
        <row r="1197">
          <cell r="A1197">
            <v>2038</v>
          </cell>
          <cell r="B1197" t="str">
            <v>Copper</v>
          </cell>
          <cell r="C1197" t="str">
            <v>Global Net-zero</v>
          </cell>
          <cell r="D1197" t="str">
            <v>Existing production</v>
          </cell>
          <cell r="E1197" t="str">
            <v>Current shares</v>
          </cell>
          <cell r="F1197" t="str">
            <v>NIMBY</v>
          </cell>
          <cell r="G1197">
            <v>1440730.5458499959</v>
          </cell>
          <cell r="H1197">
            <v>0</v>
          </cell>
          <cell r="I1197">
            <v>0</v>
          </cell>
          <cell r="J1197">
            <v>0</v>
          </cell>
          <cell r="K1197">
            <v>1735819.934759031</v>
          </cell>
          <cell r="M1197">
            <v>1440730.5458499959</v>
          </cell>
          <cell r="N1197">
            <v>0.83474576271186396</v>
          </cell>
        </row>
        <row r="1198">
          <cell r="A1198">
            <v>2038</v>
          </cell>
          <cell r="B1198" t="str">
            <v>Copper</v>
          </cell>
          <cell r="C1198" t="str">
            <v>Global Net-zero</v>
          </cell>
          <cell r="D1198" t="str">
            <v>Existing production</v>
          </cell>
          <cell r="E1198" t="str">
            <v>Current shares</v>
          </cell>
          <cell r="F1198" t="str">
            <v>Status Quo</v>
          </cell>
          <cell r="G1198">
            <v>1440730.5458499959</v>
          </cell>
          <cell r="H1198">
            <v>149633</v>
          </cell>
          <cell r="I1198">
            <v>78648.404734026277</v>
          </cell>
          <cell r="J1198">
            <v>46257.107977838066</v>
          </cell>
          <cell r="K1198">
            <v>1586186.934759031</v>
          </cell>
          <cell r="M1198">
            <v>1315825.033138132</v>
          </cell>
          <cell r="N1198">
            <v>0.83474576271186396</v>
          </cell>
        </row>
        <row r="1199">
          <cell r="A1199">
            <v>2038</v>
          </cell>
          <cell r="B1199" t="str">
            <v>Copper</v>
          </cell>
          <cell r="C1199" t="str">
            <v>Global Net-zero</v>
          </cell>
          <cell r="D1199" t="str">
            <v>Production potential</v>
          </cell>
          <cell r="E1199" t="str">
            <v>Current shares</v>
          </cell>
          <cell r="F1199" t="str">
            <v>Expansion Extractive</v>
          </cell>
          <cell r="G1199">
            <v>1440730.5458499959</v>
          </cell>
          <cell r="H1199">
            <v>1022879.179171539</v>
          </cell>
          <cell r="I1199">
            <v>537634.18281723827</v>
          </cell>
          <cell r="J1199">
            <v>316209.87776239344</v>
          </cell>
          <cell r="K1199">
            <v>712940.75558749202</v>
          </cell>
          <cell r="M1199">
            <v>586886.48527036421</v>
          </cell>
          <cell r="N1199">
            <v>0.83474576271186396</v>
          </cell>
        </row>
        <row r="1200">
          <cell r="A1200">
            <v>2038</v>
          </cell>
          <cell r="B1200" t="str">
            <v>Copper</v>
          </cell>
          <cell r="C1200" t="str">
            <v>Global Net-zero</v>
          </cell>
          <cell r="D1200" t="str">
            <v>Production potential</v>
          </cell>
          <cell r="E1200" t="str">
            <v>Current shares</v>
          </cell>
          <cell r="F1200" t="str">
            <v>Expansion Extractive+Circularity</v>
          </cell>
          <cell r="G1200">
            <v>1440730.5458499959</v>
          </cell>
          <cell r="H1200">
            <v>1022879.179171539</v>
          </cell>
          <cell r="I1200">
            <v>537634.18281723827</v>
          </cell>
          <cell r="J1200">
            <v>316209.87776239344</v>
          </cell>
          <cell r="K1200">
            <v>712940.75558749202</v>
          </cell>
          <cell r="M1200">
            <v>586886.48527036421</v>
          </cell>
          <cell r="N1200">
            <v>0.83474576271186396</v>
          </cell>
        </row>
        <row r="1201">
          <cell r="A1201">
            <v>2038</v>
          </cell>
          <cell r="B1201" t="str">
            <v>Copper</v>
          </cell>
          <cell r="C1201" t="str">
            <v>Global Net-zero</v>
          </cell>
          <cell r="D1201" t="str">
            <v>Production potential</v>
          </cell>
          <cell r="E1201" t="str">
            <v>100% CAN</v>
          </cell>
          <cell r="F1201" t="str">
            <v>Integrated</v>
          </cell>
          <cell r="G1201">
            <v>1440730.5458499959</v>
          </cell>
          <cell r="H1201">
            <v>1022879.179171539</v>
          </cell>
          <cell r="I1201">
            <v>853844.06057963229</v>
          </cell>
          <cell r="J1201">
            <v>0</v>
          </cell>
          <cell r="K1201">
            <v>712940.75558749202</v>
          </cell>
          <cell r="M1201">
            <v>586886.48527036363</v>
          </cell>
          <cell r="N1201">
            <v>0.83474576271186396</v>
          </cell>
        </row>
        <row r="1202">
          <cell r="A1202">
            <v>2038</v>
          </cell>
          <cell r="B1202" t="str">
            <v>Neodymium</v>
          </cell>
          <cell r="C1202" t="str">
            <v>Canada Net-zero</v>
          </cell>
          <cell r="D1202" t="str">
            <v>Existing production</v>
          </cell>
          <cell r="E1202" t="str">
            <v>Current shares</v>
          </cell>
          <cell r="F1202" t="str">
            <v>NIMBY</v>
          </cell>
          <cell r="G1202">
            <v>6459.3329184039349</v>
          </cell>
          <cell r="H1202">
            <v>0</v>
          </cell>
          <cell r="I1202">
            <v>0</v>
          </cell>
          <cell r="J1202">
            <v>0</v>
          </cell>
          <cell r="K1202">
            <v>10765.554864006561</v>
          </cell>
          <cell r="M1202">
            <v>6459.3329184039349</v>
          </cell>
          <cell r="N1202">
            <v>1</v>
          </cell>
        </row>
        <row r="1203">
          <cell r="A1203">
            <v>2038</v>
          </cell>
          <cell r="B1203" t="str">
            <v>Neodymium</v>
          </cell>
          <cell r="C1203" t="str">
            <v>Canada Net-zero</v>
          </cell>
          <cell r="D1203" t="str">
            <v>Existing production</v>
          </cell>
          <cell r="E1203" t="str">
            <v>Current shares</v>
          </cell>
          <cell r="F1203" t="str">
            <v>Status Quo</v>
          </cell>
          <cell r="G1203">
            <v>6459.3329184039349</v>
          </cell>
          <cell r="H1203">
            <v>0</v>
          </cell>
          <cell r="I1203">
            <v>0</v>
          </cell>
          <cell r="J1203">
            <v>0</v>
          </cell>
          <cell r="K1203">
            <v>10765.554864006561</v>
          </cell>
          <cell r="M1203">
            <v>6459.3329184039349</v>
          </cell>
          <cell r="N1203">
            <v>1</v>
          </cell>
        </row>
        <row r="1204">
          <cell r="A1204">
            <v>2038</v>
          </cell>
          <cell r="B1204" t="str">
            <v>Neodymium</v>
          </cell>
          <cell r="C1204" t="str">
            <v>Canada Net-zero</v>
          </cell>
          <cell r="D1204" t="str">
            <v>Production potential</v>
          </cell>
          <cell r="E1204" t="str">
            <v>Current shares</v>
          </cell>
          <cell r="F1204" t="str">
            <v>Expansion Extractive</v>
          </cell>
          <cell r="G1204">
            <v>6459.3329184039349</v>
          </cell>
          <cell r="H1204">
            <v>220.01865184508691</v>
          </cell>
          <cell r="I1204">
            <v>131.6908250261543</v>
          </cell>
          <cell r="J1204">
            <v>88.327826818932607</v>
          </cell>
          <cell r="K1204">
            <v>10545.536212161471</v>
          </cell>
          <cell r="M1204">
            <v>6239.3142665588484</v>
          </cell>
          <cell r="N1204">
            <v>1</v>
          </cell>
        </row>
        <row r="1205">
          <cell r="A1205">
            <v>2038</v>
          </cell>
          <cell r="B1205" t="str">
            <v>Neodymium</v>
          </cell>
          <cell r="C1205" t="str">
            <v>Canada Net-zero</v>
          </cell>
          <cell r="D1205" t="str">
            <v>Production potential</v>
          </cell>
          <cell r="E1205" t="str">
            <v>Current shares</v>
          </cell>
          <cell r="F1205" t="str">
            <v>Expansion Extractive+Circularity</v>
          </cell>
          <cell r="G1205">
            <v>6459.3329184039349</v>
          </cell>
          <cell r="H1205">
            <v>220.01865184508691</v>
          </cell>
          <cell r="I1205">
            <v>131.6908250261543</v>
          </cell>
          <cell r="J1205">
            <v>88.327826818932607</v>
          </cell>
          <cell r="K1205">
            <v>10545.536212161471</v>
          </cell>
          <cell r="M1205">
            <v>6239.3142665588484</v>
          </cell>
          <cell r="N1205">
            <v>1</v>
          </cell>
        </row>
        <row r="1206">
          <cell r="A1206">
            <v>2038</v>
          </cell>
          <cell r="B1206" t="str">
            <v>Neodymium</v>
          </cell>
          <cell r="C1206" t="str">
            <v>Canada Net-zero</v>
          </cell>
          <cell r="D1206" t="str">
            <v>Production potential</v>
          </cell>
          <cell r="E1206" t="str">
            <v>100% CAN</v>
          </cell>
          <cell r="F1206" t="str">
            <v>Integrated</v>
          </cell>
          <cell r="G1206">
            <v>6459.3329184039349</v>
          </cell>
          <cell r="H1206">
            <v>220.01865184508691</v>
          </cell>
          <cell r="I1206">
            <v>131.6908250261543</v>
          </cell>
          <cell r="J1206">
            <v>88.327826818932607</v>
          </cell>
          <cell r="K1206">
            <v>10545.536212161471</v>
          </cell>
          <cell r="M1206">
            <v>6239.3142665588484</v>
          </cell>
          <cell r="N1206">
            <v>1</v>
          </cell>
        </row>
        <row r="1207">
          <cell r="A1207">
            <v>2038</v>
          </cell>
          <cell r="B1207" t="str">
            <v>Neodymium</v>
          </cell>
          <cell r="C1207" t="str">
            <v>Current Measures</v>
          </cell>
          <cell r="D1207" t="str">
            <v>Existing production</v>
          </cell>
          <cell r="E1207" t="str">
            <v>Current shares</v>
          </cell>
          <cell r="F1207" t="str">
            <v>NIMBY</v>
          </cell>
          <cell r="G1207">
            <v>2100.0711128337948</v>
          </cell>
          <cell r="H1207">
            <v>0</v>
          </cell>
          <cell r="I1207">
            <v>0</v>
          </cell>
          <cell r="J1207">
            <v>0</v>
          </cell>
          <cell r="K1207">
            <v>3500.1185213896579</v>
          </cell>
          <cell r="M1207">
            <v>2100.0711128337948</v>
          </cell>
          <cell r="N1207">
            <v>1</v>
          </cell>
        </row>
        <row r="1208">
          <cell r="A1208">
            <v>2038</v>
          </cell>
          <cell r="B1208" t="str">
            <v>Neodymium</v>
          </cell>
          <cell r="C1208" t="str">
            <v>Current Measures</v>
          </cell>
          <cell r="D1208" t="str">
            <v>Existing production</v>
          </cell>
          <cell r="E1208" t="str">
            <v>Current shares</v>
          </cell>
          <cell r="F1208" t="str">
            <v>Status Quo</v>
          </cell>
          <cell r="G1208">
            <v>2100.0711128337948</v>
          </cell>
          <cell r="H1208">
            <v>0</v>
          </cell>
          <cell r="I1208">
            <v>0</v>
          </cell>
          <cell r="J1208">
            <v>0</v>
          </cell>
          <cell r="K1208">
            <v>3500.1185213896579</v>
          </cell>
          <cell r="M1208">
            <v>2100.0711128337948</v>
          </cell>
          <cell r="N1208">
            <v>1</v>
          </cell>
        </row>
        <row r="1209">
          <cell r="A1209">
            <v>2038</v>
          </cell>
          <cell r="B1209" t="str">
            <v>Neodymium</v>
          </cell>
          <cell r="C1209" t="str">
            <v>Current Measures</v>
          </cell>
          <cell r="D1209" t="str">
            <v>Production potential</v>
          </cell>
          <cell r="E1209" t="str">
            <v>Current shares</v>
          </cell>
          <cell r="F1209" t="str">
            <v>Expansion Extractive</v>
          </cell>
          <cell r="G1209">
            <v>2100.0711128337948</v>
          </cell>
          <cell r="H1209">
            <v>220.01865184508691</v>
          </cell>
          <cell r="I1209">
            <v>131.6908250261543</v>
          </cell>
          <cell r="J1209">
            <v>88.327826818932607</v>
          </cell>
          <cell r="K1209">
            <v>3280.099869544571</v>
          </cell>
          <cell r="M1209">
            <v>1880.0524609887084</v>
          </cell>
          <cell r="N1209">
            <v>1</v>
          </cell>
        </row>
        <row r="1210">
          <cell r="A1210">
            <v>2038</v>
          </cell>
          <cell r="B1210" t="str">
            <v>Neodymium</v>
          </cell>
          <cell r="C1210" t="str">
            <v>Current Measures</v>
          </cell>
          <cell r="D1210" t="str">
            <v>Production potential</v>
          </cell>
          <cell r="E1210" t="str">
            <v>Current shares</v>
          </cell>
          <cell r="F1210" t="str">
            <v>Expansion Extractive+Circularity</v>
          </cell>
          <cell r="G1210">
            <v>2100.0711128337948</v>
          </cell>
          <cell r="H1210">
            <v>220.01865184508691</v>
          </cell>
          <cell r="I1210">
            <v>131.6908250261543</v>
          </cell>
          <cell r="J1210">
            <v>88.327826818932607</v>
          </cell>
          <cell r="K1210">
            <v>3280.099869544571</v>
          </cell>
          <cell r="M1210">
            <v>1880.0524609887084</v>
          </cell>
          <cell r="N1210">
            <v>1</v>
          </cell>
        </row>
        <row r="1211">
          <cell r="A1211">
            <v>2038</v>
          </cell>
          <cell r="B1211" t="str">
            <v>Neodymium</v>
          </cell>
          <cell r="C1211" t="str">
            <v>Current Measures</v>
          </cell>
          <cell r="D1211" t="str">
            <v>Production potential</v>
          </cell>
          <cell r="E1211" t="str">
            <v>100% CAN</v>
          </cell>
          <cell r="F1211" t="str">
            <v>Integrated</v>
          </cell>
          <cell r="G1211">
            <v>2100.0711128337948</v>
          </cell>
          <cell r="H1211">
            <v>220.01865184508691</v>
          </cell>
          <cell r="I1211">
            <v>131.6908250261543</v>
          </cell>
          <cell r="J1211">
            <v>88.327826818932607</v>
          </cell>
          <cell r="K1211">
            <v>3280.099869544571</v>
          </cell>
          <cell r="M1211">
            <v>1880.0524609887084</v>
          </cell>
          <cell r="N1211">
            <v>1</v>
          </cell>
        </row>
        <row r="1212">
          <cell r="A1212">
            <v>2038</v>
          </cell>
          <cell r="B1212" t="str">
            <v>Neodymium</v>
          </cell>
          <cell r="C1212" t="str">
            <v>Global Net-zero</v>
          </cell>
          <cell r="D1212" t="str">
            <v>Existing production</v>
          </cell>
          <cell r="E1212" t="str">
            <v>Current shares</v>
          </cell>
          <cell r="F1212" t="str">
            <v>NIMBY</v>
          </cell>
          <cell r="G1212">
            <v>6193.6061432774541</v>
          </cell>
          <cell r="H1212">
            <v>0</v>
          </cell>
          <cell r="I1212">
            <v>0</v>
          </cell>
          <cell r="J1212">
            <v>0</v>
          </cell>
          <cell r="K1212">
            <v>10322.67690546242</v>
          </cell>
          <cell r="M1212">
            <v>6193.6061432774541</v>
          </cell>
          <cell r="N1212">
            <v>1</v>
          </cell>
        </row>
        <row r="1213">
          <cell r="A1213">
            <v>2038</v>
          </cell>
          <cell r="B1213" t="str">
            <v>Neodymium</v>
          </cell>
          <cell r="C1213" t="str">
            <v>Global Net-zero</v>
          </cell>
          <cell r="D1213" t="str">
            <v>Existing production</v>
          </cell>
          <cell r="E1213" t="str">
            <v>Current shares</v>
          </cell>
          <cell r="F1213" t="str">
            <v>Status Quo</v>
          </cell>
          <cell r="G1213">
            <v>6193.6061432774541</v>
          </cell>
          <cell r="H1213">
            <v>0</v>
          </cell>
          <cell r="I1213">
            <v>0</v>
          </cell>
          <cell r="J1213">
            <v>0</v>
          </cell>
          <cell r="K1213">
            <v>10322.67690546242</v>
          </cell>
          <cell r="M1213">
            <v>6193.6061432774541</v>
          </cell>
          <cell r="N1213">
            <v>1</v>
          </cell>
        </row>
        <row r="1214">
          <cell r="A1214">
            <v>2038</v>
          </cell>
          <cell r="B1214" t="str">
            <v>Neodymium</v>
          </cell>
          <cell r="C1214" t="str">
            <v>Global Net-zero</v>
          </cell>
          <cell r="D1214" t="str">
            <v>Production potential</v>
          </cell>
          <cell r="E1214" t="str">
            <v>Current shares</v>
          </cell>
          <cell r="F1214" t="str">
            <v>Expansion Extractive</v>
          </cell>
          <cell r="G1214">
            <v>6193.6061432774541</v>
          </cell>
          <cell r="H1214">
            <v>220.01865184508691</v>
          </cell>
          <cell r="I1214">
            <v>131.6908250261543</v>
          </cell>
          <cell r="J1214">
            <v>88.327826818932607</v>
          </cell>
          <cell r="K1214">
            <v>10102.658253617339</v>
          </cell>
          <cell r="M1214">
            <v>5973.5874914323676</v>
          </cell>
          <cell r="N1214">
            <v>1</v>
          </cell>
        </row>
        <row r="1215">
          <cell r="A1215">
            <v>2038</v>
          </cell>
          <cell r="B1215" t="str">
            <v>Neodymium</v>
          </cell>
          <cell r="C1215" t="str">
            <v>Global Net-zero</v>
          </cell>
          <cell r="D1215" t="str">
            <v>Production potential</v>
          </cell>
          <cell r="E1215" t="str">
            <v>Current shares</v>
          </cell>
          <cell r="F1215" t="str">
            <v>Expansion Extractive+Circularity</v>
          </cell>
          <cell r="G1215">
            <v>6193.6061432774541</v>
          </cell>
          <cell r="H1215">
            <v>220.01865184508691</v>
          </cell>
          <cell r="I1215">
            <v>131.6908250261543</v>
          </cell>
          <cell r="J1215">
            <v>88.327826818932607</v>
          </cell>
          <cell r="K1215">
            <v>10102.658253617339</v>
          </cell>
          <cell r="M1215">
            <v>5973.5874914323676</v>
          </cell>
          <cell r="N1215">
            <v>1</v>
          </cell>
        </row>
        <row r="1216">
          <cell r="A1216">
            <v>2038</v>
          </cell>
          <cell r="B1216" t="str">
            <v>Neodymium</v>
          </cell>
          <cell r="C1216" t="str">
            <v>Global Net-zero</v>
          </cell>
          <cell r="D1216" t="str">
            <v>Production potential</v>
          </cell>
          <cell r="E1216" t="str">
            <v>100% CAN</v>
          </cell>
          <cell r="F1216" t="str">
            <v>Integrated</v>
          </cell>
          <cell r="G1216">
            <v>6193.6061432774541</v>
          </cell>
          <cell r="H1216">
            <v>220.01865184508691</v>
          </cell>
          <cell r="I1216">
            <v>131.6908250261543</v>
          </cell>
          <cell r="J1216">
            <v>88.327826818932607</v>
          </cell>
          <cell r="K1216">
            <v>10102.658253617339</v>
          </cell>
          <cell r="M1216">
            <v>5973.5874914323676</v>
          </cell>
          <cell r="N1216">
            <v>1</v>
          </cell>
        </row>
        <row r="1217">
          <cell r="A1217">
            <v>2038</v>
          </cell>
          <cell r="B1217" t="str">
            <v>Nickel</v>
          </cell>
          <cell r="C1217" t="str">
            <v>Canada Net-zero</v>
          </cell>
          <cell r="D1217" t="str">
            <v>Existing production</v>
          </cell>
          <cell r="E1217" t="str">
            <v>Current shares</v>
          </cell>
          <cell r="F1217" t="str">
            <v>NIMBY</v>
          </cell>
          <cell r="G1217">
            <v>187518.08361798589</v>
          </cell>
          <cell r="H1217">
            <v>0</v>
          </cell>
          <cell r="I1217">
            <v>0</v>
          </cell>
          <cell r="J1217">
            <v>0</v>
          </cell>
          <cell r="K1217">
            <v>237364.66280757709</v>
          </cell>
          <cell r="M1217">
            <v>187518.08361798589</v>
          </cell>
          <cell r="N1217">
            <v>0.69917047091553897</v>
          </cell>
        </row>
        <row r="1218">
          <cell r="A1218">
            <v>2038</v>
          </cell>
          <cell r="B1218" t="str">
            <v>Nickel</v>
          </cell>
          <cell r="C1218" t="str">
            <v>Canada Net-zero</v>
          </cell>
          <cell r="D1218" t="str">
            <v>Existing production</v>
          </cell>
          <cell r="E1218" t="str">
            <v>Current shares</v>
          </cell>
          <cell r="F1218" t="str">
            <v>Status Quo</v>
          </cell>
          <cell r="G1218">
            <v>187518.08361798589</v>
          </cell>
          <cell r="H1218">
            <v>40840</v>
          </cell>
          <cell r="I1218">
            <v>22906.340951526421</v>
          </cell>
          <cell r="J1218">
            <v>5647.7810806641901</v>
          </cell>
          <cell r="K1218">
            <v>196524.66280757709</v>
          </cell>
          <cell r="M1218">
            <v>158963.9615857953</v>
          </cell>
          <cell r="N1218">
            <v>0.69917047091553897</v>
          </cell>
        </row>
        <row r="1219">
          <cell r="A1219">
            <v>2038</v>
          </cell>
          <cell r="B1219" t="str">
            <v>Nickel</v>
          </cell>
          <cell r="C1219" t="str">
            <v>Canada Net-zero</v>
          </cell>
          <cell r="D1219" t="str">
            <v>Production potential</v>
          </cell>
          <cell r="E1219" t="str">
            <v>Current shares</v>
          </cell>
          <cell r="F1219" t="str">
            <v>Expansion Extractive</v>
          </cell>
          <cell r="G1219">
            <v>187518.08361798589</v>
          </cell>
          <cell r="H1219">
            <v>258091.26037832</v>
          </cell>
          <cell r="I1219">
            <v>144758.23718988689</v>
          </cell>
          <cell r="J1219">
            <v>35691.550868008082</v>
          </cell>
          <cell r="K1219">
            <v>0</v>
          </cell>
          <cell r="M1219">
            <v>7068.295560090919</v>
          </cell>
          <cell r="N1219">
            <v>0.69917047091553897</v>
          </cell>
        </row>
        <row r="1220">
          <cell r="A1220">
            <v>2038</v>
          </cell>
          <cell r="B1220" t="str">
            <v>Nickel</v>
          </cell>
          <cell r="C1220" t="str">
            <v>Canada Net-zero</v>
          </cell>
          <cell r="D1220" t="str">
            <v>Production potential</v>
          </cell>
          <cell r="E1220" t="str">
            <v>Current shares</v>
          </cell>
          <cell r="F1220" t="str">
            <v>Expansion Extractive+Circularity</v>
          </cell>
          <cell r="G1220">
            <v>187518.08361798589</v>
          </cell>
          <cell r="H1220">
            <v>258091.26037832</v>
          </cell>
          <cell r="I1220">
            <v>144758.23718988689</v>
          </cell>
          <cell r="J1220">
            <v>35691.550868008082</v>
          </cell>
          <cell r="K1220">
            <v>0</v>
          </cell>
          <cell r="M1220">
            <v>7068.295560090919</v>
          </cell>
          <cell r="N1220">
            <v>0.69917047091553897</v>
          </cell>
        </row>
        <row r="1221">
          <cell r="A1221">
            <v>2038</v>
          </cell>
          <cell r="B1221" t="str">
            <v>Nickel</v>
          </cell>
          <cell r="C1221" t="str">
            <v>Canada Net-zero</v>
          </cell>
          <cell r="D1221" t="str">
            <v>Production potential</v>
          </cell>
          <cell r="E1221" t="str">
            <v>100% CAN</v>
          </cell>
          <cell r="F1221" t="str">
            <v>Integrated</v>
          </cell>
          <cell r="G1221">
            <v>187518.08361798589</v>
          </cell>
          <cell r="H1221">
            <v>258091.26037832</v>
          </cell>
          <cell r="I1221">
            <v>203261.06175615019</v>
          </cell>
          <cell r="J1221">
            <v>-22811.273698255216</v>
          </cell>
          <cell r="K1221">
            <v>0</v>
          </cell>
          <cell r="M1221">
            <v>22811.273698255216</v>
          </cell>
          <cell r="N1221">
            <v>0.69917047091553897</v>
          </cell>
        </row>
        <row r="1222">
          <cell r="A1222">
            <v>2038</v>
          </cell>
          <cell r="B1222" t="str">
            <v>Nickel</v>
          </cell>
          <cell r="C1222" t="str">
            <v>Current Measures</v>
          </cell>
          <cell r="D1222" t="str">
            <v>Existing production</v>
          </cell>
          <cell r="E1222" t="str">
            <v>Current shares</v>
          </cell>
          <cell r="F1222" t="str">
            <v>NIMBY</v>
          </cell>
          <cell r="G1222">
            <v>73173.599088158604</v>
          </cell>
          <cell r="H1222">
            <v>0</v>
          </cell>
          <cell r="I1222">
            <v>0</v>
          </cell>
          <cell r="J1222">
            <v>0</v>
          </cell>
          <cell r="K1222">
            <v>92624.808972352665</v>
          </cell>
          <cell r="M1222">
            <v>73173.599088158604</v>
          </cell>
          <cell r="N1222">
            <v>0.69917047091553897</v>
          </cell>
        </row>
        <row r="1223">
          <cell r="A1223">
            <v>2038</v>
          </cell>
          <cell r="B1223" t="str">
            <v>Nickel</v>
          </cell>
          <cell r="C1223" t="str">
            <v>Current Measures</v>
          </cell>
          <cell r="D1223" t="str">
            <v>Existing production</v>
          </cell>
          <cell r="E1223" t="str">
            <v>Current shares</v>
          </cell>
          <cell r="F1223" t="str">
            <v>Status Quo</v>
          </cell>
          <cell r="G1223">
            <v>73173.599088158604</v>
          </cell>
          <cell r="H1223">
            <v>40840</v>
          </cell>
          <cell r="I1223">
            <v>22906.340951526421</v>
          </cell>
          <cell r="J1223">
            <v>5647.7810806641901</v>
          </cell>
          <cell r="K1223">
            <v>51784.808972352657</v>
          </cell>
          <cell r="M1223">
            <v>44619.477055967989</v>
          </cell>
          <cell r="N1223">
            <v>0.69917047091553897</v>
          </cell>
        </row>
        <row r="1224">
          <cell r="A1224">
            <v>2038</v>
          </cell>
          <cell r="B1224" t="str">
            <v>Nickel</v>
          </cell>
          <cell r="C1224" t="str">
            <v>Current Measures</v>
          </cell>
          <cell r="D1224" t="str">
            <v>Production potential</v>
          </cell>
          <cell r="E1224" t="str">
            <v>Current shares</v>
          </cell>
          <cell r="F1224" t="str">
            <v>Expansion Extractive</v>
          </cell>
          <cell r="G1224">
            <v>73173.599088158604</v>
          </cell>
          <cell r="H1224">
            <v>258091.26037832</v>
          </cell>
          <cell r="I1224">
            <v>144758.23718988689</v>
          </cell>
          <cell r="J1224">
            <v>35691.550868008082</v>
          </cell>
          <cell r="K1224">
            <v>0</v>
          </cell>
          <cell r="M1224">
            <v>0</v>
          </cell>
          <cell r="N1224">
            <v>0.69917047091553897</v>
          </cell>
        </row>
        <row r="1225">
          <cell r="A1225">
            <v>2038</v>
          </cell>
          <cell r="B1225" t="str">
            <v>Nickel</v>
          </cell>
          <cell r="C1225" t="str">
            <v>Current Measures</v>
          </cell>
          <cell r="D1225" t="str">
            <v>Production potential</v>
          </cell>
          <cell r="E1225" t="str">
            <v>Current shares</v>
          </cell>
          <cell r="F1225" t="str">
            <v>Expansion Extractive+Circularity</v>
          </cell>
          <cell r="G1225">
            <v>73173.599088158604</v>
          </cell>
          <cell r="H1225">
            <v>258091.26037832</v>
          </cell>
          <cell r="I1225">
            <v>144758.23718988689</v>
          </cell>
          <cell r="J1225">
            <v>35691.550868008082</v>
          </cell>
          <cell r="K1225">
            <v>0</v>
          </cell>
          <cell r="M1225">
            <v>0</v>
          </cell>
          <cell r="N1225">
            <v>0.69917047091553897</v>
          </cell>
        </row>
        <row r="1226">
          <cell r="A1226">
            <v>2038</v>
          </cell>
          <cell r="B1226" t="str">
            <v>Nickel</v>
          </cell>
          <cell r="C1226" t="str">
            <v>Current Measures</v>
          </cell>
          <cell r="D1226" t="str">
            <v>Production potential</v>
          </cell>
          <cell r="E1226" t="str">
            <v>100% CAN</v>
          </cell>
          <cell r="F1226" t="str">
            <v>Integrated</v>
          </cell>
          <cell r="G1226">
            <v>73173.599088158604</v>
          </cell>
          <cell r="H1226">
            <v>258091.26037832</v>
          </cell>
          <cell r="I1226">
            <v>203261.06175615019</v>
          </cell>
          <cell r="J1226">
            <v>-22811.273698255216</v>
          </cell>
          <cell r="K1226">
            <v>0</v>
          </cell>
          <cell r="M1226">
            <v>22811.273698255216</v>
          </cell>
          <cell r="N1226">
            <v>0.69917047091553897</v>
          </cell>
        </row>
        <row r="1227">
          <cell r="A1227">
            <v>2038</v>
          </cell>
          <cell r="B1227" t="str">
            <v>Nickel</v>
          </cell>
          <cell r="C1227" t="str">
            <v>Global Net-zero</v>
          </cell>
          <cell r="D1227" t="str">
            <v>Existing production</v>
          </cell>
          <cell r="E1227" t="str">
            <v>Current shares</v>
          </cell>
          <cell r="F1227" t="str">
            <v>NIMBY</v>
          </cell>
          <cell r="G1227">
            <v>180012.93508836121</v>
          </cell>
          <cell r="H1227">
            <v>0</v>
          </cell>
          <cell r="I1227">
            <v>0</v>
          </cell>
          <cell r="J1227">
            <v>0</v>
          </cell>
          <cell r="K1227">
            <v>227864.47479539391</v>
          </cell>
          <cell r="M1227">
            <v>180012.93508836121</v>
          </cell>
          <cell r="N1227">
            <v>0.69917047091553897</v>
          </cell>
        </row>
        <row r="1228">
          <cell r="A1228">
            <v>2038</v>
          </cell>
          <cell r="B1228" t="str">
            <v>Nickel</v>
          </cell>
          <cell r="C1228" t="str">
            <v>Global Net-zero</v>
          </cell>
          <cell r="D1228" t="str">
            <v>Existing production</v>
          </cell>
          <cell r="E1228" t="str">
            <v>Current shares</v>
          </cell>
          <cell r="F1228" t="str">
            <v>Status Quo</v>
          </cell>
          <cell r="G1228">
            <v>180012.93508836121</v>
          </cell>
          <cell r="H1228">
            <v>40840</v>
          </cell>
          <cell r="I1228">
            <v>22906.340951526421</v>
          </cell>
          <cell r="J1228">
            <v>5647.7810806641901</v>
          </cell>
          <cell r="K1228">
            <v>187024.47479539391</v>
          </cell>
          <cell r="M1228">
            <v>151458.81305617062</v>
          </cell>
          <cell r="N1228">
            <v>0.69917047091553897</v>
          </cell>
        </row>
        <row r="1229">
          <cell r="A1229">
            <v>2038</v>
          </cell>
          <cell r="B1229" t="str">
            <v>Nickel</v>
          </cell>
          <cell r="C1229" t="str">
            <v>Global Net-zero</v>
          </cell>
          <cell r="D1229" t="str">
            <v>Production potential</v>
          </cell>
          <cell r="E1229" t="str">
            <v>Current shares</v>
          </cell>
          <cell r="F1229" t="str">
            <v>Expansion Extractive</v>
          </cell>
          <cell r="G1229">
            <v>180012.93508836121</v>
          </cell>
          <cell r="H1229">
            <v>258091.26037832</v>
          </cell>
          <cell r="I1229">
            <v>144758.23718988689</v>
          </cell>
          <cell r="J1229">
            <v>35691.550868008082</v>
          </cell>
          <cell r="K1229">
            <v>0</v>
          </cell>
          <cell r="M1229">
            <v>0</v>
          </cell>
          <cell r="N1229">
            <v>0.69917047091553897</v>
          </cell>
        </row>
        <row r="1230">
          <cell r="A1230">
            <v>2038</v>
          </cell>
          <cell r="B1230" t="str">
            <v>Nickel</v>
          </cell>
          <cell r="C1230" t="str">
            <v>Global Net-zero</v>
          </cell>
          <cell r="D1230" t="str">
            <v>Production potential</v>
          </cell>
          <cell r="E1230" t="str">
            <v>Current shares</v>
          </cell>
          <cell r="F1230" t="str">
            <v>Expansion Extractive+Circularity</v>
          </cell>
          <cell r="G1230">
            <v>180012.93508836121</v>
          </cell>
          <cell r="H1230">
            <v>258091.26037832</v>
          </cell>
          <cell r="I1230">
            <v>144758.23718988689</v>
          </cell>
          <cell r="J1230">
            <v>35691.550868008082</v>
          </cell>
          <cell r="K1230">
            <v>0</v>
          </cell>
          <cell r="M1230">
            <v>0</v>
          </cell>
          <cell r="N1230">
            <v>0.69917047091553897</v>
          </cell>
        </row>
        <row r="1231">
          <cell r="A1231">
            <v>2038</v>
          </cell>
          <cell r="B1231" t="str">
            <v>Nickel</v>
          </cell>
          <cell r="C1231" t="str">
            <v>Global Net-zero</v>
          </cell>
          <cell r="D1231" t="str">
            <v>Production potential</v>
          </cell>
          <cell r="E1231" t="str">
            <v>100% CAN</v>
          </cell>
          <cell r="F1231" t="str">
            <v>Integrated</v>
          </cell>
          <cell r="G1231">
            <v>180012.93508836121</v>
          </cell>
          <cell r="H1231">
            <v>258091.26037832</v>
          </cell>
          <cell r="I1231">
            <v>203261.06175615019</v>
          </cell>
          <cell r="J1231">
            <v>-22811.273698255216</v>
          </cell>
          <cell r="K1231">
            <v>0</v>
          </cell>
          <cell r="M1231">
            <v>22811.273698255216</v>
          </cell>
          <cell r="N1231">
            <v>0.69917047091553897</v>
          </cell>
        </row>
        <row r="1232">
          <cell r="A1232">
            <v>2038</v>
          </cell>
          <cell r="B1232" t="str">
            <v>Graphite</v>
          </cell>
          <cell r="C1232" t="str">
            <v>Canada Net-zero</v>
          </cell>
          <cell r="D1232" t="str">
            <v>Existing production</v>
          </cell>
          <cell r="E1232" t="str">
            <v>Current shares</v>
          </cell>
          <cell r="F1232" t="str">
            <v>NIMBY</v>
          </cell>
          <cell r="G1232">
            <v>3217.8690369252022</v>
          </cell>
          <cell r="H1232">
            <v>0</v>
          </cell>
          <cell r="I1232">
            <v>0</v>
          </cell>
          <cell r="J1232">
            <v>0</v>
          </cell>
          <cell r="K1232">
            <v>3217.8690369252022</v>
          </cell>
          <cell r="M1232">
            <v>3217.8690369252022</v>
          </cell>
          <cell r="N1232">
            <v>0.59854391398996798</v>
          </cell>
        </row>
        <row r="1233">
          <cell r="A1233">
            <v>2038</v>
          </cell>
          <cell r="B1233" t="str">
            <v>Graphite</v>
          </cell>
          <cell r="C1233" t="str">
            <v>Canada Net-zero</v>
          </cell>
          <cell r="D1233" t="str">
            <v>Existing production</v>
          </cell>
          <cell r="E1233" t="str">
            <v>Current shares</v>
          </cell>
          <cell r="F1233" t="str">
            <v>Status Quo</v>
          </cell>
          <cell r="G1233">
            <v>3217.8690369252022</v>
          </cell>
          <cell r="H1233">
            <v>0</v>
          </cell>
          <cell r="I1233">
            <v>0</v>
          </cell>
          <cell r="J1233">
            <v>0</v>
          </cell>
          <cell r="K1233">
            <v>3217.8690369252022</v>
          </cell>
          <cell r="M1233">
            <v>3217.8690369252022</v>
          </cell>
          <cell r="N1233">
            <v>0.59854391398996798</v>
          </cell>
        </row>
        <row r="1234">
          <cell r="A1234">
            <v>2038</v>
          </cell>
          <cell r="B1234" t="str">
            <v>Graphite</v>
          </cell>
          <cell r="C1234" t="str">
            <v>Canada Net-zero</v>
          </cell>
          <cell r="D1234" t="str">
            <v>Production potential</v>
          </cell>
          <cell r="E1234" t="str">
            <v>Current shares</v>
          </cell>
          <cell r="F1234" t="str">
            <v>Expansion Extractive</v>
          </cell>
          <cell r="G1234">
            <v>3217.8690369252022</v>
          </cell>
          <cell r="H1234">
            <v>274859.68267713313</v>
          </cell>
          <cell r="I1234">
            <v>90703.695283453941</v>
          </cell>
          <cell r="J1234">
            <v>73811.894984157931</v>
          </cell>
          <cell r="K1234">
            <v>0</v>
          </cell>
          <cell r="M1234">
            <v>0</v>
          </cell>
          <cell r="N1234">
            <v>0.59854391398996798</v>
          </cell>
        </row>
        <row r="1235">
          <cell r="A1235">
            <v>2038</v>
          </cell>
          <cell r="B1235" t="str">
            <v>Graphite</v>
          </cell>
          <cell r="C1235" t="str">
            <v>Canada Net-zero</v>
          </cell>
          <cell r="D1235" t="str">
            <v>Production potential</v>
          </cell>
          <cell r="E1235" t="str">
            <v>Current shares</v>
          </cell>
          <cell r="F1235" t="str">
            <v>Expansion Extractive+Circularity</v>
          </cell>
          <cell r="G1235">
            <v>3217.8690369252022</v>
          </cell>
          <cell r="H1235">
            <v>274859.68267713313</v>
          </cell>
          <cell r="I1235">
            <v>90703.695283453941</v>
          </cell>
          <cell r="J1235">
            <v>73811.894984157931</v>
          </cell>
          <cell r="K1235">
            <v>0</v>
          </cell>
          <cell r="M1235">
            <v>0</v>
          </cell>
          <cell r="N1235">
            <v>0.59854391398996798</v>
          </cell>
        </row>
        <row r="1236">
          <cell r="A1236">
            <v>2038</v>
          </cell>
          <cell r="B1236" t="str">
            <v>Graphite</v>
          </cell>
          <cell r="C1236" t="str">
            <v>Canada Net-zero</v>
          </cell>
          <cell r="D1236" t="str">
            <v>Production potential</v>
          </cell>
          <cell r="E1236" t="str">
            <v>100% CAN</v>
          </cell>
          <cell r="F1236" t="str">
            <v>Integrated</v>
          </cell>
          <cell r="G1236">
            <v>3217.8690369252022</v>
          </cell>
          <cell r="H1236">
            <v>274859.68267713313</v>
          </cell>
          <cell r="I1236">
            <v>90703.695283453941</v>
          </cell>
          <cell r="J1236">
            <v>73811.894984157931</v>
          </cell>
          <cell r="K1236">
            <v>0</v>
          </cell>
          <cell r="M1236">
            <v>0</v>
          </cell>
          <cell r="N1236">
            <v>0.59854391398996798</v>
          </cell>
        </row>
        <row r="1237">
          <cell r="A1237">
            <v>2038</v>
          </cell>
          <cell r="B1237" t="str">
            <v>Graphite</v>
          </cell>
          <cell r="C1237" t="str">
            <v>Current Measures</v>
          </cell>
          <cell r="D1237" t="str">
            <v>Existing production</v>
          </cell>
          <cell r="E1237" t="str">
            <v>Current shares</v>
          </cell>
          <cell r="F1237" t="str">
            <v>NIMBY</v>
          </cell>
          <cell r="G1237">
            <v>1181.563288191096</v>
          </cell>
          <cell r="H1237">
            <v>0</v>
          </cell>
          <cell r="I1237">
            <v>0</v>
          </cell>
          <cell r="J1237">
            <v>0</v>
          </cell>
          <cell r="K1237">
            <v>1181.563288191096</v>
          </cell>
          <cell r="M1237">
            <v>1181.563288191096</v>
          </cell>
          <cell r="N1237">
            <v>0.59854391398996798</v>
          </cell>
        </row>
        <row r="1238">
          <cell r="A1238">
            <v>2038</v>
          </cell>
          <cell r="B1238" t="str">
            <v>Graphite</v>
          </cell>
          <cell r="C1238" t="str">
            <v>Current Measures</v>
          </cell>
          <cell r="D1238" t="str">
            <v>Existing production</v>
          </cell>
          <cell r="E1238" t="str">
            <v>Current shares</v>
          </cell>
          <cell r="F1238" t="str">
            <v>Status Quo</v>
          </cell>
          <cell r="G1238">
            <v>1181.563288191096</v>
          </cell>
          <cell r="H1238">
            <v>0</v>
          </cell>
          <cell r="I1238">
            <v>0</v>
          </cell>
          <cell r="J1238">
            <v>0</v>
          </cell>
          <cell r="K1238">
            <v>1181.563288191096</v>
          </cell>
          <cell r="M1238">
            <v>1181.563288191096</v>
          </cell>
          <cell r="N1238">
            <v>0.59854391398996798</v>
          </cell>
        </row>
        <row r="1239">
          <cell r="A1239">
            <v>2038</v>
          </cell>
          <cell r="B1239" t="str">
            <v>Graphite</v>
          </cell>
          <cell r="C1239" t="str">
            <v>Current Measures</v>
          </cell>
          <cell r="D1239" t="str">
            <v>Production potential</v>
          </cell>
          <cell r="E1239" t="str">
            <v>Current shares</v>
          </cell>
          <cell r="F1239" t="str">
            <v>Expansion Extractive</v>
          </cell>
          <cell r="G1239">
            <v>1181.563288191096</v>
          </cell>
          <cell r="H1239">
            <v>274859.68267713313</v>
          </cell>
          <cell r="I1239">
            <v>90703.695283453941</v>
          </cell>
          <cell r="J1239">
            <v>73811.894984157931</v>
          </cell>
          <cell r="K1239">
            <v>0</v>
          </cell>
          <cell r="M1239">
            <v>0</v>
          </cell>
          <cell r="N1239">
            <v>0.59854391398996798</v>
          </cell>
        </row>
        <row r="1240">
          <cell r="A1240">
            <v>2038</v>
          </cell>
          <cell r="B1240" t="str">
            <v>Graphite</v>
          </cell>
          <cell r="C1240" t="str">
            <v>Current Measures</v>
          </cell>
          <cell r="D1240" t="str">
            <v>Production potential</v>
          </cell>
          <cell r="E1240" t="str">
            <v>Current shares</v>
          </cell>
          <cell r="F1240" t="str">
            <v>Expansion Extractive+Circularity</v>
          </cell>
          <cell r="G1240">
            <v>1181.563288191096</v>
          </cell>
          <cell r="H1240">
            <v>274859.68267713313</v>
          </cell>
          <cell r="I1240">
            <v>90703.695283453941</v>
          </cell>
          <cell r="J1240">
            <v>73811.894984157931</v>
          </cell>
          <cell r="K1240">
            <v>0</v>
          </cell>
          <cell r="M1240">
            <v>0</v>
          </cell>
          <cell r="N1240">
            <v>0.59854391398996798</v>
          </cell>
        </row>
        <row r="1241">
          <cell r="A1241">
            <v>2038</v>
          </cell>
          <cell r="B1241" t="str">
            <v>Graphite</v>
          </cell>
          <cell r="C1241" t="str">
            <v>Current Measures</v>
          </cell>
          <cell r="D1241" t="str">
            <v>Production potential</v>
          </cell>
          <cell r="E1241" t="str">
            <v>100% CAN</v>
          </cell>
          <cell r="F1241" t="str">
            <v>Integrated</v>
          </cell>
          <cell r="G1241">
            <v>1181.563288191096</v>
          </cell>
          <cell r="H1241">
            <v>274859.68267713313</v>
          </cell>
          <cell r="I1241">
            <v>90703.695283453941</v>
          </cell>
          <cell r="J1241">
            <v>73811.894984157931</v>
          </cell>
          <cell r="K1241">
            <v>0</v>
          </cell>
          <cell r="M1241">
            <v>0</v>
          </cell>
          <cell r="N1241">
            <v>0.59854391398996798</v>
          </cell>
        </row>
        <row r="1242">
          <cell r="A1242">
            <v>2038</v>
          </cell>
          <cell r="B1242" t="str">
            <v>Graphite</v>
          </cell>
          <cell r="C1242" t="str">
            <v>Global Net-zero</v>
          </cell>
          <cell r="D1242" t="str">
            <v>Existing production</v>
          </cell>
          <cell r="E1242" t="str">
            <v>Current shares</v>
          </cell>
          <cell r="F1242" t="str">
            <v>NIMBY</v>
          </cell>
          <cell r="G1242">
            <v>3068.3631462626749</v>
          </cell>
          <cell r="H1242">
            <v>0</v>
          </cell>
          <cell r="I1242">
            <v>0</v>
          </cell>
          <cell r="J1242">
            <v>0</v>
          </cell>
          <cell r="K1242">
            <v>3068.3631462626749</v>
          </cell>
          <cell r="M1242">
            <v>3068.3631462626749</v>
          </cell>
          <cell r="N1242">
            <v>0.59854391398996798</v>
          </cell>
        </row>
        <row r="1243">
          <cell r="A1243">
            <v>2038</v>
          </cell>
          <cell r="B1243" t="str">
            <v>Graphite</v>
          </cell>
          <cell r="C1243" t="str">
            <v>Global Net-zero</v>
          </cell>
          <cell r="D1243" t="str">
            <v>Existing production</v>
          </cell>
          <cell r="E1243" t="str">
            <v>Current shares</v>
          </cell>
          <cell r="F1243" t="str">
            <v>Status Quo</v>
          </cell>
          <cell r="G1243">
            <v>3068.3631462626749</v>
          </cell>
          <cell r="H1243">
            <v>0</v>
          </cell>
          <cell r="I1243">
            <v>0</v>
          </cell>
          <cell r="J1243">
            <v>0</v>
          </cell>
          <cell r="K1243">
            <v>3068.3631462626749</v>
          </cell>
          <cell r="M1243">
            <v>3068.3631462626749</v>
          </cell>
          <cell r="N1243">
            <v>0.59854391398996798</v>
          </cell>
        </row>
        <row r="1244">
          <cell r="A1244">
            <v>2038</v>
          </cell>
          <cell r="B1244" t="str">
            <v>Graphite</v>
          </cell>
          <cell r="C1244" t="str">
            <v>Global Net-zero</v>
          </cell>
          <cell r="D1244" t="str">
            <v>Production potential</v>
          </cell>
          <cell r="E1244" t="str">
            <v>Current shares</v>
          </cell>
          <cell r="F1244" t="str">
            <v>Expansion Extractive</v>
          </cell>
          <cell r="G1244">
            <v>3068.3631462626749</v>
          </cell>
          <cell r="H1244">
            <v>274859.68267713313</v>
          </cell>
          <cell r="I1244">
            <v>90703.695283453941</v>
          </cell>
          <cell r="J1244">
            <v>73811.894984157931</v>
          </cell>
          <cell r="K1244">
            <v>0</v>
          </cell>
          <cell r="M1244">
            <v>0</v>
          </cell>
          <cell r="N1244">
            <v>0.59854391398996798</v>
          </cell>
        </row>
        <row r="1245">
          <cell r="A1245">
            <v>2038</v>
          </cell>
          <cell r="B1245" t="str">
            <v>Graphite</v>
          </cell>
          <cell r="C1245" t="str">
            <v>Global Net-zero</v>
          </cell>
          <cell r="D1245" t="str">
            <v>Production potential</v>
          </cell>
          <cell r="E1245" t="str">
            <v>Current shares</v>
          </cell>
          <cell r="F1245" t="str">
            <v>Expansion Extractive+Circularity</v>
          </cell>
          <cell r="G1245">
            <v>3068.3631462626749</v>
          </cell>
          <cell r="H1245">
            <v>274859.68267713313</v>
          </cell>
          <cell r="I1245">
            <v>90703.695283453941</v>
          </cell>
          <cell r="J1245">
            <v>73811.894984157931</v>
          </cell>
          <cell r="K1245">
            <v>0</v>
          </cell>
          <cell r="M1245">
            <v>0</v>
          </cell>
          <cell r="N1245">
            <v>0.59854391398996798</v>
          </cell>
        </row>
        <row r="1246">
          <cell r="A1246">
            <v>2038</v>
          </cell>
          <cell r="B1246" t="str">
            <v>Graphite</v>
          </cell>
          <cell r="C1246" t="str">
            <v>Global Net-zero</v>
          </cell>
          <cell r="D1246" t="str">
            <v>Production potential</v>
          </cell>
          <cell r="E1246" t="str">
            <v>100% CAN</v>
          </cell>
          <cell r="F1246" t="str">
            <v>Integrated</v>
          </cell>
          <cell r="G1246">
            <v>3068.3631462626749</v>
          </cell>
          <cell r="H1246">
            <v>274859.68267713313</v>
          </cell>
          <cell r="I1246">
            <v>90703.695283453941</v>
          </cell>
          <cell r="J1246">
            <v>73811.894984157931</v>
          </cell>
          <cell r="K1246">
            <v>0</v>
          </cell>
          <cell r="M1246">
            <v>0</v>
          </cell>
          <cell r="N1246">
            <v>0.59854391398996798</v>
          </cell>
        </row>
        <row r="1247">
          <cell r="A1247">
            <v>2038</v>
          </cell>
          <cell r="B1247" t="str">
            <v>Lithium</v>
          </cell>
          <cell r="C1247" t="str">
            <v>Canada Net-zero</v>
          </cell>
          <cell r="D1247" t="str">
            <v>Existing production</v>
          </cell>
          <cell r="E1247" t="str">
            <v>Current shares</v>
          </cell>
          <cell r="F1247" t="str">
            <v>NIMBY</v>
          </cell>
          <cell r="G1247">
            <v>78705.260511419096</v>
          </cell>
          <cell r="H1247">
            <v>0</v>
          </cell>
          <cell r="I1247">
            <v>0</v>
          </cell>
          <cell r="J1247">
            <v>0</v>
          </cell>
          <cell r="K1247">
            <v>112436.08644488439</v>
          </cell>
          <cell r="M1247">
            <v>78705.260511419096</v>
          </cell>
          <cell r="N1247">
            <v>0.787554996857322</v>
          </cell>
        </row>
        <row r="1248">
          <cell r="A1248">
            <v>2038</v>
          </cell>
          <cell r="B1248" t="str">
            <v>Lithium</v>
          </cell>
          <cell r="C1248" t="str">
            <v>Canada Net-zero</v>
          </cell>
          <cell r="D1248" t="str">
            <v>Existing production</v>
          </cell>
          <cell r="E1248" t="str">
            <v>Current shares</v>
          </cell>
          <cell r="F1248" t="str">
            <v>Status Quo</v>
          </cell>
          <cell r="G1248">
            <v>78705.260511419096</v>
          </cell>
          <cell r="H1248">
            <v>42575</v>
          </cell>
          <cell r="I1248">
            <v>29767.182799229071</v>
          </cell>
          <cell r="J1248">
            <v>3762.97119197141</v>
          </cell>
          <cell r="K1248">
            <v>69861.086444884422</v>
          </cell>
          <cell r="M1248">
            <v>45175.106520218607</v>
          </cell>
          <cell r="N1248">
            <v>0.787554996857322</v>
          </cell>
        </row>
        <row r="1249">
          <cell r="A1249">
            <v>2038</v>
          </cell>
          <cell r="B1249" t="str">
            <v>Lithium</v>
          </cell>
          <cell r="C1249" t="str">
            <v>Canada Net-zero</v>
          </cell>
          <cell r="D1249" t="str">
            <v>Production potential</v>
          </cell>
          <cell r="E1249" t="str">
            <v>Current shares</v>
          </cell>
          <cell r="F1249" t="str">
            <v>Expansion Extractive</v>
          </cell>
          <cell r="G1249">
            <v>78705.260511419096</v>
          </cell>
          <cell r="H1249">
            <v>346279.88391568093</v>
          </cell>
          <cell r="I1249">
            <v>242108.66950590469</v>
          </cell>
          <cell r="J1249">
            <v>30605.783383063244</v>
          </cell>
          <cell r="K1249">
            <v>0</v>
          </cell>
          <cell r="M1249">
            <v>0</v>
          </cell>
          <cell r="N1249">
            <v>0.787554996857322</v>
          </cell>
        </row>
        <row r="1250">
          <cell r="A1250">
            <v>2038</v>
          </cell>
          <cell r="B1250" t="str">
            <v>Lithium</v>
          </cell>
          <cell r="C1250" t="str">
            <v>Canada Net-zero</v>
          </cell>
          <cell r="D1250" t="str">
            <v>Production potential</v>
          </cell>
          <cell r="E1250" t="str">
            <v>Current shares</v>
          </cell>
          <cell r="F1250" t="str">
            <v>Expansion Extractive+Circularity</v>
          </cell>
          <cell r="G1250">
            <v>78705.260511419096</v>
          </cell>
          <cell r="H1250">
            <v>346279.88391568093</v>
          </cell>
          <cell r="I1250">
            <v>242108.66950590469</v>
          </cell>
          <cell r="J1250">
            <v>30605.783383063244</v>
          </cell>
          <cell r="K1250">
            <v>0</v>
          </cell>
          <cell r="M1250">
            <v>0</v>
          </cell>
          <cell r="N1250">
            <v>0.787554996857322</v>
          </cell>
        </row>
        <row r="1251">
          <cell r="A1251">
            <v>2038</v>
          </cell>
          <cell r="B1251" t="str">
            <v>Lithium</v>
          </cell>
          <cell r="C1251" t="str">
            <v>Canada Net-zero</v>
          </cell>
          <cell r="D1251" t="str">
            <v>Production potential</v>
          </cell>
          <cell r="E1251" t="str">
            <v>100% CAN</v>
          </cell>
          <cell r="F1251" t="str">
            <v>Integrated</v>
          </cell>
          <cell r="G1251">
            <v>78705.260511419096</v>
          </cell>
          <cell r="H1251">
            <v>346279.88391568093</v>
          </cell>
          <cell r="I1251">
            <v>242108.66950590469</v>
          </cell>
          <cell r="J1251">
            <v>30605.783383063244</v>
          </cell>
          <cell r="K1251">
            <v>0</v>
          </cell>
          <cell r="M1251">
            <v>0</v>
          </cell>
          <cell r="N1251">
            <v>0.787554996857322</v>
          </cell>
        </row>
        <row r="1252">
          <cell r="A1252">
            <v>2038</v>
          </cell>
          <cell r="B1252" t="str">
            <v>Lithium</v>
          </cell>
          <cell r="C1252" t="str">
            <v>Current Measures</v>
          </cell>
          <cell r="D1252" t="str">
            <v>Existing production</v>
          </cell>
          <cell r="E1252" t="str">
            <v>Current shares</v>
          </cell>
          <cell r="F1252" t="str">
            <v>NIMBY</v>
          </cell>
          <cell r="G1252">
            <v>28899.636790896191</v>
          </cell>
          <cell r="H1252">
            <v>0</v>
          </cell>
          <cell r="I1252">
            <v>0</v>
          </cell>
          <cell r="J1252">
            <v>0</v>
          </cell>
          <cell r="K1252">
            <v>41285.195415565991</v>
          </cell>
          <cell r="M1252">
            <v>28899.636790896191</v>
          </cell>
          <cell r="N1252">
            <v>0.787554996857322</v>
          </cell>
        </row>
        <row r="1253">
          <cell r="A1253">
            <v>2038</v>
          </cell>
          <cell r="B1253" t="str">
            <v>Lithium</v>
          </cell>
          <cell r="C1253" t="str">
            <v>Current Measures</v>
          </cell>
          <cell r="D1253" t="str">
            <v>Existing production</v>
          </cell>
          <cell r="E1253" t="str">
            <v>Current shares</v>
          </cell>
          <cell r="F1253" t="str">
            <v>Status Quo</v>
          </cell>
          <cell r="G1253">
            <v>28899.636790896191</v>
          </cell>
          <cell r="H1253">
            <v>42575</v>
          </cell>
          <cell r="I1253">
            <v>29767.182799229071</v>
          </cell>
          <cell r="J1253">
            <v>3762.97119197141</v>
          </cell>
          <cell r="K1253">
            <v>0</v>
          </cell>
          <cell r="M1253">
            <v>0</v>
          </cell>
          <cell r="N1253">
            <v>0.787554996857322</v>
          </cell>
        </row>
        <row r="1254">
          <cell r="A1254">
            <v>2038</v>
          </cell>
          <cell r="B1254" t="str">
            <v>Lithium</v>
          </cell>
          <cell r="C1254" t="str">
            <v>Current Measures</v>
          </cell>
          <cell r="D1254" t="str">
            <v>Production potential</v>
          </cell>
          <cell r="E1254" t="str">
            <v>Current shares</v>
          </cell>
          <cell r="F1254" t="str">
            <v>Expansion Extractive</v>
          </cell>
          <cell r="G1254">
            <v>28899.636790896191</v>
          </cell>
          <cell r="H1254">
            <v>346279.88391568093</v>
          </cell>
          <cell r="I1254">
            <v>242108.66950590469</v>
          </cell>
          <cell r="J1254">
            <v>30605.783383063244</v>
          </cell>
          <cell r="K1254">
            <v>0</v>
          </cell>
          <cell r="M1254">
            <v>0</v>
          </cell>
          <cell r="N1254">
            <v>0.787554996857322</v>
          </cell>
        </row>
        <row r="1255">
          <cell r="A1255">
            <v>2038</v>
          </cell>
          <cell r="B1255" t="str">
            <v>Lithium</v>
          </cell>
          <cell r="C1255" t="str">
            <v>Current Measures</v>
          </cell>
          <cell r="D1255" t="str">
            <v>Production potential</v>
          </cell>
          <cell r="E1255" t="str">
            <v>Current shares</v>
          </cell>
          <cell r="F1255" t="str">
            <v>Expansion Extractive+Circularity</v>
          </cell>
          <cell r="G1255">
            <v>28899.636790896191</v>
          </cell>
          <cell r="H1255">
            <v>346279.88391568093</v>
          </cell>
          <cell r="I1255">
            <v>242108.66950590469</v>
          </cell>
          <cell r="J1255">
            <v>30605.783383063244</v>
          </cell>
          <cell r="K1255">
            <v>0</v>
          </cell>
          <cell r="M1255">
            <v>0</v>
          </cell>
          <cell r="N1255">
            <v>0.787554996857322</v>
          </cell>
        </row>
        <row r="1256">
          <cell r="A1256">
            <v>2038</v>
          </cell>
          <cell r="B1256" t="str">
            <v>Lithium</v>
          </cell>
          <cell r="C1256" t="str">
            <v>Current Measures</v>
          </cell>
          <cell r="D1256" t="str">
            <v>Production potential</v>
          </cell>
          <cell r="E1256" t="str">
            <v>100% CAN</v>
          </cell>
          <cell r="F1256" t="str">
            <v>Integrated</v>
          </cell>
          <cell r="G1256">
            <v>28899.636790896191</v>
          </cell>
          <cell r="H1256">
            <v>346279.88391568093</v>
          </cell>
          <cell r="I1256">
            <v>242108.66950590469</v>
          </cell>
          <cell r="J1256">
            <v>30605.783383063244</v>
          </cell>
          <cell r="K1256">
            <v>0</v>
          </cell>
          <cell r="M1256">
            <v>0</v>
          </cell>
          <cell r="N1256">
            <v>0.787554996857322</v>
          </cell>
        </row>
        <row r="1257">
          <cell r="A1257">
            <v>2038</v>
          </cell>
          <cell r="B1257" t="str">
            <v>Lithium</v>
          </cell>
          <cell r="C1257" t="str">
            <v>Global Net-zero</v>
          </cell>
          <cell r="D1257" t="str">
            <v>Existing production</v>
          </cell>
          <cell r="E1257" t="str">
            <v>Current shares</v>
          </cell>
          <cell r="F1257" t="str">
            <v>NIMBY</v>
          </cell>
          <cell r="G1257">
            <v>75048.523727678054</v>
          </cell>
          <cell r="H1257">
            <v>0</v>
          </cell>
          <cell r="I1257">
            <v>0</v>
          </cell>
          <cell r="J1257">
            <v>0</v>
          </cell>
          <cell r="K1257">
            <v>107212.1767538258</v>
          </cell>
          <cell r="M1257">
            <v>75048.523727678054</v>
          </cell>
          <cell r="N1257">
            <v>0.787554996857322</v>
          </cell>
        </row>
        <row r="1258">
          <cell r="A1258">
            <v>2038</v>
          </cell>
          <cell r="B1258" t="str">
            <v>Lithium</v>
          </cell>
          <cell r="C1258" t="str">
            <v>Global Net-zero</v>
          </cell>
          <cell r="D1258" t="str">
            <v>Existing production</v>
          </cell>
          <cell r="E1258" t="str">
            <v>Current shares</v>
          </cell>
          <cell r="F1258" t="str">
            <v>Status Quo</v>
          </cell>
          <cell r="G1258">
            <v>75048.523727678054</v>
          </cell>
          <cell r="H1258">
            <v>42575</v>
          </cell>
          <cell r="I1258">
            <v>29767.182799229071</v>
          </cell>
          <cell r="J1258">
            <v>3762.97119197141</v>
          </cell>
          <cell r="K1258">
            <v>64637.176753825799</v>
          </cell>
          <cell r="M1258">
            <v>41518.369736477573</v>
          </cell>
          <cell r="N1258">
            <v>0.787554996857322</v>
          </cell>
        </row>
        <row r="1259">
          <cell r="A1259">
            <v>2038</v>
          </cell>
          <cell r="B1259" t="str">
            <v>Lithium</v>
          </cell>
          <cell r="C1259" t="str">
            <v>Global Net-zero</v>
          </cell>
          <cell r="D1259" t="str">
            <v>Production potential</v>
          </cell>
          <cell r="E1259" t="str">
            <v>Current shares</v>
          </cell>
          <cell r="F1259" t="str">
            <v>Expansion Extractive</v>
          </cell>
          <cell r="G1259">
            <v>75048.523727678054</v>
          </cell>
          <cell r="H1259">
            <v>346279.88391568093</v>
          </cell>
          <cell r="I1259">
            <v>242108.66950590469</v>
          </cell>
          <cell r="J1259">
            <v>30605.783383063244</v>
          </cell>
          <cell r="K1259">
            <v>0</v>
          </cell>
          <cell r="M1259">
            <v>0</v>
          </cell>
          <cell r="N1259">
            <v>0.787554996857322</v>
          </cell>
        </row>
        <row r="1260">
          <cell r="A1260">
            <v>2038</v>
          </cell>
          <cell r="B1260" t="str">
            <v>Lithium</v>
          </cell>
          <cell r="C1260" t="str">
            <v>Global Net-zero</v>
          </cell>
          <cell r="D1260" t="str">
            <v>Production potential</v>
          </cell>
          <cell r="E1260" t="str">
            <v>Current shares</v>
          </cell>
          <cell r="F1260" t="str">
            <v>Expansion Extractive+Circularity</v>
          </cell>
          <cell r="G1260">
            <v>75048.523727678054</v>
          </cell>
          <cell r="H1260">
            <v>346279.88391568093</v>
          </cell>
          <cell r="I1260">
            <v>242108.66950590469</v>
          </cell>
          <cell r="J1260">
            <v>30605.783383063244</v>
          </cell>
          <cell r="K1260">
            <v>0</v>
          </cell>
          <cell r="M1260">
            <v>0</v>
          </cell>
          <cell r="N1260">
            <v>0.787554996857322</v>
          </cell>
        </row>
        <row r="1261">
          <cell r="A1261">
            <v>2038</v>
          </cell>
          <cell r="B1261" t="str">
            <v>Lithium</v>
          </cell>
          <cell r="C1261" t="str">
            <v>Global Net-zero</v>
          </cell>
          <cell r="D1261" t="str">
            <v>Production potential</v>
          </cell>
          <cell r="E1261" t="str">
            <v>100% CAN</v>
          </cell>
          <cell r="F1261" t="str">
            <v>Integrated</v>
          </cell>
          <cell r="G1261">
            <v>75048.523727678054</v>
          </cell>
          <cell r="H1261">
            <v>346279.88391568093</v>
          </cell>
          <cell r="I1261">
            <v>242108.66950590469</v>
          </cell>
          <cell r="J1261">
            <v>30605.783383063244</v>
          </cell>
          <cell r="K1261">
            <v>0</v>
          </cell>
          <cell r="M1261">
            <v>0</v>
          </cell>
          <cell r="N1261">
            <v>0.787554996857322</v>
          </cell>
        </row>
        <row r="1262">
          <cell r="A1262">
            <v>2039</v>
          </cell>
          <cell r="B1262" t="str">
            <v>Cobalt</v>
          </cell>
          <cell r="C1262" t="str">
            <v>Canada Net-zero</v>
          </cell>
          <cell r="D1262" t="str">
            <v>Existing production</v>
          </cell>
          <cell r="E1262" t="str">
            <v>Current shares</v>
          </cell>
          <cell r="F1262" t="str">
            <v>NIMBY</v>
          </cell>
          <cell r="G1262">
            <v>240082.77165293321</v>
          </cell>
          <cell r="H1262">
            <v>0</v>
          </cell>
          <cell r="I1262">
            <v>0</v>
          </cell>
          <cell r="J1262">
            <v>0</v>
          </cell>
          <cell r="K1262">
            <v>545642.6628475755</v>
          </cell>
          <cell r="M1262">
            <v>240082.77165293321</v>
          </cell>
          <cell r="N1262">
            <v>0.439346565686978</v>
          </cell>
        </row>
        <row r="1263">
          <cell r="A1263">
            <v>2039</v>
          </cell>
          <cell r="B1263" t="str">
            <v>Cobalt</v>
          </cell>
          <cell r="C1263" t="str">
            <v>Canada Net-zero</v>
          </cell>
          <cell r="D1263" t="str">
            <v>Existing production</v>
          </cell>
          <cell r="E1263" t="str">
            <v>Current shares</v>
          </cell>
          <cell r="F1263" t="str">
            <v>Status Quo</v>
          </cell>
          <cell r="G1263">
            <v>240082.77165293321</v>
          </cell>
          <cell r="H1263">
            <v>261</v>
          </cell>
          <cell r="I1263">
            <v>110.71145720551</v>
          </cell>
          <cell r="J1263">
            <v>3.9579964387912554</v>
          </cell>
          <cell r="K1263">
            <v>545381.6628475755</v>
          </cell>
          <cell r="M1263">
            <v>239968.10219928893</v>
          </cell>
          <cell r="N1263">
            <v>0.439346565686978</v>
          </cell>
        </row>
        <row r="1264">
          <cell r="A1264">
            <v>2039</v>
          </cell>
          <cell r="B1264" t="str">
            <v>Cobalt</v>
          </cell>
          <cell r="C1264" t="str">
            <v>Canada Net-zero</v>
          </cell>
          <cell r="D1264" t="str">
            <v>Production potential</v>
          </cell>
          <cell r="E1264" t="str">
            <v>Current shares</v>
          </cell>
          <cell r="F1264" t="str">
            <v>Expansion Extractive</v>
          </cell>
          <cell r="G1264">
            <v>240082.77165293321</v>
          </cell>
          <cell r="H1264">
            <v>27029.65589320119</v>
          </cell>
          <cell r="I1264">
            <v>11465.488857087381</v>
          </cell>
          <cell r="J1264">
            <v>409.89763129134735</v>
          </cell>
          <cell r="K1264">
            <v>518613.00695437432</v>
          </cell>
          <cell r="M1264">
            <v>228207.38516455443</v>
          </cell>
          <cell r="N1264">
            <v>0.439346565686978</v>
          </cell>
        </row>
        <row r="1265">
          <cell r="A1265">
            <v>2039</v>
          </cell>
          <cell r="B1265" t="str">
            <v>Cobalt</v>
          </cell>
          <cell r="C1265" t="str">
            <v>Canada Net-zero</v>
          </cell>
          <cell r="D1265" t="str">
            <v>Production potential</v>
          </cell>
          <cell r="E1265" t="str">
            <v>Current shares</v>
          </cell>
          <cell r="F1265" t="str">
            <v>Expansion Extractive+Circularity</v>
          </cell>
          <cell r="G1265">
            <v>240082.77165293321</v>
          </cell>
          <cell r="H1265">
            <v>27029.65589320119</v>
          </cell>
          <cell r="I1265">
            <v>11465.488857087381</v>
          </cell>
          <cell r="J1265">
            <v>409.89763129134735</v>
          </cell>
          <cell r="K1265">
            <v>518613.00695437432</v>
          </cell>
          <cell r="M1265">
            <v>228207.38516455443</v>
          </cell>
          <cell r="N1265">
            <v>0.439346565686978</v>
          </cell>
        </row>
        <row r="1266">
          <cell r="A1266">
            <v>2039</v>
          </cell>
          <cell r="B1266" t="str">
            <v>Cobalt</v>
          </cell>
          <cell r="C1266" t="str">
            <v>Canada Net-zero</v>
          </cell>
          <cell r="D1266" t="str">
            <v>Production potential</v>
          </cell>
          <cell r="E1266" t="str">
            <v>100% CAN</v>
          </cell>
          <cell r="F1266" t="str">
            <v>Integrated</v>
          </cell>
          <cell r="G1266">
            <v>240082.77165293321</v>
          </cell>
          <cell r="H1266">
            <v>27029.65589320119</v>
          </cell>
          <cell r="I1266">
            <v>11875.386488378739</v>
          </cell>
          <cell r="J1266">
            <v>0</v>
          </cell>
          <cell r="K1266">
            <v>518613.00695437432</v>
          </cell>
          <cell r="M1266">
            <v>228207.38516455449</v>
          </cell>
          <cell r="N1266">
            <v>0.439346565686978</v>
          </cell>
        </row>
        <row r="1267">
          <cell r="A1267">
            <v>2039</v>
          </cell>
          <cell r="B1267" t="str">
            <v>Cobalt</v>
          </cell>
          <cell r="C1267" t="str">
            <v>Current Measures</v>
          </cell>
          <cell r="D1267" t="str">
            <v>Existing production</v>
          </cell>
          <cell r="E1267" t="str">
            <v>Current shares</v>
          </cell>
          <cell r="F1267" t="str">
            <v>NIMBY</v>
          </cell>
          <cell r="G1267">
            <v>89882.885025704978</v>
          </cell>
          <cell r="H1267">
            <v>0</v>
          </cell>
          <cell r="I1267">
            <v>0</v>
          </cell>
          <cell r="J1267">
            <v>0</v>
          </cell>
          <cell r="K1267">
            <v>204279.2841493295</v>
          </cell>
          <cell r="M1267">
            <v>89882.885025704978</v>
          </cell>
          <cell r="N1267">
            <v>0.439346565686978</v>
          </cell>
        </row>
        <row r="1268">
          <cell r="A1268">
            <v>2039</v>
          </cell>
          <cell r="B1268" t="str">
            <v>Cobalt</v>
          </cell>
          <cell r="C1268" t="str">
            <v>Current Measures</v>
          </cell>
          <cell r="D1268" t="str">
            <v>Existing production</v>
          </cell>
          <cell r="E1268" t="str">
            <v>Current shares</v>
          </cell>
          <cell r="F1268" t="str">
            <v>Status Quo</v>
          </cell>
          <cell r="G1268">
            <v>89882.885025704978</v>
          </cell>
          <cell r="H1268">
            <v>261</v>
          </cell>
          <cell r="I1268">
            <v>110.71145720551</v>
          </cell>
          <cell r="J1268">
            <v>3.9579964387912554</v>
          </cell>
          <cell r="K1268">
            <v>204018.2841493295</v>
          </cell>
          <cell r="M1268">
            <v>89768.215572060668</v>
          </cell>
          <cell r="N1268">
            <v>0.439346565686978</v>
          </cell>
        </row>
        <row r="1269">
          <cell r="A1269">
            <v>2039</v>
          </cell>
          <cell r="B1269" t="str">
            <v>Cobalt</v>
          </cell>
          <cell r="C1269" t="str">
            <v>Current Measures</v>
          </cell>
          <cell r="D1269" t="str">
            <v>Production potential</v>
          </cell>
          <cell r="E1269" t="str">
            <v>Current shares</v>
          </cell>
          <cell r="F1269" t="str">
            <v>Expansion Extractive</v>
          </cell>
          <cell r="G1269">
            <v>89882.885025704978</v>
          </cell>
          <cell r="H1269">
            <v>27029.65589320119</v>
          </cell>
          <cell r="I1269">
            <v>11465.488857087381</v>
          </cell>
          <cell r="J1269">
            <v>409.89763129134735</v>
          </cell>
          <cell r="K1269">
            <v>177249.62825612829</v>
          </cell>
          <cell r="M1269">
            <v>78007.498537326261</v>
          </cell>
          <cell r="N1269">
            <v>0.439346565686978</v>
          </cell>
        </row>
        <row r="1270">
          <cell r="A1270">
            <v>2039</v>
          </cell>
          <cell r="B1270" t="str">
            <v>Cobalt</v>
          </cell>
          <cell r="C1270" t="str">
            <v>Current Measures</v>
          </cell>
          <cell r="D1270" t="str">
            <v>Production potential</v>
          </cell>
          <cell r="E1270" t="str">
            <v>Current shares</v>
          </cell>
          <cell r="F1270" t="str">
            <v>Expansion Extractive+Circularity</v>
          </cell>
          <cell r="G1270">
            <v>89882.885025704978</v>
          </cell>
          <cell r="H1270">
            <v>27029.65589320119</v>
          </cell>
          <cell r="I1270">
            <v>11465.488857087381</v>
          </cell>
          <cell r="J1270">
            <v>409.89763129134735</v>
          </cell>
          <cell r="K1270">
            <v>177249.62825612829</v>
          </cell>
          <cell r="M1270">
            <v>78007.498537326261</v>
          </cell>
          <cell r="N1270">
            <v>0.439346565686978</v>
          </cell>
        </row>
        <row r="1271">
          <cell r="A1271">
            <v>2039</v>
          </cell>
          <cell r="B1271" t="str">
            <v>Cobalt</v>
          </cell>
          <cell r="C1271" t="str">
            <v>Current Measures</v>
          </cell>
          <cell r="D1271" t="str">
            <v>Production potential</v>
          </cell>
          <cell r="E1271" t="str">
            <v>100% CAN</v>
          </cell>
          <cell r="F1271" t="str">
            <v>Integrated</v>
          </cell>
          <cell r="G1271">
            <v>89882.885025704978</v>
          </cell>
          <cell r="H1271">
            <v>27029.65589320119</v>
          </cell>
          <cell r="I1271">
            <v>11875.386488378739</v>
          </cell>
          <cell r="J1271">
            <v>0</v>
          </cell>
          <cell r="K1271">
            <v>177249.62825612829</v>
          </cell>
          <cell r="M1271">
            <v>78007.498537326232</v>
          </cell>
          <cell r="N1271">
            <v>0.439346565686978</v>
          </cell>
        </row>
        <row r="1272">
          <cell r="A1272">
            <v>2039</v>
          </cell>
          <cell r="B1272" t="str">
            <v>Cobalt</v>
          </cell>
          <cell r="C1272" t="str">
            <v>Global Net-zero</v>
          </cell>
          <cell r="D1272" t="str">
            <v>Existing production</v>
          </cell>
          <cell r="E1272" t="str">
            <v>Current shares</v>
          </cell>
          <cell r="F1272" t="str">
            <v>NIMBY</v>
          </cell>
          <cell r="G1272">
            <v>228473.28301366579</v>
          </cell>
          <cell r="H1272">
            <v>0</v>
          </cell>
          <cell r="I1272">
            <v>0</v>
          </cell>
          <cell r="J1272">
            <v>0</v>
          </cell>
          <cell r="K1272">
            <v>519257.46139469498</v>
          </cell>
          <cell r="M1272">
            <v>228473.28301366579</v>
          </cell>
          <cell r="N1272">
            <v>0.439346565686978</v>
          </cell>
        </row>
        <row r="1273">
          <cell r="A1273">
            <v>2039</v>
          </cell>
          <cell r="B1273" t="str">
            <v>Cobalt</v>
          </cell>
          <cell r="C1273" t="str">
            <v>Global Net-zero</v>
          </cell>
          <cell r="D1273" t="str">
            <v>Existing production</v>
          </cell>
          <cell r="E1273" t="str">
            <v>Current shares</v>
          </cell>
          <cell r="F1273" t="str">
            <v>Status Quo</v>
          </cell>
          <cell r="G1273">
            <v>228473.28301366579</v>
          </cell>
          <cell r="H1273">
            <v>261</v>
          </cell>
          <cell r="I1273">
            <v>110.71145720551</v>
          </cell>
          <cell r="J1273">
            <v>3.9579964387912554</v>
          </cell>
          <cell r="K1273">
            <v>518996.46139469498</v>
          </cell>
          <cell r="M1273">
            <v>228358.61356002151</v>
          </cell>
          <cell r="N1273">
            <v>0.439346565686978</v>
          </cell>
        </row>
        <row r="1274">
          <cell r="A1274">
            <v>2039</v>
          </cell>
          <cell r="B1274" t="str">
            <v>Cobalt</v>
          </cell>
          <cell r="C1274" t="str">
            <v>Global Net-zero</v>
          </cell>
          <cell r="D1274" t="str">
            <v>Production potential</v>
          </cell>
          <cell r="E1274" t="str">
            <v>Current shares</v>
          </cell>
          <cell r="F1274" t="str">
            <v>Expansion Extractive</v>
          </cell>
          <cell r="G1274">
            <v>228473.28301366579</v>
          </cell>
          <cell r="H1274">
            <v>27029.65589320119</v>
          </cell>
          <cell r="I1274">
            <v>11465.488857087381</v>
          </cell>
          <cell r="J1274">
            <v>409.89763129134735</v>
          </cell>
          <cell r="K1274">
            <v>492227.8055014938</v>
          </cell>
          <cell r="M1274">
            <v>216597.89652528704</v>
          </cell>
          <cell r="N1274">
            <v>0.439346565686978</v>
          </cell>
        </row>
        <row r="1275">
          <cell r="A1275">
            <v>2039</v>
          </cell>
          <cell r="B1275" t="str">
            <v>Cobalt</v>
          </cell>
          <cell r="C1275" t="str">
            <v>Global Net-zero</v>
          </cell>
          <cell r="D1275" t="str">
            <v>Production potential</v>
          </cell>
          <cell r="E1275" t="str">
            <v>Current shares</v>
          </cell>
          <cell r="F1275" t="str">
            <v>Expansion Extractive+Circularity</v>
          </cell>
          <cell r="G1275">
            <v>228473.28301366579</v>
          </cell>
          <cell r="H1275">
            <v>27029.65589320119</v>
          </cell>
          <cell r="I1275">
            <v>11465.488857087381</v>
          </cell>
          <cell r="J1275">
            <v>409.89763129134735</v>
          </cell>
          <cell r="K1275">
            <v>492227.8055014938</v>
          </cell>
          <cell r="M1275">
            <v>216597.89652528704</v>
          </cell>
          <cell r="N1275">
            <v>0.439346565686978</v>
          </cell>
        </row>
        <row r="1276">
          <cell r="A1276">
            <v>2039</v>
          </cell>
          <cell r="B1276" t="str">
            <v>Cobalt</v>
          </cell>
          <cell r="C1276" t="str">
            <v>Global Net-zero</v>
          </cell>
          <cell r="D1276" t="str">
            <v>Production potential</v>
          </cell>
          <cell r="E1276" t="str">
            <v>100% CAN</v>
          </cell>
          <cell r="F1276" t="str">
            <v>Integrated</v>
          </cell>
          <cell r="G1276">
            <v>228473.28301366579</v>
          </cell>
          <cell r="H1276">
            <v>27029.65589320119</v>
          </cell>
          <cell r="I1276">
            <v>11875.386488378739</v>
          </cell>
          <cell r="J1276">
            <v>0</v>
          </cell>
          <cell r="K1276">
            <v>492227.8055014938</v>
          </cell>
          <cell r="M1276">
            <v>216597.89652528701</v>
          </cell>
          <cell r="N1276">
            <v>0.439346565686978</v>
          </cell>
        </row>
        <row r="1277">
          <cell r="A1277">
            <v>2039</v>
          </cell>
          <cell r="B1277" t="str">
            <v>Copper</v>
          </cell>
          <cell r="C1277" t="str">
            <v>Canada Net-zero</v>
          </cell>
          <cell r="D1277" t="str">
            <v>Existing production</v>
          </cell>
          <cell r="E1277" t="str">
            <v>Current shares</v>
          </cell>
          <cell r="F1277" t="str">
            <v>NIMBY</v>
          </cell>
          <cell r="G1277">
            <v>1574369.961054781</v>
          </cell>
          <cell r="H1277">
            <v>0</v>
          </cell>
          <cell r="I1277">
            <v>0</v>
          </cell>
          <cell r="J1277">
            <v>0</v>
          </cell>
          <cell r="K1277">
            <v>1896831.278379254</v>
          </cell>
          <cell r="M1277">
            <v>1574369.961054781</v>
          </cell>
          <cell r="N1277">
            <v>0.83474576271186396</v>
          </cell>
        </row>
        <row r="1278">
          <cell r="A1278">
            <v>2039</v>
          </cell>
          <cell r="B1278" t="str">
            <v>Copper</v>
          </cell>
          <cell r="C1278" t="str">
            <v>Canada Net-zero</v>
          </cell>
          <cell r="D1278" t="str">
            <v>Existing production</v>
          </cell>
          <cell r="E1278" t="str">
            <v>Current shares</v>
          </cell>
          <cell r="F1278" t="str">
            <v>Status Quo</v>
          </cell>
          <cell r="G1278">
            <v>1574369.961054781</v>
          </cell>
          <cell r="H1278">
            <v>174130</v>
          </cell>
          <cell r="I1278">
            <v>91524.240751278106</v>
          </cell>
          <cell r="J1278">
            <v>53830.038909738752</v>
          </cell>
          <cell r="K1278">
            <v>1722701.278379254</v>
          </cell>
          <cell r="M1278">
            <v>1429015.6813937644</v>
          </cell>
          <cell r="N1278">
            <v>0.83474576271186396</v>
          </cell>
        </row>
        <row r="1279">
          <cell r="A1279">
            <v>2039</v>
          </cell>
          <cell r="B1279" t="str">
            <v>Copper</v>
          </cell>
          <cell r="C1279" t="str">
            <v>Canada Net-zero</v>
          </cell>
          <cell r="D1279" t="str">
            <v>Production potential</v>
          </cell>
          <cell r="E1279" t="str">
            <v>Current shares</v>
          </cell>
          <cell r="F1279" t="str">
            <v>Expansion Extractive</v>
          </cell>
          <cell r="G1279">
            <v>1574369.961054781</v>
          </cell>
          <cell r="H1279">
            <v>1075205.601428098</v>
          </cell>
          <cell r="I1279">
            <v>565137.40494014812</v>
          </cell>
          <cell r="J1279">
            <v>332385.91489601799</v>
          </cell>
          <cell r="K1279">
            <v>821625.67695115646</v>
          </cell>
          <cell r="M1279">
            <v>676846.641218615</v>
          </cell>
          <cell r="N1279">
            <v>0.83474576271186396</v>
          </cell>
        </row>
        <row r="1280">
          <cell r="A1280">
            <v>2039</v>
          </cell>
          <cell r="B1280" t="str">
            <v>Copper</v>
          </cell>
          <cell r="C1280" t="str">
            <v>Canada Net-zero</v>
          </cell>
          <cell r="D1280" t="str">
            <v>Production potential</v>
          </cell>
          <cell r="E1280" t="str">
            <v>Current shares</v>
          </cell>
          <cell r="F1280" t="str">
            <v>Expansion Extractive+Circularity</v>
          </cell>
          <cell r="G1280">
            <v>1574369.961054781</v>
          </cell>
          <cell r="H1280">
            <v>1075205.601428098</v>
          </cell>
          <cell r="I1280">
            <v>565137.40494014812</v>
          </cell>
          <cell r="J1280">
            <v>332385.91489601799</v>
          </cell>
          <cell r="K1280">
            <v>821625.67695115646</v>
          </cell>
          <cell r="M1280">
            <v>676846.641218615</v>
          </cell>
          <cell r="N1280">
            <v>0.83474576271186396</v>
          </cell>
        </row>
        <row r="1281">
          <cell r="A1281">
            <v>2039</v>
          </cell>
          <cell r="B1281" t="str">
            <v>Copper</v>
          </cell>
          <cell r="C1281" t="str">
            <v>Canada Net-zero</v>
          </cell>
          <cell r="D1281" t="str">
            <v>Production potential</v>
          </cell>
          <cell r="E1281" t="str">
            <v>100% CAN</v>
          </cell>
          <cell r="F1281" t="str">
            <v>Integrated</v>
          </cell>
          <cell r="G1281">
            <v>1574369.961054781</v>
          </cell>
          <cell r="H1281">
            <v>1075205.601428098</v>
          </cell>
          <cell r="I1281">
            <v>897523.31983616634</v>
          </cell>
          <cell r="J1281">
            <v>0</v>
          </cell>
          <cell r="K1281">
            <v>821625.67695115646</v>
          </cell>
          <cell r="M1281">
            <v>676846.64121861465</v>
          </cell>
          <cell r="N1281">
            <v>0.83474576271186396</v>
          </cell>
        </row>
        <row r="1282">
          <cell r="A1282">
            <v>2039</v>
          </cell>
          <cell r="B1282" t="str">
            <v>Copper</v>
          </cell>
          <cell r="C1282" t="str">
            <v>Current Measures</v>
          </cell>
          <cell r="D1282" t="str">
            <v>Existing production</v>
          </cell>
          <cell r="E1282" t="str">
            <v>Current shares</v>
          </cell>
          <cell r="F1282" t="str">
            <v>NIMBY</v>
          </cell>
          <cell r="G1282">
            <v>1183188.8670452209</v>
          </cell>
          <cell r="H1282">
            <v>0</v>
          </cell>
          <cell r="I1282">
            <v>0</v>
          </cell>
          <cell r="J1282">
            <v>0</v>
          </cell>
          <cell r="K1282">
            <v>1425528.75547617</v>
          </cell>
          <cell r="M1282">
            <v>1183188.8670452209</v>
          </cell>
          <cell r="N1282">
            <v>0.83474576271186396</v>
          </cell>
        </row>
        <row r="1283">
          <cell r="A1283">
            <v>2039</v>
          </cell>
          <cell r="B1283" t="str">
            <v>Copper</v>
          </cell>
          <cell r="C1283" t="str">
            <v>Current Measures</v>
          </cell>
          <cell r="D1283" t="str">
            <v>Existing production</v>
          </cell>
          <cell r="E1283" t="str">
            <v>Current shares</v>
          </cell>
          <cell r="F1283" t="str">
            <v>Status Quo</v>
          </cell>
          <cell r="G1283">
            <v>1183188.8670452209</v>
          </cell>
          <cell r="H1283">
            <v>174130</v>
          </cell>
          <cell r="I1283">
            <v>91524.240751278106</v>
          </cell>
          <cell r="J1283">
            <v>53830.038909738752</v>
          </cell>
          <cell r="K1283">
            <v>1251398.75547617</v>
          </cell>
          <cell r="M1283">
            <v>1037834.5873842043</v>
          </cell>
          <cell r="N1283">
            <v>0.83474576271186396</v>
          </cell>
        </row>
        <row r="1284">
          <cell r="A1284">
            <v>2039</v>
          </cell>
          <cell r="B1284" t="str">
            <v>Copper</v>
          </cell>
          <cell r="C1284" t="str">
            <v>Current Measures</v>
          </cell>
          <cell r="D1284" t="str">
            <v>Production potential</v>
          </cell>
          <cell r="E1284" t="str">
            <v>Current shares</v>
          </cell>
          <cell r="F1284" t="str">
            <v>Expansion Extractive</v>
          </cell>
          <cell r="G1284">
            <v>1183188.8670452209</v>
          </cell>
          <cell r="H1284">
            <v>1075205.601428098</v>
          </cell>
          <cell r="I1284">
            <v>565137.40494014812</v>
          </cell>
          <cell r="J1284">
            <v>332385.91489601799</v>
          </cell>
          <cell r="K1284">
            <v>350323.15404807188</v>
          </cell>
          <cell r="M1284">
            <v>285665.54720905481</v>
          </cell>
          <cell r="N1284">
            <v>0.83474576271186396</v>
          </cell>
        </row>
        <row r="1285">
          <cell r="A1285">
            <v>2039</v>
          </cell>
          <cell r="B1285" t="str">
            <v>Copper</v>
          </cell>
          <cell r="C1285" t="str">
            <v>Current Measures</v>
          </cell>
          <cell r="D1285" t="str">
            <v>Production potential</v>
          </cell>
          <cell r="E1285" t="str">
            <v>Current shares</v>
          </cell>
          <cell r="F1285" t="str">
            <v>Expansion Extractive+Circularity</v>
          </cell>
          <cell r="G1285">
            <v>1183188.8670452209</v>
          </cell>
          <cell r="H1285">
            <v>1075205.601428098</v>
          </cell>
          <cell r="I1285">
            <v>565137.40494014812</v>
          </cell>
          <cell r="J1285">
            <v>332385.91489601799</v>
          </cell>
          <cell r="K1285">
            <v>350323.15404807188</v>
          </cell>
          <cell r="M1285">
            <v>285665.54720905481</v>
          </cell>
          <cell r="N1285">
            <v>0.83474576271186396</v>
          </cell>
        </row>
        <row r="1286">
          <cell r="A1286">
            <v>2039</v>
          </cell>
          <cell r="B1286" t="str">
            <v>Copper</v>
          </cell>
          <cell r="C1286" t="str">
            <v>Current Measures</v>
          </cell>
          <cell r="D1286" t="str">
            <v>Production potential</v>
          </cell>
          <cell r="E1286" t="str">
            <v>100% CAN</v>
          </cell>
          <cell r="F1286" t="str">
            <v>Integrated</v>
          </cell>
          <cell r="G1286">
            <v>1183188.8670452209</v>
          </cell>
          <cell r="H1286">
            <v>1075205.601428098</v>
          </cell>
          <cell r="I1286">
            <v>897523.31983616634</v>
          </cell>
          <cell r="J1286">
            <v>0</v>
          </cell>
          <cell r="K1286">
            <v>350323.15404807188</v>
          </cell>
          <cell r="M1286">
            <v>285665.54720905458</v>
          </cell>
          <cell r="N1286">
            <v>0.83474576271186396</v>
          </cell>
        </row>
        <row r="1287">
          <cell r="A1287">
            <v>2039</v>
          </cell>
          <cell r="B1287" t="str">
            <v>Copper</v>
          </cell>
          <cell r="C1287" t="str">
            <v>Global Net-zero</v>
          </cell>
          <cell r="D1287" t="str">
            <v>Existing production</v>
          </cell>
          <cell r="E1287" t="str">
            <v>Current shares</v>
          </cell>
          <cell r="F1287" t="str">
            <v>NIMBY</v>
          </cell>
          <cell r="G1287">
            <v>1479276.035916927</v>
          </cell>
          <cell r="H1287">
            <v>0</v>
          </cell>
          <cell r="I1287">
            <v>0</v>
          </cell>
          <cell r="J1287">
            <v>0</v>
          </cell>
          <cell r="K1287">
            <v>1782260.2842372621</v>
          </cell>
          <cell r="M1287">
            <v>1479276.035916927</v>
          </cell>
          <cell r="N1287">
            <v>0.83474576271186396</v>
          </cell>
        </row>
        <row r="1288">
          <cell r="A1288">
            <v>2039</v>
          </cell>
          <cell r="B1288" t="str">
            <v>Copper</v>
          </cell>
          <cell r="C1288" t="str">
            <v>Global Net-zero</v>
          </cell>
          <cell r="D1288" t="str">
            <v>Existing production</v>
          </cell>
          <cell r="E1288" t="str">
            <v>Current shares</v>
          </cell>
          <cell r="F1288" t="str">
            <v>Status Quo</v>
          </cell>
          <cell r="G1288">
            <v>1479276.035916927</v>
          </cell>
          <cell r="H1288">
            <v>174130</v>
          </cell>
          <cell r="I1288">
            <v>91524.240751278106</v>
          </cell>
          <cell r="J1288">
            <v>53830.038909738752</v>
          </cell>
          <cell r="K1288">
            <v>1608130.2842372621</v>
          </cell>
          <cell r="M1288">
            <v>1333921.7562559103</v>
          </cell>
          <cell r="N1288">
            <v>0.83474576271186396</v>
          </cell>
        </row>
        <row r="1289">
          <cell r="A1289">
            <v>2039</v>
          </cell>
          <cell r="B1289" t="str">
            <v>Copper</v>
          </cell>
          <cell r="C1289" t="str">
            <v>Global Net-zero</v>
          </cell>
          <cell r="D1289" t="str">
            <v>Production potential</v>
          </cell>
          <cell r="E1289" t="str">
            <v>Current shares</v>
          </cell>
          <cell r="F1289" t="str">
            <v>Expansion Extractive</v>
          </cell>
          <cell r="G1289">
            <v>1479276.035916927</v>
          </cell>
          <cell r="H1289">
            <v>1075205.601428098</v>
          </cell>
          <cell r="I1289">
            <v>565137.40494014812</v>
          </cell>
          <cell r="J1289">
            <v>332385.91489601799</v>
          </cell>
          <cell r="K1289">
            <v>707054.68280916382</v>
          </cell>
          <cell r="M1289">
            <v>581752.71608076093</v>
          </cell>
          <cell r="N1289">
            <v>0.83474576271186396</v>
          </cell>
        </row>
        <row r="1290">
          <cell r="A1290">
            <v>2039</v>
          </cell>
          <cell r="B1290" t="str">
            <v>Copper</v>
          </cell>
          <cell r="C1290" t="str">
            <v>Global Net-zero</v>
          </cell>
          <cell r="D1290" t="str">
            <v>Production potential</v>
          </cell>
          <cell r="E1290" t="str">
            <v>Current shares</v>
          </cell>
          <cell r="F1290" t="str">
            <v>Expansion Extractive+Circularity</v>
          </cell>
          <cell r="G1290">
            <v>1479276.035916927</v>
          </cell>
          <cell r="H1290">
            <v>1075205.601428098</v>
          </cell>
          <cell r="I1290">
            <v>565137.40494014812</v>
          </cell>
          <cell r="J1290">
            <v>332385.91489601799</v>
          </cell>
          <cell r="K1290">
            <v>707054.68280916382</v>
          </cell>
          <cell r="M1290">
            <v>581752.71608076093</v>
          </cell>
          <cell r="N1290">
            <v>0.83474576271186396</v>
          </cell>
        </row>
        <row r="1291">
          <cell r="A1291">
            <v>2039</v>
          </cell>
          <cell r="B1291" t="str">
            <v>Copper</v>
          </cell>
          <cell r="C1291" t="str">
            <v>Global Net-zero</v>
          </cell>
          <cell r="D1291" t="str">
            <v>Production potential</v>
          </cell>
          <cell r="E1291" t="str">
            <v>100% CAN</v>
          </cell>
          <cell r="F1291" t="str">
            <v>Integrated</v>
          </cell>
          <cell r="G1291">
            <v>1479276.035916927</v>
          </cell>
          <cell r="H1291">
            <v>1075205.601428098</v>
          </cell>
          <cell r="I1291">
            <v>897523.31983616634</v>
          </cell>
          <cell r="J1291">
            <v>0</v>
          </cell>
          <cell r="K1291">
            <v>707054.68280916382</v>
          </cell>
          <cell r="M1291">
            <v>581752.7160807607</v>
          </cell>
          <cell r="N1291">
            <v>0.83474576271186396</v>
          </cell>
        </row>
        <row r="1292">
          <cell r="A1292">
            <v>2039</v>
          </cell>
          <cell r="B1292" t="str">
            <v>Neodymium</v>
          </cell>
          <cell r="C1292" t="str">
            <v>Canada Net-zero</v>
          </cell>
          <cell r="D1292" t="str">
            <v>Existing production</v>
          </cell>
          <cell r="E1292" t="str">
            <v>Current shares</v>
          </cell>
          <cell r="F1292" t="str">
            <v>NIMBY</v>
          </cell>
          <cell r="G1292">
            <v>6923.3275332631974</v>
          </cell>
          <cell r="H1292">
            <v>0</v>
          </cell>
          <cell r="I1292">
            <v>0</v>
          </cell>
          <cell r="J1292">
            <v>0</v>
          </cell>
          <cell r="K1292">
            <v>11538.87922210533</v>
          </cell>
          <cell r="M1292">
            <v>6923.3275332631974</v>
          </cell>
          <cell r="N1292">
            <v>1</v>
          </cell>
        </row>
        <row r="1293">
          <cell r="A1293">
            <v>2039</v>
          </cell>
          <cell r="B1293" t="str">
            <v>Neodymium</v>
          </cell>
          <cell r="C1293" t="str">
            <v>Canada Net-zero</v>
          </cell>
          <cell r="D1293" t="str">
            <v>Existing production</v>
          </cell>
          <cell r="E1293" t="str">
            <v>Current shares</v>
          </cell>
          <cell r="F1293" t="str">
            <v>Status Quo</v>
          </cell>
          <cell r="G1293">
            <v>6923.3275332631974</v>
          </cell>
          <cell r="H1293">
            <v>0</v>
          </cell>
          <cell r="I1293">
            <v>0</v>
          </cell>
          <cell r="J1293">
            <v>0</v>
          </cell>
          <cell r="K1293">
            <v>11538.87922210533</v>
          </cell>
          <cell r="M1293">
            <v>6923.3275332631974</v>
          </cell>
          <cell r="N1293">
            <v>1</v>
          </cell>
        </row>
        <row r="1294">
          <cell r="A1294">
            <v>2039</v>
          </cell>
          <cell r="B1294" t="str">
            <v>Neodymium</v>
          </cell>
          <cell r="C1294" t="str">
            <v>Canada Net-zero</v>
          </cell>
          <cell r="D1294" t="str">
            <v>Production potential</v>
          </cell>
          <cell r="E1294" t="str">
            <v>Current shares</v>
          </cell>
          <cell r="F1294" t="str">
            <v>Expansion Extractive</v>
          </cell>
          <cell r="G1294">
            <v>6923.3275332631974</v>
          </cell>
          <cell r="H1294">
            <v>308.22170458690948</v>
          </cell>
          <cell r="I1294">
            <v>184.48422544010839</v>
          </cell>
          <cell r="J1294">
            <v>123.73747914680109</v>
          </cell>
          <cell r="K1294">
            <v>11230.657517518421</v>
          </cell>
          <cell r="M1294">
            <v>6615.1058286762882</v>
          </cell>
          <cell r="N1294">
            <v>1</v>
          </cell>
        </row>
        <row r="1295">
          <cell r="A1295">
            <v>2039</v>
          </cell>
          <cell r="B1295" t="str">
            <v>Neodymium</v>
          </cell>
          <cell r="C1295" t="str">
            <v>Canada Net-zero</v>
          </cell>
          <cell r="D1295" t="str">
            <v>Production potential</v>
          </cell>
          <cell r="E1295" t="str">
            <v>Current shares</v>
          </cell>
          <cell r="F1295" t="str">
            <v>Expansion Extractive+Circularity</v>
          </cell>
          <cell r="G1295">
            <v>6923.3275332631974</v>
          </cell>
          <cell r="H1295">
            <v>308.22170458690948</v>
          </cell>
          <cell r="I1295">
            <v>184.48422544010839</v>
          </cell>
          <cell r="J1295">
            <v>123.73747914680109</v>
          </cell>
          <cell r="K1295">
            <v>11230.657517518421</v>
          </cell>
          <cell r="M1295">
            <v>6615.1058286762882</v>
          </cell>
          <cell r="N1295">
            <v>1</v>
          </cell>
        </row>
        <row r="1296">
          <cell r="A1296">
            <v>2039</v>
          </cell>
          <cell r="B1296" t="str">
            <v>Neodymium</v>
          </cell>
          <cell r="C1296" t="str">
            <v>Canada Net-zero</v>
          </cell>
          <cell r="D1296" t="str">
            <v>Production potential</v>
          </cell>
          <cell r="E1296" t="str">
            <v>100% CAN</v>
          </cell>
          <cell r="F1296" t="str">
            <v>Integrated</v>
          </cell>
          <cell r="G1296">
            <v>6923.3275332631974</v>
          </cell>
          <cell r="H1296">
            <v>308.22170458690948</v>
          </cell>
          <cell r="I1296">
            <v>184.48422544010839</v>
          </cell>
          <cell r="J1296">
            <v>123.73747914680109</v>
          </cell>
          <cell r="K1296">
            <v>11230.657517518421</v>
          </cell>
          <cell r="M1296">
            <v>6615.1058286762882</v>
          </cell>
          <cell r="N1296">
            <v>1</v>
          </cell>
        </row>
        <row r="1297">
          <cell r="A1297">
            <v>2039</v>
          </cell>
          <cell r="B1297" t="str">
            <v>Neodymium</v>
          </cell>
          <cell r="C1297" t="str">
            <v>Current Measures</v>
          </cell>
          <cell r="D1297" t="str">
            <v>Existing production</v>
          </cell>
          <cell r="E1297" t="str">
            <v>Current shares</v>
          </cell>
          <cell r="F1297" t="str">
            <v>NIMBY</v>
          </cell>
          <cell r="G1297">
            <v>2272.804134899478</v>
          </cell>
          <cell r="H1297">
            <v>0</v>
          </cell>
          <cell r="I1297">
            <v>0</v>
          </cell>
          <cell r="J1297">
            <v>0</v>
          </cell>
          <cell r="K1297">
            <v>3788.0068914991298</v>
          </cell>
          <cell r="M1297">
            <v>2272.804134899478</v>
          </cell>
          <cell r="N1297">
            <v>1</v>
          </cell>
        </row>
        <row r="1298">
          <cell r="A1298">
            <v>2039</v>
          </cell>
          <cell r="B1298" t="str">
            <v>Neodymium</v>
          </cell>
          <cell r="C1298" t="str">
            <v>Current Measures</v>
          </cell>
          <cell r="D1298" t="str">
            <v>Existing production</v>
          </cell>
          <cell r="E1298" t="str">
            <v>Current shares</v>
          </cell>
          <cell r="F1298" t="str">
            <v>Status Quo</v>
          </cell>
          <cell r="G1298">
            <v>2272.804134899478</v>
          </cell>
          <cell r="H1298">
            <v>0</v>
          </cell>
          <cell r="I1298">
            <v>0</v>
          </cell>
          <cell r="J1298">
            <v>0</v>
          </cell>
          <cell r="K1298">
            <v>3788.0068914991298</v>
          </cell>
          <cell r="M1298">
            <v>2272.804134899478</v>
          </cell>
          <cell r="N1298">
            <v>1</v>
          </cell>
        </row>
        <row r="1299">
          <cell r="A1299">
            <v>2039</v>
          </cell>
          <cell r="B1299" t="str">
            <v>Neodymium</v>
          </cell>
          <cell r="C1299" t="str">
            <v>Current Measures</v>
          </cell>
          <cell r="D1299" t="str">
            <v>Production potential</v>
          </cell>
          <cell r="E1299" t="str">
            <v>Current shares</v>
          </cell>
          <cell r="F1299" t="str">
            <v>Expansion Extractive</v>
          </cell>
          <cell r="G1299">
            <v>2272.804134899478</v>
          </cell>
          <cell r="H1299">
            <v>308.22170458690948</v>
          </cell>
          <cell r="I1299">
            <v>184.48422544010839</v>
          </cell>
          <cell r="J1299">
            <v>123.73747914680109</v>
          </cell>
          <cell r="K1299">
            <v>3479.785186912221</v>
          </cell>
          <cell r="M1299">
            <v>1964.5824303125692</v>
          </cell>
          <cell r="N1299">
            <v>1</v>
          </cell>
        </row>
        <row r="1300">
          <cell r="A1300">
            <v>2039</v>
          </cell>
          <cell r="B1300" t="str">
            <v>Neodymium</v>
          </cell>
          <cell r="C1300" t="str">
            <v>Current Measures</v>
          </cell>
          <cell r="D1300" t="str">
            <v>Production potential</v>
          </cell>
          <cell r="E1300" t="str">
            <v>Current shares</v>
          </cell>
          <cell r="F1300" t="str">
            <v>Expansion Extractive+Circularity</v>
          </cell>
          <cell r="G1300">
            <v>2272.804134899478</v>
          </cell>
          <cell r="H1300">
            <v>308.22170458690948</v>
          </cell>
          <cell r="I1300">
            <v>184.48422544010839</v>
          </cell>
          <cell r="J1300">
            <v>123.73747914680109</v>
          </cell>
          <cell r="K1300">
            <v>3479.785186912221</v>
          </cell>
          <cell r="M1300">
            <v>1964.5824303125692</v>
          </cell>
          <cell r="N1300">
            <v>1</v>
          </cell>
        </row>
        <row r="1301">
          <cell r="A1301">
            <v>2039</v>
          </cell>
          <cell r="B1301" t="str">
            <v>Neodymium</v>
          </cell>
          <cell r="C1301" t="str">
            <v>Current Measures</v>
          </cell>
          <cell r="D1301" t="str">
            <v>Production potential</v>
          </cell>
          <cell r="E1301" t="str">
            <v>100% CAN</v>
          </cell>
          <cell r="F1301" t="str">
            <v>Integrated</v>
          </cell>
          <cell r="G1301">
            <v>2272.804134899478</v>
          </cell>
          <cell r="H1301">
            <v>308.22170458690948</v>
          </cell>
          <cell r="I1301">
            <v>184.48422544010839</v>
          </cell>
          <cell r="J1301">
            <v>123.73747914680109</v>
          </cell>
          <cell r="K1301">
            <v>3479.785186912221</v>
          </cell>
          <cell r="M1301">
            <v>1964.5824303125692</v>
          </cell>
          <cell r="N1301">
            <v>1</v>
          </cell>
        </row>
        <row r="1302">
          <cell r="A1302">
            <v>2039</v>
          </cell>
          <cell r="B1302" t="str">
            <v>Neodymium</v>
          </cell>
          <cell r="C1302" t="str">
            <v>Global Net-zero</v>
          </cell>
          <cell r="D1302" t="str">
            <v>Existing production</v>
          </cell>
          <cell r="E1302" t="str">
            <v>Current shares</v>
          </cell>
          <cell r="F1302" t="str">
            <v>NIMBY</v>
          </cell>
          <cell r="G1302">
            <v>6634.0960399936675</v>
          </cell>
          <cell r="H1302">
            <v>0</v>
          </cell>
          <cell r="I1302">
            <v>0</v>
          </cell>
          <cell r="J1302">
            <v>0</v>
          </cell>
          <cell r="K1302">
            <v>11056.82673332278</v>
          </cell>
          <cell r="M1302">
            <v>6634.0960399936675</v>
          </cell>
          <cell r="N1302">
            <v>1</v>
          </cell>
        </row>
        <row r="1303">
          <cell r="A1303">
            <v>2039</v>
          </cell>
          <cell r="B1303" t="str">
            <v>Neodymium</v>
          </cell>
          <cell r="C1303" t="str">
            <v>Global Net-zero</v>
          </cell>
          <cell r="D1303" t="str">
            <v>Existing production</v>
          </cell>
          <cell r="E1303" t="str">
            <v>Current shares</v>
          </cell>
          <cell r="F1303" t="str">
            <v>Status Quo</v>
          </cell>
          <cell r="G1303">
            <v>6634.0960399936675</v>
          </cell>
          <cell r="H1303">
            <v>0</v>
          </cell>
          <cell r="I1303">
            <v>0</v>
          </cell>
          <cell r="J1303">
            <v>0</v>
          </cell>
          <cell r="K1303">
            <v>11056.82673332278</v>
          </cell>
          <cell r="M1303">
            <v>6634.0960399936675</v>
          </cell>
          <cell r="N1303">
            <v>1</v>
          </cell>
        </row>
        <row r="1304">
          <cell r="A1304">
            <v>2039</v>
          </cell>
          <cell r="B1304" t="str">
            <v>Neodymium</v>
          </cell>
          <cell r="C1304" t="str">
            <v>Global Net-zero</v>
          </cell>
          <cell r="D1304" t="str">
            <v>Production potential</v>
          </cell>
          <cell r="E1304" t="str">
            <v>Current shares</v>
          </cell>
          <cell r="F1304" t="str">
            <v>Expansion Extractive</v>
          </cell>
          <cell r="G1304">
            <v>6634.0960399936675</v>
          </cell>
          <cell r="H1304">
            <v>308.22170458690948</v>
          </cell>
          <cell r="I1304">
            <v>184.48422544010839</v>
          </cell>
          <cell r="J1304">
            <v>123.73747914680109</v>
          </cell>
          <cell r="K1304">
            <v>10748.60502873587</v>
          </cell>
          <cell r="M1304">
            <v>6325.8743354067583</v>
          </cell>
          <cell r="N1304">
            <v>1</v>
          </cell>
        </row>
        <row r="1305">
          <cell r="A1305">
            <v>2039</v>
          </cell>
          <cell r="B1305" t="str">
            <v>Neodymium</v>
          </cell>
          <cell r="C1305" t="str">
            <v>Global Net-zero</v>
          </cell>
          <cell r="D1305" t="str">
            <v>Production potential</v>
          </cell>
          <cell r="E1305" t="str">
            <v>Current shares</v>
          </cell>
          <cell r="F1305" t="str">
            <v>Expansion Extractive+Circularity</v>
          </cell>
          <cell r="G1305">
            <v>6634.0960399936675</v>
          </cell>
          <cell r="H1305">
            <v>308.22170458690948</v>
          </cell>
          <cell r="I1305">
            <v>184.48422544010839</v>
          </cell>
          <cell r="J1305">
            <v>123.73747914680109</v>
          </cell>
          <cell r="K1305">
            <v>10748.60502873587</v>
          </cell>
          <cell r="M1305">
            <v>6325.8743354067583</v>
          </cell>
          <cell r="N1305">
            <v>1</v>
          </cell>
        </row>
        <row r="1306">
          <cell r="A1306">
            <v>2039</v>
          </cell>
          <cell r="B1306" t="str">
            <v>Neodymium</v>
          </cell>
          <cell r="C1306" t="str">
            <v>Global Net-zero</v>
          </cell>
          <cell r="D1306" t="str">
            <v>Production potential</v>
          </cell>
          <cell r="E1306" t="str">
            <v>100% CAN</v>
          </cell>
          <cell r="F1306" t="str">
            <v>Integrated</v>
          </cell>
          <cell r="G1306">
            <v>6634.0960399936675</v>
          </cell>
          <cell r="H1306">
            <v>308.22170458690948</v>
          </cell>
          <cell r="I1306">
            <v>184.48422544010839</v>
          </cell>
          <cell r="J1306">
            <v>123.73747914680109</v>
          </cell>
          <cell r="K1306">
            <v>10748.60502873587</v>
          </cell>
          <cell r="M1306">
            <v>6325.8743354067583</v>
          </cell>
          <cell r="N1306">
            <v>1</v>
          </cell>
        </row>
        <row r="1307">
          <cell r="A1307">
            <v>2039</v>
          </cell>
          <cell r="B1307" t="str">
            <v>Nickel</v>
          </cell>
          <cell r="C1307" t="str">
            <v>Canada Net-zero</v>
          </cell>
          <cell r="D1307" t="str">
            <v>Existing production</v>
          </cell>
          <cell r="E1307" t="str">
            <v>Current shares</v>
          </cell>
          <cell r="F1307" t="str">
            <v>NIMBY</v>
          </cell>
          <cell r="G1307">
            <v>196109.6797893378</v>
          </cell>
          <cell r="H1307">
            <v>0</v>
          </cell>
          <cell r="I1307">
            <v>0</v>
          </cell>
          <cell r="J1307">
            <v>0</v>
          </cell>
          <cell r="K1307">
            <v>248240.10099916169</v>
          </cell>
          <cell r="M1307">
            <v>196109.6797893378</v>
          </cell>
          <cell r="N1307">
            <v>0.69917047091553897</v>
          </cell>
        </row>
        <row r="1308">
          <cell r="A1308">
            <v>2039</v>
          </cell>
          <cell r="B1308" t="str">
            <v>Nickel</v>
          </cell>
          <cell r="C1308" t="str">
            <v>Canada Net-zero</v>
          </cell>
          <cell r="D1308" t="str">
            <v>Existing production</v>
          </cell>
          <cell r="E1308" t="str">
            <v>Current shares</v>
          </cell>
          <cell r="F1308" t="str">
            <v>Status Quo</v>
          </cell>
          <cell r="G1308">
            <v>196109.6797893378</v>
          </cell>
          <cell r="H1308">
            <v>37000</v>
          </cell>
          <cell r="I1308">
            <v>20752.561586838339</v>
          </cell>
          <cell r="J1308">
            <v>5116.7458370366039</v>
          </cell>
          <cell r="K1308">
            <v>211240.10099916169</v>
          </cell>
          <cell r="M1308">
            <v>170240.37236546288</v>
          </cell>
          <cell r="N1308">
            <v>0.69917047091553897</v>
          </cell>
        </row>
        <row r="1309">
          <cell r="A1309">
            <v>2039</v>
          </cell>
          <cell r="B1309" t="str">
            <v>Nickel</v>
          </cell>
          <cell r="C1309" t="str">
            <v>Canada Net-zero</v>
          </cell>
          <cell r="D1309" t="str">
            <v>Production potential</v>
          </cell>
          <cell r="E1309" t="str">
            <v>Current shares</v>
          </cell>
          <cell r="F1309" t="str">
            <v>Expansion Extractive</v>
          </cell>
          <cell r="G1309">
            <v>196109.6797893378</v>
          </cell>
          <cell r="H1309">
            <v>269842.82978615753</v>
          </cell>
          <cell r="I1309">
            <v>151349.45794335051</v>
          </cell>
          <cell r="J1309">
            <v>37316.680431418878</v>
          </cell>
          <cell r="K1309">
            <v>0</v>
          </cell>
          <cell r="M1309">
            <v>7443.5414145684335</v>
          </cell>
          <cell r="N1309">
            <v>0.69917047091553897</v>
          </cell>
        </row>
        <row r="1310">
          <cell r="A1310">
            <v>2039</v>
          </cell>
          <cell r="B1310" t="str">
            <v>Nickel</v>
          </cell>
          <cell r="C1310" t="str">
            <v>Canada Net-zero</v>
          </cell>
          <cell r="D1310" t="str">
            <v>Production potential</v>
          </cell>
          <cell r="E1310" t="str">
            <v>Current shares</v>
          </cell>
          <cell r="F1310" t="str">
            <v>Expansion Extractive+Circularity</v>
          </cell>
          <cell r="G1310">
            <v>196109.6797893378</v>
          </cell>
          <cell r="H1310">
            <v>269842.82978615753</v>
          </cell>
          <cell r="I1310">
            <v>151349.45794335051</v>
          </cell>
          <cell r="J1310">
            <v>37316.680431418878</v>
          </cell>
          <cell r="K1310">
            <v>0</v>
          </cell>
          <cell r="M1310">
            <v>7443.5414145684335</v>
          </cell>
          <cell r="N1310">
            <v>0.69917047091553897</v>
          </cell>
        </row>
        <row r="1311">
          <cell r="A1311">
            <v>2039</v>
          </cell>
          <cell r="B1311" t="str">
            <v>Nickel</v>
          </cell>
          <cell r="C1311" t="str">
            <v>Canada Net-zero</v>
          </cell>
          <cell r="D1311" t="str">
            <v>Production potential</v>
          </cell>
          <cell r="E1311" t="str">
            <v>100% CAN</v>
          </cell>
          <cell r="F1311" t="str">
            <v>Integrated</v>
          </cell>
          <cell r="G1311">
            <v>196109.6797893378</v>
          </cell>
          <cell r="H1311">
            <v>269842.82978615753</v>
          </cell>
          <cell r="I1311">
            <v>212516.06896420821</v>
          </cell>
          <cell r="J1311">
            <v>-23849.930589438824</v>
          </cell>
          <cell r="K1311">
            <v>0</v>
          </cell>
          <cell r="M1311">
            <v>23849.930589438824</v>
          </cell>
          <cell r="N1311">
            <v>0.69917047091553897</v>
          </cell>
        </row>
        <row r="1312">
          <cell r="A1312">
            <v>2039</v>
          </cell>
          <cell r="B1312" t="str">
            <v>Nickel</v>
          </cell>
          <cell r="C1312" t="str">
            <v>Current Measures</v>
          </cell>
          <cell r="D1312" t="str">
            <v>Existing production</v>
          </cell>
          <cell r="E1312" t="str">
            <v>Current shares</v>
          </cell>
          <cell r="F1312" t="str">
            <v>NIMBY</v>
          </cell>
          <cell r="G1312">
            <v>76434.087778382978</v>
          </cell>
          <cell r="H1312">
            <v>0</v>
          </cell>
          <cell r="I1312">
            <v>0</v>
          </cell>
          <cell r="J1312">
            <v>0</v>
          </cell>
          <cell r="K1312">
            <v>96752.009846054396</v>
          </cell>
          <cell r="M1312">
            <v>76434.087778382978</v>
          </cell>
          <cell r="N1312">
            <v>0.69917047091553897</v>
          </cell>
        </row>
        <row r="1313">
          <cell r="A1313">
            <v>2039</v>
          </cell>
          <cell r="B1313" t="str">
            <v>Nickel</v>
          </cell>
          <cell r="C1313" t="str">
            <v>Current Measures</v>
          </cell>
          <cell r="D1313" t="str">
            <v>Existing production</v>
          </cell>
          <cell r="E1313" t="str">
            <v>Current shares</v>
          </cell>
          <cell r="F1313" t="str">
            <v>Status Quo</v>
          </cell>
          <cell r="G1313">
            <v>76434.087778382978</v>
          </cell>
          <cell r="H1313">
            <v>37000</v>
          </cell>
          <cell r="I1313">
            <v>20752.561586838339</v>
          </cell>
          <cell r="J1313">
            <v>5116.7458370366039</v>
          </cell>
          <cell r="K1313">
            <v>59752.009846054403</v>
          </cell>
          <cell r="M1313">
            <v>50564.780354508039</v>
          </cell>
          <cell r="N1313">
            <v>0.69917047091553897</v>
          </cell>
        </row>
        <row r="1314">
          <cell r="A1314">
            <v>2039</v>
          </cell>
          <cell r="B1314" t="str">
            <v>Nickel</v>
          </cell>
          <cell r="C1314" t="str">
            <v>Current Measures</v>
          </cell>
          <cell r="D1314" t="str">
            <v>Production potential</v>
          </cell>
          <cell r="E1314" t="str">
            <v>Current shares</v>
          </cell>
          <cell r="F1314" t="str">
            <v>Expansion Extractive</v>
          </cell>
          <cell r="G1314">
            <v>76434.087778382978</v>
          </cell>
          <cell r="H1314">
            <v>269842.82978615753</v>
          </cell>
          <cell r="I1314">
            <v>151349.45794335051</v>
          </cell>
          <cell r="J1314">
            <v>37316.680431418878</v>
          </cell>
          <cell r="K1314">
            <v>0</v>
          </cell>
          <cell r="M1314">
            <v>0</v>
          </cell>
          <cell r="N1314">
            <v>0.69917047091553897</v>
          </cell>
        </row>
        <row r="1315">
          <cell r="A1315">
            <v>2039</v>
          </cell>
          <cell r="B1315" t="str">
            <v>Nickel</v>
          </cell>
          <cell r="C1315" t="str">
            <v>Current Measures</v>
          </cell>
          <cell r="D1315" t="str">
            <v>Production potential</v>
          </cell>
          <cell r="E1315" t="str">
            <v>Current shares</v>
          </cell>
          <cell r="F1315" t="str">
            <v>Expansion Extractive+Circularity</v>
          </cell>
          <cell r="G1315">
            <v>76434.087778382978</v>
          </cell>
          <cell r="H1315">
            <v>269842.82978615753</v>
          </cell>
          <cell r="I1315">
            <v>151349.45794335051</v>
          </cell>
          <cell r="J1315">
            <v>37316.680431418878</v>
          </cell>
          <cell r="K1315">
            <v>0</v>
          </cell>
          <cell r="M1315">
            <v>0</v>
          </cell>
          <cell r="N1315">
            <v>0.69917047091553897</v>
          </cell>
        </row>
        <row r="1316">
          <cell r="A1316">
            <v>2039</v>
          </cell>
          <cell r="B1316" t="str">
            <v>Nickel</v>
          </cell>
          <cell r="C1316" t="str">
            <v>Current Measures</v>
          </cell>
          <cell r="D1316" t="str">
            <v>Production potential</v>
          </cell>
          <cell r="E1316" t="str">
            <v>100% CAN</v>
          </cell>
          <cell r="F1316" t="str">
            <v>Integrated</v>
          </cell>
          <cell r="G1316">
            <v>76434.087778382978</v>
          </cell>
          <cell r="H1316">
            <v>269842.82978615753</v>
          </cell>
          <cell r="I1316">
            <v>212516.06896420821</v>
          </cell>
          <cell r="J1316">
            <v>-23849.930589438824</v>
          </cell>
          <cell r="K1316">
            <v>0</v>
          </cell>
          <cell r="M1316">
            <v>23849.930589438824</v>
          </cell>
          <cell r="N1316">
            <v>0.69917047091553897</v>
          </cell>
        </row>
        <row r="1317">
          <cell r="A1317">
            <v>2039</v>
          </cell>
          <cell r="B1317" t="str">
            <v>Nickel</v>
          </cell>
          <cell r="C1317" t="str">
            <v>Global Net-zero</v>
          </cell>
          <cell r="D1317" t="str">
            <v>Existing production</v>
          </cell>
          <cell r="E1317" t="str">
            <v>Current shares</v>
          </cell>
          <cell r="F1317" t="str">
            <v>NIMBY</v>
          </cell>
          <cell r="G1317">
            <v>187945.44464517839</v>
          </cell>
          <cell r="H1317">
            <v>0</v>
          </cell>
          <cell r="I1317">
            <v>0</v>
          </cell>
          <cell r="J1317">
            <v>0</v>
          </cell>
          <cell r="K1317">
            <v>237905.62613313721</v>
          </cell>
          <cell r="M1317">
            <v>187945.44464517839</v>
          </cell>
          <cell r="N1317">
            <v>0.69917047091553897</v>
          </cell>
        </row>
        <row r="1318">
          <cell r="A1318">
            <v>2039</v>
          </cell>
          <cell r="B1318" t="str">
            <v>Nickel</v>
          </cell>
          <cell r="C1318" t="str">
            <v>Global Net-zero</v>
          </cell>
          <cell r="D1318" t="str">
            <v>Existing production</v>
          </cell>
          <cell r="E1318" t="str">
            <v>Current shares</v>
          </cell>
          <cell r="F1318" t="str">
            <v>Status Quo</v>
          </cell>
          <cell r="G1318">
            <v>187945.44464517839</v>
          </cell>
          <cell r="H1318">
            <v>37000</v>
          </cell>
          <cell r="I1318">
            <v>20752.561586838339</v>
          </cell>
          <cell r="J1318">
            <v>5116.7458370366039</v>
          </cell>
          <cell r="K1318">
            <v>200905.62613313721</v>
          </cell>
          <cell r="M1318">
            <v>162076.13722130351</v>
          </cell>
          <cell r="N1318">
            <v>0.69917047091553897</v>
          </cell>
        </row>
        <row r="1319">
          <cell r="A1319">
            <v>2039</v>
          </cell>
          <cell r="B1319" t="str">
            <v>Nickel</v>
          </cell>
          <cell r="C1319" t="str">
            <v>Global Net-zero</v>
          </cell>
          <cell r="D1319" t="str">
            <v>Production potential</v>
          </cell>
          <cell r="E1319" t="str">
            <v>Current shares</v>
          </cell>
          <cell r="F1319" t="str">
            <v>Expansion Extractive</v>
          </cell>
          <cell r="G1319">
            <v>187945.44464517839</v>
          </cell>
          <cell r="H1319">
            <v>269842.82978615753</v>
          </cell>
          <cell r="I1319">
            <v>151349.45794335051</v>
          </cell>
          <cell r="J1319">
            <v>37316.680431418878</v>
          </cell>
          <cell r="K1319">
            <v>0</v>
          </cell>
          <cell r="M1319">
            <v>0</v>
          </cell>
          <cell r="N1319">
            <v>0.69917047091553897</v>
          </cell>
        </row>
        <row r="1320">
          <cell r="A1320">
            <v>2039</v>
          </cell>
          <cell r="B1320" t="str">
            <v>Nickel</v>
          </cell>
          <cell r="C1320" t="str">
            <v>Global Net-zero</v>
          </cell>
          <cell r="D1320" t="str">
            <v>Production potential</v>
          </cell>
          <cell r="E1320" t="str">
            <v>Current shares</v>
          </cell>
          <cell r="F1320" t="str">
            <v>Expansion Extractive+Circularity</v>
          </cell>
          <cell r="G1320">
            <v>187945.44464517839</v>
          </cell>
          <cell r="H1320">
            <v>269842.82978615753</v>
          </cell>
          <cell r="I1320">
            <v>151349.45794335051</v>
          </cell>
          <cell r="J1320">
            <v>37316.680431418878</v>
          </cell>
          <cell r="K1320">
            <v>0</v>
          </cell>
          <cell r="M1320">
            <v>0</v>
          </cell>
          <cell r="N1320">
            <v>0.69917047091553897</v>
          </cell>
        </row>
        <row r="1321">
          <cell r="A1321">
            <v>2039</v>
          </cell>
          <cell r="B1321" t="str">
            <v>Nickel</v>
          </cell>
          <cell r="C1321" t="str">
            <v>Global Net-zero</v>
          </cell>
          <cell r="D1321" t="str">
            <v>Production potential</v>
          </cell>
          <cell r="E1321" t="str">
            <v>100% CAN</v>
          </cell>
          <cell r="F1321" t="str">
            <v>Integrated</v>
          </cell>
          <cell r="G1321">
            <v>187945.44464517839</v>
          </cell>
          <cell r="H1321">
            <v>269842.82978615753</v>
          </cell>
          <cell r="I1321">
            <v>212516.06896420821</v>
          </cell>
          <cell r="J1321">
            <v>-23849.930589438824</v>
          </cell>
          <cell r="K1321">
            <v>0</v>
          </cell>
          <cell r="M1321">
            <v>23849.930589438824</v>
          </cell>
          <cell r="N1321">
            <v>0.69917047091553897</v>
          </cell>
        </row>
        <row r="1322">
          <cell r="A1322">
            <v>2039</v>
          </cell>
          <cell r="B1322" t="str">
            <v>Graphite</v>
          </cell>
          <cell r="C1322" t="str">
            <v>Canada Net-zero</v>
          </cell>
          <cell r="D1322" t="str">
            <v>Existing production</v>
          </cell>
          <cell r="E1322" t="str">
            <v>Current shares</v>
          </cell>
          <cell r="F1322" t="str">
            <v>NIMBY</v>
          </cell>
          <cell r="G1322">
            <v>3142.2560928391108</v>
          </cell>
          <cell r="H1322">
            <v>0</v>
          </cell>
          <cell r="I1322">
            <v>0</v>
          </cell>
          <cell r="J1322">
            <v>0</v>
          </cell>
          <cell r="K1322">
            <v>3142.2560928391108</v>
          </cell>
          <cell r="M1322">
            <v>3142.2560928391108</v>
          </cell>
          <cell r="N1322">
            <v>0.59854391398996798</v>
          </cell>
        </row>
        <row r="1323">
          <cell r="A1323">
            <v>2039</v>
          </cell>
          <cell r="B1323" t="str">
            <v>Graphite</v>
          </cell>
          <cell r="C1323" t="str">
            <v>Canada Net-zero</v>
          </cell>
          <cell r="D1323" t="str">
            <v>Existing production</v>
          </cell>
          <cell r="E1323" t="str">
            <v>Current shares</v>
          </cell>
          <cell r="F1323" t="str">
            <v>Status Quo</v>
          </cell>
          <cell r="G1323">
            <v>3142.2560928391108</v>
          </cell>
          <cell r="H1323">
            <v>0</v>
          </cell>
          <cell r="I1323">
            <v>0</v>
          </cell>
          <cell r="J1323">
            <v>0</v>
          </cell>
          <cell r="K1323">
            <v>3142.2560928391108</v>
          </cell>
          <cell r="M1323">
            <v>3142.2560928391108</v>
          </cell>
          <cell r="N1323">
            <v>0.59854391398996798</v>
          </cell>
        </row>
        <row r="1324">
          <cell r="A1324">
            <v>2039</v>
          </cell>
          <cell r="B1324" t="str">
            <v>Graphite</v>
          </cell>
          <cell r="C1324" t="str">
            <v>Canada Net-zero</v>
          </cell>
          <cell r="D1324" t="str">
            <v>Production potential</v>
          </cell>
          <cell r="E1324" t="str">
            <v>Current shares</v>
          </cell>
          <cell r="F1324" t="str">
            <v>Expansion Extractive</v>
          </cell>
          <cell r="G1324">
            <v>3142.2560928391108</v>
          </cell>
          <cell r="H1324">
            <v>331728.85195268661</v>
          </cell>
          <cell r="I1324">
            <v>109470.5211443866</v>
          </cell>
          <cell r="J1324">
            <v>89083.76428677309</v>
          </cell>
          <cell r="K1324">
            <v>0</v>
          </cell>
          <cell r="M1324">
            <v>0</v>
          </cell>
          <cell r="N1324">
            <v>0.59854391398996798</v>
          </cell>
        </row>
        <row r="1325">
          <cell r="A1325">
            <v>2039</v>
          </cell>
          <cell r="B1325" t="str">
            <v>Graphite</v>
          </cell>
          <cell r="C1325" t="str">
            <v>Canada Net-zero</v>
          </cell>
          <cell r="D1325" t="str">
            <v>Production potential</v>
          </cell>
          <cell r="E1325" t="str">
            <v>Current shares</v>
          </cell>
          <cell r="F1325" t="str">
            <v>Expansion Extractive+Circularity</v>
          </cell>
          <cell r="G1325">
            <v>3142.2560928391108</v>
          </cell>
          <cell r="H1325">
            <v>331728.85195268661</v>
          </cell>
          <cell r="I1325">
            <v>109470.5211443866</v>
          </cell>
          <cell r="J1325">
            <v>89083.76428677309</v>
          </cell>
          <cell r="K1325">
            <v>0</v>
          </cell>
          <cell r="M1325">
            <v>0</v>
          </cell>
          <cell r="N1325">
            <v>0.59854391398996798</v>
          </cell>
        </row>
        <row r="1326">
          <cell r="A1326">
            <v>2039</v>
          </cell>
          <cell r="B1326" t="str">
            <v>Graphite</v>
          </cell>
          <cell r="C1326" t="str">
            <v>Canada Net-zero</v>
          </cell>
          <cell r="D1326" t="str">
            <v>Production potential</v>
          </cell>
          <cell r="E1326" t="str">
            <v>100% CAN</v>
          </cell>
          <cell r="F1326" t="str">
            <v>Integrated</v>
          </cell>
          <cell r="G1326">
            <v>3142.2560928391108</v>
          </cell>
          <cell r="H1326">
            <v>331728.85195268661</v>
          </cell>
          <cell r="I1326">
            <v>109470.5211443866</v>
          </cell>
          <cell r="J1326">
            <v>89083.76428677309</v>
          </cell>
          <cell r="K1326">
            <v>0</v>
          </cell>
          <cell r="M1326">
            <v>0</v>
          </cell>
          <cell r="N1326">
            <v>0.59854391398996798</v>
          </cell>
        </row>
        <row r="1327">
          <cell r="A1327">
            <v>2039</v>
          </cell>
          <cell r="B1327" t="str">
            <v>Graphite</v>
          </cell>
          <cell r="C1327" t="str">
            <v>Current Measures</v>
          </cell>
          <cell r="D1327" t="str">
            <v>Existing production</v>
          </cell>
          <cell r="E1327" t="str">
            <v>Current shares</v>
          </cell>
          <cell r="F1327" t="str">
            <v>NIMBY</v>
          </cell>
          <cell r="G1327">
            <v>1154.9982759766251</v>
          </cell>
          <cell r="H1327">
            <v>0</v>
          </cell>
          <cell r="I1327">
            <v>0</v>
          </cell>
          <cell r="J1327">
            <v>0</v>
          </cell>
          <cell r="K1327">
            <v>1154.9982759766251</v>
          </cell>
          <cell r="M1327">
            <v>1154.9982759766251</v>
          </cell>
          <cell r="N1327">
            <v>0.59854391398996798</v>
          </cell>
        </row>
        <row r="1328">
          <cell r="A1328">
            <v>2039</v>
          </cell>
          <cell r="B1328" t="str">
            <v>Graphite</v>
          </cell>
          <cell r="C1328" t="str">
            <v>Current Measures</v>
          </cell>
          <cell r="D1328" t="str">
            <v>Existing production</v>
          </cell>
          <cell r="E1328" t="str">
            <v>Current shares</v>
          </cell>
          <cell r="F1328" t="str">
            <v>Status Quo</v>
          </cell>
          <cell r="G1328">
            <v>1154.9982759766251</v>
          </cell>
          <cell r="H1328">
            <v>0</v>
          </cell>
          <cell r="I1328">
            <v>0</v>
          </cell>
          <cell r="J1328">
            <v>0</v>
          </cell>
          <cell r="K1328">
            <v>1154.9982759766251</v>
          </cell>
          <cell r="M1328">
            <v>1154.9982759766251</v>
          </cell>
          <cell r="N1328">
            <v>0.59854391398996798</v>
          </cell>
        </row>
        <row r="1329">
          <cell r="A1329">
            <v>2039</v>
          </cell>
          <cell r="B1329" t="str">
            <v>Graphite</v>
          </cell>
          <cell r="C1329" t="str">
            <v>Current Measures</v>
          </cell>
          <cell r="D1329" t="str">
            <v>Production potential</v>
          </cell>
          <cell r="E1329" t="str">
            <v>Current shares</v>
          </cell>
          <cell r="F1329" t="str">
            <v>Expansion Extractive</v>
          </cell>
          <cell r="G1329">
            <v>1154.9982759766251</v>
          </cell>
          <cell r="H1329">
            <v>331728.85195268661</v>
          </cell>
          <cell r="I1329">
            <v>109470.5211443866</v>
          </cell>
          <cell r="J1329">
            <v>89083.76428677309</v>
          </cell>
          <cell r="K1329">
            <v>0</v>
          </cell>
          <cell r="M1329">
            <v>0</v>
          </cell>
          <cell r="N1329">
            <v>0.59854391398996798</v>
          </cell>
        </row>
        <row r="1330">
          <cell r="A1330">
            <v>2039</v>
          </cell>
          <cell r="B1330" t="str">
            <v>Graphite</v>
          </cell>
          <cell r="C1330" t="str">
            <v>Current Measures</v>
          </cell>
          <cell r="D1330" t="str">
            <v>Production potential</v>
          </cell>
          <cell r="E1330" t="str">
            <v>Current shares</v>
          </cell>
          <cell r="F1330" t="str">
            <v>Expansion Extractive+Circularity</v>
          </cell>
          <cell r="G1330">
            <v>1154.9982759766251</v>
          </cell>
          <cell r="H1330">
            <v>331728.85195268661</v>
          </cell>
          <cell r="I1330">
            <v>109470.5211443866</v>
          </cell>
          <cell r="J1330">
            <v>89083.76428677309</v>
          </cell>
          <cell r="K1330">
            <v>0</v>
          </cell>
          <cell r="M1330">
            <v>0</v>
          </cell>
          <cell r="N1330">
            <v>0.59854391398996798</v>
          </cell>
        </row>
        <row r="1331">
          <cell r="A1331">
            <v>2039</v>
          </cell>
          <cell r="B1331" t="str">
            <v>Graphite</v>
          </cell>
          <cell r="C1331" t="str">
            <v>Current Measures</v>
          </cell>
          <cell r="D1331" t="str">
            <v>Production potential</v>
          </cell>
          <cell r="E1331" t="str">
            <v>100% CAN</v>
          </cell>
          <cell r="F1331" t="str">
            <v>Integrated</v>
          </cell>
          <cell r="G1331">
            <v>1154.9982759766251</v>
          </cell>
          <cell r="H1331">
            <v>331728.85195268661</v>
          </cell>
          <cell r="I1331">
            <v>109470.5211443866</v>
          </cell>
          <cell r="J1331">
            <v>89083.76428677309</v>
          </cell>
          <cell r="K1331">
            <v>0</v>
          </cell>
          <cell r="M1331">
            <v>0</v>
          </cell>
          <cell r="N1331">
            <v>0.59854391398996798</v>
          </cell>
        </row>
        <row r="1332">
          <cell r="A1332">
            <v>2039</v>
          </cell>
          <cell r="B1332" t="str">
            <v>Graphite</v>
          </cell>
          <cell r="C1332" t="str">
            <v>Global Net-zero</v>
          </cell>
          <cell r="D1332" t="str">
            <v>Existing production</v>
          </cell>
          <cell r="E1332" t="str">
            <v>Current shares</v>
          </cell>
          <cell r="F1332" t="str">
            <v>NIMBY</v>
          </cell>
          <cell r="G1332">
            <v>2995.2738382071152</v>
          </cell>
          <cell r="H1332">
            <v>0</v>
          </cell>
          <cell r="I1332">
            <v>0</v>
          </cell>
          <cell r="J1332">
            <v>0</v>
          </cell>
          <cell r="K1332">
            <v>2995.2738382071152</v>
          </cell>
          <cell r="M1332">
            <v>2995.2738382071152</v>
          </cell>
          <cell r="N1332">
            <v>0.59854391398996798</v>
          </cell>
        </row>
        <row r="1333">
          <cell r="A1333">
            <v>2039</v>
          </cell>
          <cell r="B1333" t="str">
            <v>Graphite</v>
          </cell>
          <cell r="C1333" t="str">
            <v>Global Net-zero</v>
          </cell>
          <cell r="D1333" t="str">
            <v>Existing production</v>
          </cell>
          <cell r="E1333" t="str">
            <v>Current shares</v>
          </cell>
          <cell r="F1333" t="str">
            <v>Status Quo</v>
          </cell>
          <cell r="G1333">
            <v>2995.2738382071152</v>
          </cell>
          <cell r="H1333">
            <v>0</v>
          </cell>
          <cell r="I1333">
            <v>0</v>
          </cell>
          <cell r="J1333">
            <v>0</v>
          </cell>
          <cell r="K1333">
            <v>2995.2738382071152</v>
          </cell>
          <cell r="M1333">
            <v>2995.2738382071152</v>
          </cell>
          <cell r="N1333">
            <v>0.59854391398996798</v>
          </cell>
        </row>
        <row r="1334">
          <cell r="A1334">
            <v>2039</v>
          </cell>
          <cell r="B1334" t="str">
            <v>Graphite</v>
          </cell>
          <cell r="C1334" t="str">
            <v>Global Net-zero</v>
          </cell>
          <cell r="D1334" t="str">
            <v>Production potential</v>
          </cell>
          <cell r="E1334" t="str">
            <v>Current shares</v>
          </cell>
          <cell r="F1334" t="str">
            <v>Expansion Extractive</v>
          </cell>
          <cell r="G1334">
            <v>2995.2738382071152</v>
          </cell>
          <cell r="H1334">
            <v>331728.85195268661</v>
          </cell>
          <cell r="I1334">
            <v>109470.5211443866</v>
          </cell>
          <cell r="J1334">
            <v>89083.76428677309</v>
          </cell>
          <cell r="K1334">
            <v>0</v>
          </cell>
          <cell r="M1334">
            <v>0</v>
          </cell>
          <cell r="N1334">
            <v>0.59854391398996798</v>
          </cell>
        </row>
        <row r="1335">
          <cell r="A1335">
            <v>2039</v>
          </cell>
          <cell r="B1335" t="str">
            <v>Graphite</v>
          </cell>
          <cell r="C1335" t="str">
            <v>Global Net-zero</v>
          </cell>
          <cell r="D1335" t="str">
            <v>Production potential</v>
          </cell>
          <cell r="E1335" t="str">
            <v>Current shares</v>
          </cell>
          <cell r="F1335" t="str">
            <v>Expansion Extractive+Circularity</v>
          </cell>
          <cell r="G1335">
            <v>2995.2738382071152</v>
          </cell>
          <cell r="H1335">
            <v>331728.85195268661</v>
          </cell>
          <cell r="I1335">
            <v>109470.5211443866</v>
          </cell>
          <cell r="J1335">
            <v>89083.76428677309</v>
          </cell>
          <cell r="K1335">
            <v>0</v>
          </cell>
          <cell r="M1335">
            <v>0</v>
          </cell>
          <cell r="N1335">
            <v>0.59854391398996798</v>
          </cell>
        </row>
        <row r="1336">
          <cell r="A1336">
            <v>2039</v>
          </cell>
          <cell r="B1336" t="str">
            <v>Graphite</v>
          </cell>
          <cell r="C1336" t="str">
            <v>Global Net-zero</v>
          </cell>
          <cell r="D1336" t="str">
            <v>Production potential</v>
          </cell>
          <cell r="E1336" t="str">
            <v>100% CAN</v>
          </cell>
          <cell r="F1336" t="str">
            <v>Integrated</v>
          </cell>
          <cell r="G1336">
            <v>2995.2738382071152</v>
          </cell>
          <cell r="H1336">
            <v>331728.85195268661</v>
          </cell>
          <cell r="I1336">
            <v>109470.5211443866</v>
          </cell>
          <cell r="J1336">
            <v>89083.76428677309</v>
          </cell>
          <cell r="K1336">
            <v>0</v>
          </cell>
          <cell r="M1336">
            <v>0</v>
          </cell>
          <cell r="N1336">
            <v>0.59854391398996798</v>
          </cell>
        </row>
        <row r="1337">
          <cell r="A1337">
            <v>2039</v>
          </cell>
          <cell r="B1337" t="str">
            <v>Lithium</v>
          </cell>
          <cell r="C1337" t="str">
            <v>Canada Net-zero</v>
          </cell>
          <cell r="D1337" t="str">
            <v>Existing production</v>
          </cell>
          <cell r="E1337" t="str">
            <v>Current shares</v>
          </cell>
          <cell r="F1337" t="str">
            <v>NIMBY</v>
          </cell>
          <cell r="G1337">
            <v>83112.060773278674</v>
          </cell>
          <cell r="H1337">
            <v>0</v>
          </cell>
          <cell r="I1337">
            <v>0</v>
          </cell>
          <cell r="J1337">
            <v>0</v>
          </cell>
          <cell r="K1337">
            <v>118731.5153903981</v>
          </cell>
          <cell r="M1337">
            <v>83112.060773278674</v>
          </cell>
          <cell r="N1337">
            <v>0.787554996857322</v>
          </cell>
        </row>
        <row r="1338">
          <cell r="A1338">
            <v>2039</v>
          </cell>
          <cell r="B1338" t="str">
            <v>Lithium</v>
          </cell>
          <cell r="C1338" t="str">
            <v>Canada Net-zero</v>
          </cell>
          <cell r="D1338" t="str">
            <v>Existing production</v>
          </cell>
          <cell r="E1338" t="str">
            <v>Current shares</v>
          </cell>
          <cell r="F1338" t="str">
            <v>Status Quo</v>
          </cell>
          <cell r="G1338">
            <v>83112.060773278674</v>
          </cell>
          <cell r="H1338">
            <v>40971</v>
          </cell>
          <cell r="I1338">
            <v>28645.71336388055</v>
          </cell>
          <cell r="J1338">
            <v>3621.202412360788</v>
          </cell>
          <cell r="K1338">
            <v>77760.515390398112</v>
          </cell>
          <cell r="M1338">
            <v>50845.144997037336</v>
          </cell>
          <cell r="N1338">
            <v>0.787554996857322</v>
          </cell>
        </row>
        <row r="1339">
          <cell r="A1339">
            <v>2039</v>
          </cell>
          <cell r="B1339" t="str">
            <v>Lithium</v>
          </cell>
          <cell r="C1339" t="str">
            <v>Canada Net-zero</v>
          </cell>
          <cell r="D1339" t="str">
            <v>Production potential</v>
          </cell>
          <cell r="E1339" t="str">
            <v>Current shares</v>
          </cell>
          <cell r="F1339" t="str">
            <v>Expansion Extractive</v>
          </cell>
          <cell r="G1339">
            <v>83112.060773278674</v>
          </cell>
          <cell r="H1339">
            <v>461670.14593495359</v>
          </cell>
          <cell r="I1339">
            <v>322786.13334098709</v>
          </cell>
          <cell r="J1339">
            <v>40804.496989934647</v>
          </cell>
          <cell r="K1339">
            <v>0</v>
          </cell>
          <cell r="M1339">
            <v>0</v>
          </cell>
          <cell r="N1339">
            <v>0.787554996857322</v>
          </cell>
        </row>
        <row r="1340">
          <cell r="A1340">
            <v>2039</v>
          </cell>
          <cell r="B1340" t="str">
            <v>Lithium</v>
          </cell>
          <cell r="C1340" t="str">
            <v>Canada Net-zero</v>
          </cell>
          <cell r="D1340" t="str">
            <v>Production potential</v>
          </cell>
          <cell r="E1340" t="str">
            <v>Current shares</v>
          </cell>
          <cell r="F1340" t="str">
            <v>Expansion Extractive+Circularity</v>
          </cell>
          <cell r="G1340">
            <v>83112.060773278674</v>
          </cell>
          <cell r="H1340">
            <v>461670.14593495359</v>
          </cell>
          <cell r="I1340">
            <v>322786.13334098709</v>
          </cell>
          <cell r="J1340">
            <v>40804.496989934647</v>
          </cell>
          <cell r="K1340">
            <v>0</v>
          </cell>
          <cell r="M1340">
            <v>0</v>
          </cell>
          <cell r="N1340">
            <v>0.787554996857322</v>
          </cell>
        </row>
        <row r="1341">
          <cell r="A1341">
            <v>2039</v>
          </cell>
          <cell r="B1341" t="str">
            <v>Lithium</v>
          </cell>
          <cell r="C1341" t="str">
            <v>Canada Net-zero</v>
          </cell>
          <cell r="D1341" t="str">
            <v>Production potential</v>
          </cell>
          <cell r="E1341" t="str">
            <v>100% CAN</v>
          </cell>
          <cell r="F1341" t="str">
            <v>Integrated</v>
          </cell>
          <cell r="G1341">
            <v>83112.060773278674</v>
          </cell>
          <cell r="H1341">
            <v>461670.14593495359</v>
          </cell>
          <cell r="I1341">
            <v>322786.13334098709</v>
          </cell>
          <cell r="J1341">
            <v>40804.496989934647</v>
          </cell>
          <cell r="K1341">
            <v>0</v>
          </cell>
          <cell r="M1341">
            <v>0</v>
          </cell>
          <cell r="N1341">
            <v>0.787554996857322</v>
          </cell>
        </row>
        <row r="1342">
          <cell r="A1342">
            <v>2039</v>
          </cell>
          <cell r="B1342" t="str">
            <v>Lithium</v>
          </cell>
          <cell r="C1342" t="str">
            <v>Current Measures</v>
          </cell>
          <cell r="D1342" t="str">
            <v>Existing production</v>
          </cell>
          <cell r="E1342" t="str">
            <v>Current shares</v>
          </cell>
          <cell r="F1342" t="str">
            <v>NIMBY</v>
          </cell>
          <cell r="G1342">
            <v>30549.47912258418</v>
          </cell>
          <cell r="H1342">
            <v>0</v>
          </cell>
          <cell r="I1342">
            <v>0</v>
          </cell>
          <cell r="J1342">
            <v>0</v>
          </cell>
          <cell r="K1342">
            <v>43642.113032263107</v>
          </cell>
          <cell r="M1342">
            <v>30549.47912258418</v>
          </cell>
          <cell r="N1342">
            <v>0.787554996857322</v>
          </cell>
        </row>
        <row r="1343">
          <cell r="A1343">
            <v>2039</v>
          </cell>
          <cell r="B1343" t="str">
            <v>Lithium</v>
          </cell>
          <cell r="C1343" t="str">
            <v>Current Measures</v>
          </cell>
          <cell r="D1343" t="str">
            <v>Existing production</v>
          </cell>
          <cell r="E1343" t="str">
            <v>Current shares</v>
          </cell>
          <cell r="F1343" t="str">
            <v>Status Quo</v>
          </cell>
          <cell r="G1343">
            <v>30549.47912258418</v>
          </cell>
          <cell r="H1343">
            <v>40971</v>
          </cell>
          <cell r="I1343">
            <v>28645.71336388055</v>
          </cell>
          <cell r="J1343">
            <v>3621.202412360788</v>
          </cell>
          <cell r="K1343">
            <v>2671.1130322631138</v>
          </cell>
          <cell r="M1343">
            <v>0</v>
          </cell>
          <cell r="N1343">
            <v>0.787554996857322</v>
          </cell>
        </row>
        <row r="1344">
          <cell r="A1344">
            <v>2039</v>
          </cell>
          <cell r="B1344" t="str">
            <v>Lithium</v>
          </cell>
          <cell r="C1344" t="str">
            <v>Current Measures</v>
          </cell>
          <cell r="D1344" t="str">
            <v>Production potential</v>
          </cell>
          <cell r="E1344" t="str">
            <v>Current shares</v>
          </cell>
          <cell r="F1344" t="str">
            <v>Expansion Extractive</v>
          </cell>
          <cell r="G1344">
            <v>30549.47912258418</v>
          </cell>
          <cell r="H1344">
            <v>461670.14593495359</v>
          </cell>
          <cell r="I1344">
            <v>322786.13334098709</v>
          </cell>
          <cell r="J1344">
            <v>40804.496989934647</v>
          </cell>
          <cell r="K1344">
            <v>0</v>
          </cell>
          <cell r="M1344">
            <v>0</v>
          </cell>
          <cell r="N1344">
            <v>0.787554996857322</v>
          </cell>
        </row>
        <row r="1345">
          <cell r="A1345">
            <v>2039</v>
          </cell>
          <cell r="B1345" t="str">
            <v>Lithium</v>
          </cell>
          <cell r="C1345" t="str">
            <v>Current Measures</v>
          </cell>
          <cell r="D1345" t="str">
            <v>Production potential</v>
          </cell>
          <cell r="E1345" t="str">
            <v>Current shares</v>
          </cell>
          <cell r="F1345" t="str">
            <v>Expansion Extractive+Circularity</v>
          </cell>
          <cell r="G1345">
            <v>30549.47912258418</v>
          </cell>
          <cell r="H1345">
            <v>461670.14593495359</v>
          </cell>
          <cell r="I1345">
            <v>322786.13334098709</v>
          </cell>
          <cell r="J1345">
            <v>40804.496989934647</v>
          </cell>
          <cell r="K1345">
            <v>0</v>
          </cell>
          <cell r="M1345">
            <v>0</v>
          </cell>
          <cell r="N1345">
            <v>0.787554996857322</v>
          </cell>
        </row>
        <row r="1346">
          <cell r="A1346">
            <v>2039</v>
          </cell>
          <cell r="B1346" t="str">
            <v>Lithium</v>
          </cell>
          <cell r="C1346" t="str">
            <v>Current Measures</v>
          </cell>
          <cell r="D1346" t="str">
            <v>Production potential</v>
          </cell>
          <cell r="E1346" t="str">
            <v>100% CAN</v>
          </cell>
          <cell r="F1346" t="str">
            <v>Integrated</v>
          </cell>
          <cell r="G1346">
            <v>30549.47912258418</v>
          </cell>
          <cell r="H1346">
            <v>461670.14593495359</v>
          </cell>
          <cell r="I1346">
            <v>322786.13334098709</v>
          </cell>
          <cell r="J1346">
            <v>40804.496989934647</v>
          </cell>
          <cell r="K1346">
            <v>0</v>
          </cell>
          <cell r="M1346">
            <v>0</v>
          </cell>
          <cell r="N1346">
            <v>0.787554996857322</v>
          </cell>
        </row>
        <row r="1347">
          <cell r="A1347">
            <v>2039</v>
          </cell>
          <cell r="B1347" t="str">
            <v>Lithium</v>
          </cell>
          <cell r="C1347" t="str">
            <v>Global Net-zero</v>
          </cell>
          <cell r="D1347" t="str">
            <v>Existing production</v>
          </cell>
          <cell r="E1347" t="str">
            <v>Current shares</v>
          </cell>
          <cell r="F1347" t="str">
            <v>NIMBY</v>
          </cell>
          <cell r="G1347">
            <v>79224.408806461855</v>
          </cell>
          <cell r="H1347">
            <v>0</v>
          </cell>
          <cell r="I1347">
            <v>0</v>
          </cell>
          <cell r="J1347">
            <v>0</v>
          </cell>
          <cell r="K1347">
            <v>113177.7268663741</v>
          </cell>
          <cell r="M1347">
            <v>79224.408806461855</v>
          </cell>
          <cell r="N1347">
            <v>0.787554996857322</v>
          </cell>
        </row>
        <row r="1348">
          <cell r="A1348">
            <v>2039</v>
          </cell>
          <cell r="B1348" t="str">
            <v>Lithium</v>
          </cell>
          <cell r="C1348" t="str">
            <v>Global Net-zero</v>
          </cell>
          <cell r="D1348" t="str">
            <v>Existing production</v>
          </cell>
          <cell r="E1348" t="str">
            <v>Current shares</v>
          </cell>
          <cell r="F1348" t="str">
            <v>Status Quo</v>
          </cell>
          <cell r="G1348">
            <v>79224.408806461855</v>
          </cell>
          <cell r="H1348">
            <v>40971</v>
          </cell>
          <cell r="I1348">
            <v>28645.71336388055</v>
          </cell>
          <cell r="J1348">
            <v>3621.202412360788</v>
          </cell>
          <cell r="K1348">
            <v>72206.726866374083</v>
          </cell>
          <cell r="M1348">
            <v>46957.493030220518</v>
          </cell>
          <cell r="N1348">
            <v>0.787554996857322</v>
          </cell>
        </row>
        <row r="1349">
          <cell r="A1349">
            <v>2039</v>
          </cell>
          <cell r="B1349" t="str">
            <v>Lithium</v>
          </cell>
          <cell r="C1349" t="str">
            <v>Global Net-zero</v>
          </cell>
          <cell r="D1349" t="str">
            <v>Production potential</v>
          </cell>
          <cell r="E1349" t="str">
            <v>Current shares</v>
          </cell>
          <cell r="F1349" t="str">
            <v>Expansion Extractive</v>
          </cell>
          <cell r="G1349">
            <v>79224.408806461855</v>
          </cell>
          <cell r="H1349">
            <v>461670.14593495359</v>
          </cell>
          <cell r="I1349">
            <v>322786.13334098709</v>
          </cell>
          <cell r="J1349">
            <v>40804.496989934647</v>
          </cell>
          <cell r="K1349">
            <v>0</v>
          </cell>
          <cell r="M1349">
            <v>0</v>
          </cell>
          <cell r="N1349">
            <v>0.787554996857322</v>
          </cell>
        </row>
        <row r="1350">
          <cell r="A1350">
            <v>2039</v>
          </cell>
          <cell r="B1350" t="str">
            <v>Lithium</v>
          </cell>
          <cell r="C1350" t="str">
            <v>Global Net-zero</v>
          </cell>
          <cell r="D1350" t="str">
            <v>Production potential</v>
          </cell>
          <cell r="E1350" t="str">
            <v>Current shares</v>
          </cell>
          <cell r="F1350" t="str">
            <v>Expansion Extractive+Circularity</v>
          </cell>
          <cell r="G1350">
            <v>79224.408806461855</v>
          </cell>
          <cell r="H1350">
            <v>461670.14593495359</v>
          </cell>
          <cell r="I1350">
            <v>322786.13334098709</v>
          </cell>
          <cell r="J1350">
            <v>40804.496989934647</v>
          </cell>
          <cell r="K1350">
            <v>0</v>
          </cell>
          <cell r="M1350">
            <v>0</v>
          </cell>
          <cell r="N1350">
            <v>0.787554996857322</v>
          </cell>
        </row>
        <row r="1351">
          <cell r="A1351">
            <v>2039</v>
          </cell>
          <cell r="B1351" t="str">
            <v>Lithium</v>
          </cell>
          <cell r="C1351" t="str">
            <v>Global Net-zero</v>
          </cell>
          <cell r="D1351" t="str">
            <v>Production potential</v>
          </cell>
          <cell r="E1351" t="str">
            <v>100% CAN</v>
          </cell>
          <cell r="F1351" t="str">
            <v>Integrated</v>
          </cell>
          <cell r="G1351">
            <v>79224.408806461855</v>
          </cell>
          <cell r="H1351">
            <v>461670.14593495359</v>
          </cell>
          <cell r="I1351">
            <v>322786.13334098709</v>
          </cell>
          <cell r="J1351">
            <v>40804.496989934647</v>
          </cell>
          <cell r="K1351">
            <v>0</v>
          </cell>
          <cell r="M1351">
            <v>0</v>
          </cell>
          <cell r="N1351">
            <v>0.787554996857322</v>
          </cell>
        </row>
        <row r="1352">
          <cell r="A1352">
            <v>2040</v>
          </cell>
          <cell r="B1352" t="str">
            <v>Cobalt</v>
          </cell>
          <cell r="C1352" t="str">
            <v>Canada Net-zero</v>
          </cell>
          <cell r="D1352" t="str">
            <v>Existing production</v>
          </cell>
          <cell r="E1352" t="str">
            <v>Current shares</v>
          </cell>
          <cell r="F1352" t="str">
            <v>NIMBY</v>
          </cell>
          <cell r="G1352">
            <v>262254.85822449211</v>
          </cell>
          <cell r="H1352">
            <v>0</v>
          </cell>
          <cell r="I1352">
            <v>0</v>
          </cell>
          <cell r="J1352">
            <v>0</v>
          </cell>
          <cell r="K1352">
            <v>596033.76869202754</v>
          </cell>
          <cell r="M1352">
            <v>262254.85822449211</v>
          </cell>
          <cell r="N1352">
            <v>0.439346565686978</v>
          </cell>
        </row>
        <row r="1353">
          <cell r="A1353">
            <v>2040</v>
          </cell>
          <cell r="B1353" t="str">
            <v>Cobalt</v>
          </cell>
          <cell r="C1353" t="str">
            <v>Canada Net-zero</v>
          </cell>
          <cell r="D1353" t="str">
            <v>Existing production</v>
          </cell>
          <cell r="E1353" t="str">
            <v>Current shares</v>
          </cell>
          <cell r="F1353" t="str">
            <v>Status Quo</v>
          </cell>
          <cell r="G1353">
            <v>262254.85822449211</v>
          </cell>
          <cell r="H1353">
            <v>261</v>
          </cell>
          <cell r="I1353">
            <v>110.71145720551</v>
          </cell>
          <cell r="J1353">
            <v>3.9579964387912554</v>
          </cell>
          <cell r="K1353">
            <v>595772.76869202754</v>
          </cell>
          <cell r="M1353">
            <v>262140.1887708478</v>
          </cell>
          <cell r="N1353">
            <v>0.439346565686978</v>
          </cell>
        </row>
        <row r="1354">
          <cell r="A1354">
            <v>2040</v>
          </cell>
          <cell r="B1354" t="str">
            <v>Cobalt</v>
          </cell>
          <cell r="C1354" t="str">
            <v>Canada Net-zero</v>
          </cell>
          <cell r="D1354" t="str">
            <v>Production potential</v>
          </cell>
          <cell r="E1354" t="str">
            <v>Current shares</v>
          </cell>
          <cell r="F1354" t="str">
            <v>Expansion Extractive</v>
          </cell>
          <cell r="G1354">
            <v>262254.85822449211</v>
          </cell>
          <cell r="H1354">
            <v>31066.54411043779</v>
          </cell>
          <cell r="I1354">
            <v>13177.863482014651</v>
          </cell>
          <cell r="J1354">
            <v>471.11598066920487</v>
          </cell>
          <cell r="K1354">
            <v>564967.22458158981</v>
          </cell>
          <cell r="M1354">
            <v>248605.87876180827</v>
          </cell>
          <cell r="N1354">
            <v>0.439346565686978</v>
          </cell>
        </row>
        <row r="1355">
          <cell r="A1355">
            <v>2040</v>
          </cell>
          <cell r="B1355" t="str">
            <v>Cobalt</v>
          </cell>
          <cell r="C1355" t="str">
            <v>Canada Net-zero</v>
          </cell>
          <cell r="D1355" t="str">
            <v>Production potential</v>
          </cell>
          <cell r="E1355" t="str">
            <v>Current shares</v>
          </cell>
          <cell r="F1355" t="str">
            <v>Expansion Extractive+Circularity</v>
          </cell>
          <cell r="G1355">
            <v>262254.85822449211</v>
          </cell>
          <cell r="H1355">
            <v>31066.54411043779</v>
          </cell>
          <cell r="I1355">
            <v>13177.863482014651</v>
          </cell>
          <cell r="J1355">
            <v>471.11598066920487</v>
          </cell>
          <cell r="K1355">
            <v>564967.22458158981</v>
          </cell>
          <cell r="M1355">
            <v>248605.87876180827</v>
          </cell>
          <cell r="N1355">
            <v>0.439346565686978</v>
          </cell>
        </row>
        <row r="1356">
          <cell r="A1356">
            <v>2040</v>
          </cell>
          <cell r="B1356" t="str">
            <v>Cobalt</v>
          </cell>
          <cell r="C1356" t="str">
            <v>Canada Net-zero</v>
          </cell>
          <cell r="D1356" t="str">
            <v>Production potential</v>
          </cell>
          <cell r="E1356" t="str">
            <v>100% CAN</v>
          </cell>
          <cell r="F1356" t="str">
            <v>Integrated</v>
          </cell>
          <cell r="G1356">
            <v>262254.85822449211</v>
          </cell>
          <cell r="H1356">
            <v>31066.54411043779</v>
          </cell>
          <cell r="I1356">
            <v>13648.97946268387</v>
          </cell>
          <cell r="J1356">
            <v>-1.4551915228366852E-11</v>
          </cell>
          <cell r="K1356">
            <v>564967.22458158981</v>
          </cell>
          <cell r="M1356">
            <v>248605.87876180821</v>
          </cell>
          <cell r="N1356">
            <v>0.439346565686978</v>
          </cell>
        </row>
        <row r="1357">
          <cell r="A1357">
            <v>2040</v>
          </cell>
          <cell r="B1357" t="str">
            <v>Cobalt</v>
          </cell>
          <cell r="C1357" t="str">
            <v>Current Measures</v>
          </cell>
          <cell r="D1357" t="str">
            <v>Existing production</v>
          </cell>
          <cell r="E1357" t="str">
            <v>Current shares</v>
          </cell>
          <cell r="F1357" t="str">
            <v>NIMBY</v>
          </cell>
          <cell r="G1357">
            <v>98467.56791655843</v>
          </cell>
          <cell r="H1357">
            <v>0</v>
          </cell>
          <cell r="I1357">
            <v>0</v>
          </cell>
          <cell r="J1357">
            <v>0</v>
          </cell>
          <cell r="K1357">
            <v>223789.9270830873</v>
          </cell>
          <cell r="M1357">
            <v>98467.56791655843</v>
          </cell>
          <cell r="N1357">
            <v>0.439346565686978</v>
          </cell>
        </row>
        <row r="1358">
          <cell r="A1358">
            <v>2040</v>
          </cell>
          <cell r="B1358" t="str">
            <v>Cobalt</v>
          </cell>
          <cell r="C1358" t="str">
            <v>Current Measures</v>
          </cell>
          <cell r="D1358" t="str">
            <v>Existing production</v>
          </cell>
          <cell r="E1358" t="str">
            <v>Current shares</v>
          </cell>
          <cell r="F1358" t="str">
            <v>Status Quo</v>
          </cell>
          <cell r="G1358">
            <v>98467.56791655843</v>
          </cell>
          <cell r="H1358">
            <v>261</v>
          </cell>
          <cell r="I1358">
            <v>110.71145720551</v>
          </cell>
          <cell r="J1358">
            <v>3.9579964387912554</v>
          </cell>
          <cell r="K1358">
            <v>223528.9270830873</v>
          </cell>
          <cell r="M1358">
            <v>98352.89846291412</v>
          </cell>
          <cell r="N1358">
            <v>0.439346565686978</v>
          </cell>
        </row>
        <row r="1359">
          <cell r="A1359">
            <v>2040</v>
          </cell>
          <cell r="B1359" t="str">
            <v>Cobalt</v>
          </cell>
          <cell r="C1359" t="str">
            <v>Current Measures</v>
          </cell>
          <cell r="D1359" t="str">
            <v>Production potential</v>
          </cell>
          <cell r="E1359" t="str">
            <v>Current shares</v>
          </cell>
          <cell r="F1359" t="str">
            <v>Expansion Extractive</v>
          </cell>
          <cell r="G1359">
            <v>98467.56791655843</v>
          </cell>
          <cell r="H1359">
            <v>31066.54411043779</v>
          </cell>
          <cell r="I1359">
            <v>13177.863482014651</v>
          </cell>
          <cell r="J1359">
            <v>471.11598066920487</v>
          </cell>
          <cell r="K1359">
            <v>192723.3829726495</v>
          </cell>
          <cell r="M1359">
            <v>84818.588453874589</v>
          </cell>
          <cell r="N1359">
            <v>0.439346565686978</v>
          </cell>
        </row>
        <row r="1360">
          <cell r="A1360">
            <v>2040</v>
          </cell>
          <cell r="B1360" t="str">
            <v>Cobalt</v>
          </cell>
          <cell r="C1360" t="str">
            <v>Current Measures</v>
          </cell>
          <cell r="D1360" t="str">
            <v>Production potential</v>
          </cell>
          <cell r="E1360" t="str">
            <v>Current shares</v>
          </cell>
          <cell r="F1360" t="str">
            <v>Expansion Extractive+Circularity</v>
          </cell>
          <cell r="G1360">
            <v>98467.56791655843</v>
          </cell>
          <cell r="H1360">
            <v>31066.54411043779</v>
          </cell>
          <cell r="I1360">
            <v>13177.863482014651</v>
          </cell>
          <cell r="J1360">
            <v>471.11598066920487</v>
          </cell>
          <cell r="K1360">
            <v>192723.3829726495</v>
          </cell>
          <cell r="M1360">
            <v>84818.588453874589</v>
          </cell>
          <cell r="N1360">
            <v>0.439346565686978</v>
          </cell>
        </row>
        <row r="1361">
          <cell r="A1361">
            <v>2040</v>
          </cell>
          <cell r="B1361" t="str">
            <v>Cobalt</v>
          </cell>
          <cell r="C1361" t="str">
            <v>Current Measures</v>
          </cell>
          <cell r="D1361" t="str">
            <v>Production potential</v>
          </cell>
          <cell r="E1361" t="str">
            <v>100% CAN</v>
          </cell>
          <cell r="F1361" t="str">
            <v>Integrated</v>
          </cell>
          <cell r="G1361">
            <v>98467.56791655843</v>
          </cell>
          <cell r="H1361">
            <v>31066.54411043779</v>
          </cell>
          <cell r="I1361">
            <v>13648.97946268387</v>
          </cell>
          <cell r="J1361">
            <v>-1.4551915228366852E-11</v>
          </cell>
          <cell r="K1361">
            <v>192723.3829726495</v>
          </cell>
          <cell r="M1361">
            <v>84818.588453874574</v>
          </cell>
          <cell r="N1361">
            <v>0.439346565686978</v>
          </cell>
        </row>
        <row r="1362">
          <cell r="A1362">
            <v>2040</v>
          </cell>
          <cell r="B1362" t="str">
            <v>Cobalt</v>
          </cell>
          <cell r="C1362" t="str">
            <v>Global Net-zero</v>
          </cell>
          <cell r="D1362" t="str">
            <v>Existing production</v>
          </cell>
          <cell r="E1362" t="str">
            <v>Current shares</v>
          </cell>
          <cell r="F1362" t="str">
            <v>NIMBY</v>
          </cell>
          <cell r="G1362">
            <v>249374.18781108601</v>
          </cell>
          <cell r="H1362">
            <v>0</v>
          </cell>
          <cell r="I1362">
            <v>0</v>
          </cell>
          <cell r="J1362">
            <v>0</v>
          </cell>
          <cell r="K1362">
            <v>566759.51775246824</v>
          </cell>
          <cell r="M1362">
            <v>249374.18781108601</v>
          </cell>
          <cell r="N1362">
            <v>0.439346565686978</v>
          </cell>
        </row>
        <row r="1363">
          <cell r="A1363">
            <v>2040</v>
          </cell>
          <cell r="B1363" t="str">
            <v>Cobalt</v>
          </cell>
          <cell r="C1363" t="str">
            <v>Global Net-zero</v>
          </cell>
          <cell r="D1363" t="str">
            <v>Existing production</v>
          </cell>
          <cell r="E1363" t="str">
            <v>Current shares</v>
          </cell>
          <cell r="F1363" t="str">
            <v>Status Quo</v>
          </cell>
          <cell r="G1363">
            <v>249374.18781108601</v>
          </cell>
          <cell r="H1363">
            <v>261</v>
          </cell>
          <cell r="I1363">
            <v>110.71145720551</v>
          </cell>
          <cell r="J1363">
            <v>3.9579964387912554</v>
          </cell>
          <cell r="K1363">
            <v>566498.51775246824</v>
          </cell>
          <cell r="M1363">
            <v>249259.51835744173</v>
          </cell>
          <cell r="N1363">
            <v>0.439346565686978</v>
          </cell>
        </row>
        <row r="1364">
          <cell r="A1364">
            <v>2040</v>
          </cell>
          <cell r="B1364" t="str">
            <v>Cobalt</v>
          </cell>
          <cell r="C1364" t="str">
            <v>Global Net-zero</v>
          </cell>
          <cell r="D1364" t="str">
            <v>Production potential</v>
          </cell>
          <cell r="E1364" t="str">
            <v>Current shares</v>
          </cell>
          <cell r="F1364" t="str">
            <v>Expansion Extractive</v>
          </cell>
          <cell r="G1364">
            <v>249374.18781108601</v>
          </cell>
          <cell r="H1364">
            <v>31066.54411043779</v>
          </cell>
          <cell r="I1364">
            <v>13177.863482014651</v>
          </cell>
          <cell r="J1364">
            <v>471.11598066920487</v>
          </cell>
          <cell r="K1364">
            <v>535692.9736420305</v>
          </cell>
          <cell r="M1364">
            <v>235725.20834840217</v>
          </cell>
          <cell r="N1364">
            <v>0.439346565686978</v>
          </cell>
        </row>
        <row r="1365">
          <cell r="A1365">
            <v>2040</v>
          </cell>
          <cell r="B1365" t="str">
            <v>Cobalt</v>
          </cell>
          <cell r="C1365" t="str">
            <v>Global Net-zero</v>
          </cell>
          <cell r="D1365" t="str">
            <v>Production potential</v>
          </cell>
          <cell r="E1365" t="str">
            <v>Current shares</v>
          </cell>
          <cell r="F1365" t="str">
            <v>Expansion Extractive+Circularity</v>
          </cell>
          <cell r="G1365">
            <v>249374.18781108601</v>
          </cell>
          <cell r="H1365">
            <v>31066.54411043779</v>
          </cell>
          <cell r="I1365">
            <v>13177.863482014651</v>
          </cell>
          <cell r="J1365">
            <v>471.11598066920487</v>
          </cell>
          <cell r="K1365">
            <v>535692.9736420305</v>
          </cell>
          <cell r="M1365">
            <v>235725.20834840217</v>
          </cell>
          <cell r="N1365">
            <v>0.439346565686978</v>
          </cell>
        </row>
        <row r="1366">
          <cell r="A1366">
            <v>2040</v>
          </cell>
          <cell r="B1366" t="str">
            <v>Cobalt</v>
          </cell>
          <cell r="C1366" t="str">
            <v>Global Net-zero</v>
          </cell>
          <cell r="D1366" t="str">
            <v>Production potential</v>
          </cell>
          <cell r="E1366" t="str">
            <v>100% CAN</v>
          </cell>
          <cell r="F1366" t="str">
            <v>Integrated</v>
          </cell>
          <cell r="G1366">
            <v>249374.18781108601</v>
          </cell>
          <cell r="H1366">
            <v>31066.54411043779</v>
          </cell>
          <cell r="I1366">
            <v>13648.97946268387</v>
          </cell>
          <cell r="J1366">
            <v>-1.4551915228366852E-11</v>
          </cell>
          <cell r="K1366">
            <v>535692.9736420305</v>
          </cell>
          <cell r="M1366">
            <v>235725.20834840211</v>
          </cell>
          <cell r="N1366">
            <v>0.439346565686978</v>
          </cell>
        </row>
        <row r="1367">
          <cell r="A1367">
            <v>2040</v>
          </cell>
          <cell r="B1367" t="str">
            <v>Copper</v>
          </cell>
          <cell r="C1367" t="str">
            <v>Canada Net-zero</v>
          </cell>
          <cell r="D1367" t="str">
            <v>Existing production</v>
          </cell>
          <cell r="E1367" t="str">
            <v>Current shares</v>
          </cell>
          <cell r="F1367" t="str">
            <v>NIMBY</v>
          </cell>
          <cell r="G1367">
            <v>1618702.5825368459</v>
          </cell>
          <cell r="H1367">
            <v>0</v>
          </cell>
          <cell r="I1367">
            <v>0</v>
          </cell>
          <cell r="J1367">
            <v>0</v>
          </cell>
          <cell r="K1367">
            <v>1950244.0753455979</v>
          </cell>
          <cell r="M1367">
            <v>1618702.5825368459</v>
          </cell>
          <cell r="N1367">
            <v>0.83474576271186396</v>
          </cell>
        </row>
        <row r="1368">
          <cell r="A1368">
            <v>2040</v>
          </cell>
          <cell r="B1368" t="str">
            <v>Copper</v>
          </cell>
          <cell r="C1368" t="str">
            <v>Canada Net-zero</v>
          </cell>
          <cell r="D1368" t="str">
            <v>Existing production</v>
          </cell>
          <cell r="E1368" t="str">
            <v>Current shares</v>
          </cell>
          <cell r="F1368" t="str">
            <v>Status Quo</v>
          </cell>
          <cell r="G1368">
            <v>1618702.5825368459</v>
          </cell>
          <cell r="H1368">
            <v>183019</v>
          </cell>
          <cell r="I1368">
            <v>96196.376374307525</v>
          </cell>
          <cell r="J1368">
            <v>56577.958371455112</v>
          </cell>
          <cell r="K1368">
            <v>1767225.0753455979</v>
          </cell>
          <cell r="M1368">
            <v>1465928.2477910828</v>
          </cell>
          <cell r="N1368">
            <v>0.83474576271186396</v>
          </cell>
        </row>
        <row r="1369">
          <cell r="A1369">
            <v>2040</v>
          </cell>
          <cell r="B1369" t="str">
            <v>Copper</v>
          </cell>
          <cell r="C1369" t="str">
            <v>Canada Net-zero</v>
          </cell>
          <cell r="D1369" t="str">
            <v>Production potential</v>
          </cell>
          <cell r="E1369" t="str">
            <v>Current shares</v>
          </cell>
          <cell r="F1369" t="str">
            <v>Expansion Extractive</v>
          </cell>
          <cell r="G1369">
            <v>1618702.5825368459</v>
          </cell>
          <cell r="H1369">
            <v>1130208.8349072579</v>
          </cell>
          <cell r="I1369">
            <v>594047.58229640755</v>
          </cell>
          <cell r="J1369">
            <v>349389.45362193859</v>
          </cell>
          <cell r="K1369">
            <v>820035.2404383393</v>
          </cell>
          <cell r="M1369">
            <v>675265.54661849944</v>
          </cell>
          <cell r="N1369">
            <v>0.83474576271186396</v>
          </cell>
        </row>
        <row r="1370">
          <cell r="A1370">
            <v>2040</v>
          </cell>
          <cell r="B1370" t="str">
            <v>Copper</v>
          </cell>
          <cell r="C1370" t="str">
            <v>Canada Net-zero</v>
          </cell>
          <cell r="D1370" t="str">
            <v>Production potential</v>
          </cell>
          <cell r="E1370" t="str">
            <v>Current shares</v>
          </cell>
          <cell r="F1370" t="str">
            <v>Expansion Extractive+Circularity</v>
          </cell>
          <cell r="G1370">
            <v>1618702.5825368459</v>
          </cell>
          <cell r="H1370">
            <v>1130208.8349072579</v>
          </cell>
          <cell r="I1370">
            <v>594047.58229640755</v>
          </cell>
          <cell r="J1370">
            <v>349389.45362193859</v>
          </cell>
          <cell r="K1370">
            <v>820035.2404383393</v>
          </cell>
          <cell r="M1370">
            <v>675265.54661849944</v>
          </cell>
          <cell r="N1370">
            <v>0.83474576271186396</v>
          </cell>
        </row>
        <row r="1371">
          <cell r="A1371">
            <v>2040</v>
          </cell>
          <cell r="B1371" t="str">
            <v>Copper</v>
          </cell>
          <cell r="C1371" t="str">
            <v>Canada Net-zero</v>
          </cell>
          <cell r="D1371" t="str">
            <v>Production potential</v>
          </cell>
          <cell r="E1371" t="str">
            <v>100% CAN</v>
          </cell>
          <cell r="F1371" t="str">
            <v>Integrated</v>
          </cell>
          <cell r="G1371">
            <v>1618702.5825368459</v>
          </cell>
          <cell r="H1371">
            <v>1130208.8349072579</v>
          </cell>
          <cell r="I1371">
            <v>943437.03591834707</v>
          </cell>
          <cell r="J1371">
            <v>-9.3132257461547852E-10</v>
          </cell>
          <cell r="K1371">
            <v>820035.2404383393</v>
          </cell>
          <cell r="M1371">
            <v>675265.54661849979</v>
          </cell>
          <cell r="N1371">
            <v>0.83474576271186396</v>
          </cell>
        </row>
        <row r="1372">
          <cell r="A1372">
            <v>2040</v>
          </cell>
          <cell r="B1372" t="str">
            <v>Copper</v>
          </cell>
          <cell r="C1372" t="str">
            <v>Current Measures</v>
          </cell>
          <cell r="D1372" t="str">
            <v>Existing production</v>
          </cell>
          <cell r="E1372" t="str">
            <v>Current shares</v>
          </cell>
          <cell r="F1372" t="str">
            <v>NIMBY</v>
          </cell>
          <cell r="G1372">
            <v>1207361.2871372779</v>
          </cell>
          <cell r="H1372">
            <v>0</v>
          </cell>
          <cell r="I1372">
            <v>0</v>
          </cell>
          <cell r="J1372">
            <v>0</v>
          </cell>
          <cell r="K1372">
            <v>1454652.153177443</v>
          </cell>
          <cell r="M1372">
            <v>1207361.2871372779</v>
          </cell>
          <cell r="N1372">
            <v>0.83474576271186396</v>
          </cell>
        </row>
        <row r="1373">
          <cell r="A1373">
            <v>2040</v>
          </cell>
          <cell r="B1373" t="str">
            <v>Copper</v>
          </cell>
          <cell r="C1373" t="str">
            <v>Current Measures</v>
          </cell>
          <cell r="D1373" t="str">
            <v>Existing production</v>
          </cell>
          <cell r="E1373" t="str">
            <v>Current shares</v>
          </cell>
          <cell r="F1373" t="str">
            <v>Status Quo</v>
          </cell>
          <cell r="G1373">
            <v>1207361.2871372779</v>
          </cell>
          <cell r="H1373">
            <v>183019</v>
          </cell>
          <cell r="I1373">
            <v>96196.376374307525</v>
          </cell>
          <cell r="J1373">
            <v>56577.958371455112</v>
          </cell>
          <cell r="K1373">
            <v>1271633.153177443</v>
          </cell>
          <cell r="M1373">
            <v>1054586.952391515</v>
          </cell>
          <cell r="N1373">
            <v>0.83474576271186396</v>
          </cell>
        </row>
        <row r="1374">
          <cell r="A1374">
            <v>2040</v>
          </cell>
          <cell r="B1374" t="str">
            <v>Copper</v>
          </cell>
          <cell r="C1374" t="str">
            <v>Current Measures</v>
          </cell>
          <cell r="D1374" t="str">
            <v>Production potential</v>
          </cell>
          <cell r="E1374" t="str">
            <v>Current shares</v>
          </cell>
          <cell r="F1374" t="str">
            <v>Expansion Extractive</v>
          </cell>
          <cell r="G1374">
            <v>1207361.2871372779</v>
          </cell>
          <cell r="H1374">
            <v>1130208.8349072579</v>
          </cell>
          <cell r="I1374">
            <v>594047.58229640755</v>
          </cell>
          <cell r="J1374">
            <v>349389.45362193859</v>
          </cell>
          <cell r="K1374">
            <v>324443.31827018497</v>
          </cell>
          <cell r="M1374">
            <v>263924.25121893175</v>
          </cell>
          <cell r="N1374">
            <v>0.83474576271186396</v>
          </cell>
        </row>
        <row r="1375">
          <cell r="A1375">
            <v>2040</v>
          </cell>
          <cell r="B1375" t="str">
            <v>Copper</v>
          </cell>
          <cell r="C1375" t="str">
            <v>Current Measures</v>
          </cell>
          <cell r="D1375" t="str">
            <v>Production potential</v>
          </cell>
          <cell r="E1375" t="str">
            <v>Current shares</v>
          </cell>
          <cell r="F1375" t="str">
            <v>Expansion Extractive+Circularity</v>
          </cell>
          <cell r="G1375">
            <v>1207361.2871372779</v>
          </cell>
          <cell r="H1375">
            <v>1130208.8349072579</v>
          </cell>
          <cell r="I1375">
            <v>594047.58229640755</v>
          </cell>
          <cell r="J1375">
            <v>349389.45362193859</v>
          </cell>
          <cell r="K1375">
            <v>324443.31827018497</v>
          </cell>
          <cell r="M1375">
            <v>263924.25121893175</v>
          </cell>
          <cell r="N1375">
            <v>0.83474576271186396</v>
          </cell>
        </row>
        <row r="1376">
          <cell r="A1376">
            <v>2040</v>
          </cell>
          <cell r="B1376" t="str">
            <v>Copper</v>
          </cell>
          <cell r="C1376" t="str">
            <v>Current Measures</v>
          </cell>
          <cell r="D1376" t="str">
            <v>Production potential</v>
          </cell>
          <cell r="E1376" t="str">
            <v>100% CAN</v>
          </cell>
          <cell r="F1376" t="str">
            <v>Integrated</v>
          </cell>
          <cell r="G1376">
            <v>1207361.2871372779</v>
          </cell>
          <cell r="H1376">
            <v>1130208.8349072579</v>
          </cell>
          <cell r="I1376">
            <v>943437.03591834707</v>
          </cell>
          <cell r="J1376">
            <v>-9.3132257461547852E-10</v>
          </cell>
          <cell r="K1376">
            <v>324443.31827018497</v>
          </cell>
          <cell r="M1376">
            <v>263924.25121893175</v>
          </cell>
          <cell r="N1376">
            <v>0.83474576271186396</v>
          </cell>
        </row>
        <row r="1377">
          <cell r="A1377">
            <v>2040</v>
          </cell>
          <cell r="B1377" t="str">
            <v>Copper</v>
          </cell>
          <cell r="C1377" t="str">
            <v>Global Net-zero</v>
          </cell>
          <cell r="D1377" t="str">
            <v>Existing production</v>
          </cell>
          <cell r="E1377" t="str">
            <v>Current shares</v>
          </cell>
          <cell r="F1377" t="str">
            <v>NIMBY</v>
          </cell>
          <cell r="G1377">
            <v>1514395.2601676511</v>
          </cell>
          <cell r="H1377">
            <v>0</v>
          </cell>
          <cell r="I1377">
            <v>0</v>
          </cell>
          <cell r="J1377">
            <v>0</v>
          </cell>
          <cell r="K1377">
            <v>1824572.6026116279</v>
          </cell>
          <cell r="M1377">
            <v>1514395.2601676511</v>
          </cell>
          <cell r="N1377">
            <v>0.83474576271186396</v>
          </cell>
        </row>
        <row r="1378">
          <cell r="A1378">
            <v>2040</v>
          </cell>
          <cell r="B1378" t="str">
            <v>Copper</v>
          </cell>
          <cell r="C1378" t="str">
            <v>Global Net-zero</v>
          </cell>
          <cell r="D1378" t="str">
            <v>Existing production</v>
          </cell>
          <cell r="E1378" t="str">
            <v>Current shares</v>
          </cell>
          <cell r="F1378" t="str">
            <v>Status Quo</v>
          </cell>
          <cell r="G1378">
            <v>1514395.2601676511</v>
          </cell>
          <cell r="H1378">
            <v>183019</v>
          </cell>
          <cell r="I1378">
            <v>96196.376374307525</v>
          </cell>
          <cell r="J1378">
            <v>56577.958371455112</v>
          </cell>
          <cell r="K1378">
            <v>1641553.6026116279</v>
          </cell>
          <cell r="M1378">
            <v>1361620.9254218889</v>
          </cell>
          <cell r="N1378">
            <v>0.83474576271186396</v>
          </cell>
        </row>
        <row r="1379">
          <cell r="A1379">
            <v>2040</v>
          </cell>
          <cell r="B1379" t="str">
            <v>Copper</v>
          </cell>
          <cell r="C1379" t="str">
            <v>Global Net-zero</v>
          </cell>
          <cell r="D1379" t="str">
            <v>Production potential</v>
          </cell>
          <cell r="E1379" t="str">
            <v>Current shares</v>
          </cell>
          <cell r="F1379" t="str">
            <v>Expansion Extractive</v>
          </cell>
          <cell r="G1379">
            <v>1514395.2601676511</v>
          </cell>
          <cell r="H1379">
            <v>1130208.8349072579</v>
          </cell>
          <cell r="I1379">
            <v>594047.58229640755</v>
          </cell>
          <cell r="J1379">
            <v>349389.45362193859</v>
          </cell>
          <cell r="K1379">
            <v>694363.7677043695</v>
          </cell>
          <cell r="M1379">
            <v>570958.22424930497</v>
          </cell>
          <cell r="N1379">
            <v>0.83474576271186396</v>
          </cell>
        </row>
        <row r="1380">
          <cell r="A1380">
            <v>2040</v>
          </cell>
          <cell r="B1380" t="str">
            <v>Copper</v>
          </cell>
          <cell r="C1380" t="str">
            <v>Global Net-zero</v>
          </cell>
          <cell r="D1380" t="str">
            <v>Production potential</v>
          </cell>
          <cell r="E1380" t="str">
            <v>Current shares</v>
          </cell>
          <cell r="F1380" t="str">
            <v>Expansion Extractive+Circularity</v>
          </cell>
          <cell r="G1380">
            <v>1514395.2601676511</v>
          </cell>
          <cell r="H1380">
            <v>1130208.8349072579</v>
          </cell>
          <cell r="I1380">
            <v>594047.58229640755</v>
          </cell>
          <cell r="J1380">
            <v>349389.45362193859</v>
          </cell>
          <cell r="K1380">
            <v>694363.7677043695</v>
          </cell>
          <cell r="M1380">
            <v>570958.22424930497</v>
          </cell>
          <cell r="N1380">
            <v>0.83474576271186396</v>
          </cell>
        </row>
        <row r="1381">
          <cell r="A1381">
            <v>2040</v>
          </cell>
          <cell r="B1381" t="str">
            <v>Copper</v>
          </cell>
          <cell r="C1381" t="str">
            <v>Global Net-zero</v>
          </cell>
          <cell r="D1381" t="str">
            <v>Production potential</v>
          </cell>
          <cell r="E1381" t="str">
            <v>100% CAN</v>
          </cell>
          <cell r="F1381" t="str">
            <v>Integrated</v>
          </cell>
          <cell r="G1381">
            <v>1514395.2601676511</v>
          </cell>
          <cell r="H1381">
            <v>1130208.8349072579</v>
          </cell>
          <cell r="I1381">
            <v>943437.03591834707</v>
          </cell>
          <cell r="J1381">
            <v>-9.3132257461547852E-10</v>
          </cell>
          <cell r="K1381">
            <v>694363.7677043695</v>
          </cell>
          <cell r="M1381">
            <v>570958.22424930497</v>
          </cell>
          <cell r="N1381">
            <v>0.83474576271186396</v>
          </cell>
        </row>
        <row r="1382">
          <cell r="A1382">
            <v>2040</v>
          </cell>
          <cell r="B1382" t="str">
            <v>Neodymium</v>
          </cell>
          <cell r="C1382" t="str">
            <v>Canada Net-zero</v>
          </cell>
          <cell r="D1382" t="str">
            <v>Existing production</v>
          </cell>
          <cell r="E1382" t="str">
            <v>Current shares</v>
          </cell>
          <cell r="F1382" t="str">
            <v>NIMBY</v>
          </cell>
          <cell r="G1382">
            <v>7369.5086049161637</v>
          </cell>
          <cell r="H1382">
            <v>0</v>
          </cell>
          <cell r="I1382">
            <v>0</v>
          </cell>
          <cell r="J1382">
            <v>0</v>
          </cell>
          <cell r="K1382">
            <v>12282.514341526939</v>
          </cell>
          <cell r="M1382">
            <v>7369.5086049161637</v>
          </cell>
          <cell r="N1382">
            <v>1</v>
          </cell>
        </row>
        <row r="1383">
          <cell r="A1383">
            <v>2040</v>
          </cell>
          <cell r="B1383" t="str">
            <v>Neodymium</v>
          </cell>
          <cell r="C1383" t="str">
            <v>Canada Net-zero</v>
          </cell>
          <cell r="D1383" t="str">
            <v>Existing production</v>
          </cell>
          <cell r="E1383" t="str">
            <v>Current shares</v>
          </cell>
          <cell r="F1383" t="str">
            <v>Status Quo</v>
          </cell>
          <cell r="G1383">
            <v>7369.5086049161637</v>
          </cell>
          <cell r="H1383">
            <v>0</v>
          </cell>
          <cell r="I1383">
            <v>0</v>
          </cell>
          <cell r="J1383">
            <v>0</v>
          </cell>
          <cell r="K1383">
            <v>12282.514341526939</v>
          </cell>
          <cell r="M1383">
            <v>7369.5086049161637</v>
          </cell>
          <cell r="N1383">
            <v>1</v>
          </cell>
        </row>
        <row r="1384">
          <cell r="A1384">
            <v>2040</v>
          </cell>
          <cell r="B1384" t="str">
            <v>Neodymium</v>
          </cell>
          <cell r="C1384" t="str">
            <v>Canada Net-zero</v>
          </cell>
          <cell r="D1384" t="str">
            <v>Production potential</v>
          </cell>
          <cell r="E1384" t="str">
            <v>Current shares</v>
          </cell>
          <cell r="F1384" t="str">
            <v>Expansion Extractive</v>
          </cell>
          <cell r="G1384">
            <v>7369.5086049161637</v>
          </cell>
          <cell r="H1384">
            <v>431.78438910419823</v>
          </cell>
          <cell r="I1384">
            <v>258.44191825419398</v>
          </cell>
          <cell r="J1384">
            <v>173.34247085000425</v>
          </cell>
          <cell r="K1384">
            <v>11850.72995242274</v>
          </cell>
          <cell r="M1384">
            <v>6937.7242158119643</v>
          </cell>
          <cell r="N1384">
            <v>1</v>
          </cell>
        </row>
        <row r="1385">
          <cell r="A1385">
            <v>2040</v>
          </cell>
          <cell r="B1385" t="str">
            <v>Neodymium</v>
          </cell>
          <cell r="C1385" t="str">
            <v>Canada Net-zero</v>
          </cell>
          <cell r="D1385" t="str">
            <v>Production potential</v>
          </cell>
          <cell r="E1385" t="str">
            <v>Current shares</v>
          </cell>
          <cell r="F1385" t="str">
            <v>Expansion Extractive+Circularity</v>
          </cell>
          <cell r="G1385">
            <v>7369.5086049161637</v>
          </cell>
          <cell r="H1385">
            <v>431.78438910419823</v>
          </cell>
          <cell r="I1385">
            <v>258.44191825419398</v>
          </cell>
          <cell r="J1385">
            <v>173.34247085000425</v>
          </cell>
          <cell r="K1385">
            <v>11850.72995242274</v>
          </cell>
          <cell r="M1385">
            <v>6937.7242158119643</v>
          </cell>
          <cell r="N1385">
            <v>1</v>
          </cell>
        </row>
        <row r="1386">
          <cell r="A1386">
            <v>2040</v>
          </cell>
          <cell r="B1386" t="str">
            <v>Neodymium</v>
          </cell>
          <cell r="C1386" t="str">
            <v>Canada Net-zero</v>
          </cell>
          <cell r="D1386" t="str">
            <v>Production potential</v>
          </cell>
          <cell r="E1386" t="str">
            <v>100% CAN</v>
          </cell>
          <cell r="F1386" t="str">
            <v>Integrated</v>
          </cell>
          <cell r="G1386">
            <v>7369.5086049161637</v>
          </cell>
          <cell r="H1386">
            <v>431.78438910419823</v>
          </cell>
          <cell r="I1386">
            <v>258.44191825419398</v>
          </cell>
          <cell r="J1386">
            <v>173.34247085000425</v>
          </cell>
          <cell r="K1386">
            <v>11850.72995242274</v>
          </cell>
          <cell r="M1386">
            <v>6937.7242158119643</v>
          </cell>
          <cell r="N1386">
            <v>1</v>
          </cell>
        </row>
        <row r="1387">
          <cell r="A1387">
            <v>2040</v>
          </cell>
          <cell r="B1387" t="str">
            <v>Neodymium</v>
          </cell>
          <cell r="C1387" t="str">
            <v>Current Measures</v>
          </cell>
          <cell r="D1387" t="str">
            <v>Existing production</v>
          </cell>
          <cell r="E1387" t="str">
            <v>Current shares</v>
          </cell>
          <cell r="F1387" t="str">
            <v>NIMBY</v>
          </cell>
          <cell r="G1387">
            <v>2445.526520040336</v>
          </cell>
          <cell r="H1387">
            <v>0</v>
          </cell>
          <cell r="I1387">
            <v>0</v>
          </cell>
          <cell r="J1387">
            <v>0</v>
          </cell>
          <cell r="K1387">
            <v>4075.87753340056</v>
          </cell>
          <cell r="M1387">
            <v>2445.526520040336</v>
          </cell>
          <cell r="N1387">
            <v>1</v>
          </cell>
        </row>
        <row r="1388">
          <cell r="A1388">
            <v>2040</v>
          </cell>
          <cell r="B1388" t="str">
            <v>Neodymium</v>
          </cell>
          <cell r="C1388" t="str">
            <v>Current Measures</v>
          </cell>
          <cell r="D1388" t="str">
            <v>Existing production</v>
          </cell>
          <cell r="E1388" t="str">
            <v>Current shares</v>
          </cell>
          <cell r="F1388" t="str">
            <v>Status Quo</v>
          </cell>
          <cell r="G1388">
            <v>2445.526520040336</v>
          </cell>
          <cell r="H1388">
            <v>0</v>
          </cell>
          <cell r="I1388">
            <v>0</v>
          </cell>
          <cell r="J1388">
            <v>0</v>
          </cell>
          <cell r="K1388">
            <v>4075.87753340056</v>
          </cell>
          <cell r="M1388">
            <v>2445.526520040336</v>
          </cell>
          <cell r="N1388">
            <v>1</v>
          </cell>
        </row>
        <row r="1389">
          <cell r="A1389">
            <v>2040</v>
          </cell>
          <cell r="B1389" t="str">
            <v>Neodymium</v>
          </cell>
          <cell r="C1389" t="str">
            <v>Current Measures</v>
          </cell>
          <cell r="D1389" t="str">
            <v>Production potential</v>
          </cell>
          <cell r="E1389" t="str">
            <v>Current shares</v>
          </cell>
          <cell r="F1389" t="str">
            <v>Expansion Extractive</v>
          </cell>
          <cell r="G1389">
            <v>2445.526520040336</v>
          </cell>
          <cell r="H1389">
            <v>431.78438910419823</v>
          </cell>
          <cell r="I1389">
            <v>258.44191825419398</v>
          </cell>
          <cell r="J1389">
            <v>173.34247085000425</v>
          </cell>
          <cell r="K1389">
            <v>3644.093144296362</v>
          </cell>
          <cell r="M1389">
            <v>2013.7421309361375</v>
          </cell>
          <cell r="N1389">
            <v>1</v>
          </cell>
        </row>
        <row r="1390">
          <cell r="A1390">
            <v>2040</v>
          </cell>
          <cell r="B1390" t="str">
            <v>Neodymium</v>
          </cell>
          <cell r="C1390" t="str">
            <v>Current Measures</v>
          </cell>
          <cell r="D1390" t="str">
            <v>Production potential</v>
          </cell>
          <cell r="E1390" t="str">
            <v>Current shares</v>
          </cell>
          <cell r="F1390" t="str">
            <v>Expansion Extractive+Circularity</v>
          </cell>
          <cell r="G1390">
            <v>2445.526520040336</v>
          </cell>
          <cell r="H1390">
            <v>431.78438910419823</v>
          </cell>
          <cell r="I1390">
            <v>258.44191825419398</v>
          </cell>
          <cell r="J1390">
            <v>173.34247085000425</v>
          </cell>
          <cell r="K1390">
            <v>3644.093144296362</v>
          </cell>
          <cell r="M1390">
            <v>2013.7421309361375</v>
          </cell>
          <cell r="N1390">
            <v>1</v>
          </cell>
        </row>
        <row r="1391">
          <cell r="A1391">
            <v>2040</v>
          </cell>
          <cell r="B1391" t="str">
            <v>Neodymium</v>
          </cell>
          <cell r="C1391" t="str">
            <v>Current Measures</v>
          </cell>
          <cell r="D1391" t="str">
            <v>Production potential</v>
          </cell>
          <cell r="E1391" t="str">
            <v>100% CAN</v>
          </cell>
          <cell r="F1391" t="str">
            <v>Integrated</v>
          </cell>
          <cell r="G1391">
            <v>2445.526520040336</v>
          </cell>
          <cell r="H1391">
            <v>431.78438910419823</v>
          </cell>
          <cell r="I1391">
            <v>258.44191825419398</v>
          </cell>
          <cell r="J1391">
            <v>173.34247085000425</v>
          </cell>
          <cell r="K1391">
            <v>3644.093144296362</v>
          </cell>
          <cell r="M1391">
            <v>2013.7421309361375</v>
          </cell>
          <cell r="N1391">
            <v>1</v>
          </cell>
        </row>
        <row r="1392">
          <cell r="A1392">
            <v>2040</v>
          </cell>
          <cell r="B1392" t="str">
            <v>Neodymium</v>
          </cell>
          <cell r="C1392" t="str">
            <v>Global Net-zero</v>
          </cell>
          <cell r="D1392" t="str">
            <v>Existing production</v>
          </cell>
          <cell r="E1392" t="str">
            <v>Current shares</v>
          </cell>
          <cell r="F1392" t="str">
            <v>NIMBY</v>
          </cell>
          <cell r="G1392">
            <v>7054.8876969569083</v>
          </cell>
          <cell r="H1392">
            <v>0</v>
          </cell>
          <cell r="I1392">
            <v>0</v>
          </cell>
          <cell r="J1392">
            <v>0</v>
          </cell>
          <cell r="K1392">
            <v>11758.14616159485</v>
          </cell>
          <cell r="M1392">
            <v>7054.8876969569083</v>
          </cell>
          <cell r="N1392">
            <v>1</v>
          </cell>
        </row>
        <row r="1393">
          <cell r="A1393">
            <v>2040</v>
          </cell>
          <cell r="B1393" t="str">
            <v>Neodymium</v>
          </cell>
          <cell r="C1393" t="str">
            <v>Global Net-zero</v>
          </cell>
          <cell r="D1393" t="str">
            <v>Existing production</v>
          </cell>
          <cell r="E1393" t="str">
            <v>Current shares</v>
          </cell>
          <cell r="F1393" t="str">
            <v>Status Quo</v>
          </cell>
          <cell r="G1393">
            <v>7054.8876969569083</v>
          </cell>
          <cell r="H1393">
            <v>0</v>
          </cell>
          <cell r="I1393">
            <v>0</v>
          </cell>
          <cell r="J1393">
            <v>0</v>
          </cell>
          <cell r="K1393">
            <v>11758.14616159485</v>
          </cell>
          <cell r="M1393">
            <v>7054.8876969569083</v>
          </cell>
          <cell r="N1393">
            <v>1</v>
          </cell>
        </row>
        <row r="1394">
          <cell r="A1394">
            <v>2040</v>
          </cell>
          <cell r="B1394" t="str">
            <v>Neodymium</v>
          </cell>
          <cell r="C1394" t="str">
            <v>Global Net-zero</v>
          </cell>
          <cell r="D1394" t="str">
            <v>Production potential</v>
          </cell>
          <cell r="E1394" t="str">
            <v>Current shares</v>
          </cell>
          <cell r="F1394" t="str">
            <v>Expansion Extractive</v>
          </cell>
          <cell r="G1394">
            <v>7054.8876969569083</v>
          </cell>
          <cell r="H1394">
            <v>431.78438910419823</v>
          </cell>
          <cell r="I1394">
            <v>258.44191825419398</v>
          </cell>
          <cell r="J1394">
            <v>173.34247085000425</v>
          </cell>
          <cell r="K1394">
            <v>11326.361772490651</v>
          </cell>
          <cell r="M1394">
            <v>6623.1033078527098</v>
          </cell>
          <cell r="N1394">
            <v>1</v>
          </cell>
        </row>
        <row r="1395">
          <cell r="A1395">
            <v>2040</v>
          </cell>
          <cell r="B1395" t="str">
            <v>Neodymium</v>
          </cell>
          <cell r="C1395" t="str">
            <v>Global Net-zero</v>
          </cell>
          <cell r="D1395" t="str">
            <v>Production potential</v>
          </cell>
          <cell r="E1395" t="str">
            <v>Current shares</v>
          </cell>
          <cell r="F1395" t="str">
            <v>Expansion Extractive+Circularity</v>
          </cell>
          <cell r="G1395">
            <v>7054.8876969569083</v>
          </cell>
          <cell r="H1395">
            <v>431.78438910419823</v>
          </cell>
          <cell r="I1395">
            <v>258.44191825419398</v>
          </cell>
          <cell r="J1395">
            <v>173.34247085000425</v>
          </cell>
          <cell r="K1395">
            <v>11326.361772490651</v>
          </cell>
          <cell r="M1395">
            <v>6623.1033078527098</v>
          </cell>
          <cell r="N1395">
            <v>1</v>
          </cell>
        </row>
        <row r="1396">
          <cell r="A1396">
            <v>2040</v>
          </cell>
          <cell r="B1396" t="str">
            <v>Neodymium</v>
          </cell>
          <cell r="C1396" t="str">
            <v>Global Net-zero</v>
          </cell>
          <cell r="D1396" t="str">
            <v>Production potential</v>
          </cell>
          <cell r="E1396" t="str">
            <v>100% CAN</v>
          </cell>
          <cell r="F1396" t="str">
            <v>Integrated</v>
          </cell>
          <cell r="G1396">
            <v>7054.8876969569083</v>
          </cell>
          <cell r="H1396">
            <v>431.78438910419823</v>
          </cell>
          <cell r="I1396">
            <v>258.44191825419398</v>
          </cell>
          <cell r="J1396">
            <v>173.34247085000425</v>
          </cell>
          <cell r="K1396">
            <v>11326.361772490651</v>
          </cell>
          <cell r="M1396">
            <v>6623.1033078527098</v>
          </cell>
          <cell r="N1396">
            <v>1</v>
          </cell>
        </row>
        <row r="1397">
          <cell r="A1397">
            <v>2040</v>
          </cell>
          <cell r="B1397" t="str">
            <v>Nickel</v>
          </cell>
          <cell r="C1397" t="str">
            <v>Canada Net-zero</v>
          </cell>
          <cell r="D1397" t="str">
            <v>Existing production</v>
          </cell>
          <cell r="E1397" t="str">
            <v>Current shares</v>
          </cell>
          <cell r="F1397" t="str">
            <v>NIMBY</v>
          </cell>
          <cell r="G1397">
            <v>203217.24889181441</v>
          </cell>
          <cell r="H1397">
            <v>0</v>
          </cell>
          <cell r="I1397">
            <v>0</v>
          </cell>
          <cell r="J1397">
            <v>0</v>
          </cell>
          <cell r="K1397">
            <v>257237.0239136891</v>
          </cell>
          <cell r="M1397">
            <v>203217.24889181441</v>
          </cell>
          <cell r="N1397">
            <v>0.69917047091553897</v>
          </cell>
        </row>
        <row r="1398">
          <cell r="A1398">
            <v>2040</v>
          </cell>
          <cell r="B1398" t="str">
            <v>Nickel</v>
          </cell>
          <cell r="C1398" t="str">
            <v>Canada Net-zero</v>
          </cell>
          <cell r="D1398" t="str">
            <v>Existing production</v>
          </cell>
          <cell r="E1398" t="str">
            <v>Current shares</v>
          </cell>
          <cell r="F1398" t="str">
            <v>Status Quo</v>
          </cell>
          <cell r="G1398">
            <v>203217.24889181441</v>
          </cell>
          <cell r="H1398">
            <v>37000</v>
          </cell>
          <cell r="I1398">
            <v>20752.561586838339</v>
          </cell>
          <cell r="J1398">
            <v>5116.7458370366039</v>
          </cell>
          <cell r="K1398">
            <v>220237.0239136891</v>
          </cell>
          <cell r="M1398">
            <v>177347.9414679395</v>
          </cell>
          <cell r="N1398">
            <v>0.69917047091553897</v>
          </cell>
        </row>
        <row r="1399">
          <cell r="A1399">
            <v>2040</v>
          </cell>
          <cell r="B1399" t="str">
            <v>Nickel</v>
          </cell>
          <cell r="C1399" t="str">
            <v>Canada Net-zero</v>
          </cell>
          <cell r="D1399" t="str">
            <v>Production potential</v>
          </cell>
          <cell r="E1399" t="str">
            <v>Current shares</v>
          </cell>
          <cell r="F1399" t="str">
            <v>Expansion Extractive</v>
          </cell>
          <cell r="G1399">
            <v>203217.24889181441</v>
          </cell>
          <cell r="H1399">
            <v>282129.47885281307</v>
          </cell>
          <cell r="I1399">
            <v>158240.7941988002</v>
          </cell>
          <cell r="J1399">
            <v>39015.8063898767</v>
          </cell>
          <cell r="K1399">
            <v>0</v>
          </cell>
          <cell r="M1399">
            <v>5960.648303137481</v>
          </cell>
          <cell r="N1399">
            <v>0.69917047091553897</v>
          </cell>
        </row>
        <row r="1400">
          <cell r="A1400">
            <v>2040</v>
          </cell>
          <cell r="B1400" t="str">
            <v>Nickel</v>
          </cell>
          <cell r="C1400" t="str">
            <v>Canada Net-zero</v>
          </cell>
          <cell r="D1400" t="str">
            <v>Production potential</v>
          </cell>
          <cell r="E1400" t="str">
            <v>Current shares</v>
          </cell>
          <cell r="F1400" t="str">
            <v>Expansion Extractive+Circularity</v>
          </cell>
          <cell r="G1400">
            <v>203217.24889181441</v>
          </cell>
          <cell r="H1400">
            <v>282129.47885281307</v>
          </cell>
          <cell r="I1400">
            <v>158240.7941988002</v>
          </cell>
          <cell r="J1400">
            <v>39015.8063898767</v>
          </cell>
          <cell r="K1400">
            <v>0</v>
          </cell>
          <cell r="M1400">
            <v>5960.648303137481</v>
          </cell>
          <cell r="N1400">
            <v>0.69917047091553897</v>
          </cell>
        </row>
        <row r="1401">
          <cell r="A1401">
            <v>2040</v>
          </cell>
          <cell r="B1401" t="str">
            <v>Nickel</v>
          </cell>
          <cell r="C1401" t="str">
            <v>Canada Net-zero</v>
          </cell>
          <cell r="D1401" t="str">
            <v>Production potential</v>
          </cell>
          <cell r="E1401" t="str">
            <v>100% CAN</v>
          </cell>
          <cell r="F1401" t="str">
            <v>Integrated</v>
          </cell>
          <cell r="G1401">
            <v>203217.24889181441</v>
          </cell>
          <cell r="H1401">
            <v>282129.47885281307</v>
          </cell>
          <cell r="I1401">
            <v>222192.4808312853</v>
          </cell>
          <cell r="J1401">
            <v>-24935.8802426084</v>
          </cell>
          <cell r="K1401">
            <v>0</v>
          </cell>
          <cell r="M1401">
            <v>24935.8802426084</v>
          </cell>
          <cell r="N1401">
            <v>0.69917047091553897</v>
          </cell>
        </row>
        <row r="1402">
          <cell r="A1402">
            <v>2040</v>
          </cell>
          <cell r="B1402" t="str">
            <v>Nickel</v>
          </cell>
          <cell r="C1402" t="str">
            <v>Current Measures</v>
          </cell>
          <cell r="D1402" t="str">
            <v>Existing production</v>
          </cell>
          <cell r="E1402" t="str">
            <v>Current shares</v>
          </cell>
          <cell r="F1402" t="str">
            <v>NIMBY</v>
          </cell>
          <cell r="G1402">
            <v>79345.878987390839</v>
          </cell>
          <cell r="H1402">
            <v>0</v>
          </cell>
          <cell r="I1402">
            <v>0</v>
          </cell>
          <cell r="J1402">
            <v>0</v>
          </cell>
          <cell r="K1402">
            <v>100437.8215030264</v>
          </cell>
          <cell r="M1402">
            <v>79345.878987390839</v>
          </cell>
          <cell r="N1402">
            <v>0.69917047091553897</v>
          </cell>
        </row>
        <row r="1403">
          <cell r="A1403">
            <v>2040</v>
          </cell>
          <cell r="B1403" t="str">
            <v>Nickel</v>
          </cell>
          <cell r="C1403" t="str">
            <v>Current Measures</v>
          </cell>
          <cell r="D1403" t="str">
            <v>Existing production</v>
          </cell>
          <cell r="E1403" t="str">
            <v>Current shares</v>
          </cell>
          <cell r="F1403" t="str">
            <v>Status Quo</v>
          </cell>
          <cell r="G1403">
            <v>79345.878987390839</v>
          </cell>
          <cell r="H1403">
            <v>37000</v>
          </cell>
          <cell r="I1403">
            <v>20752.561586838339</v>
          </cell>
          <cell r="J1403">
            <v>5116.7458370366039</v>
          </cell>
          <cell r="K1403">
            <v>63437.821503026367</v>
          </cell>
          <cell r="M1403">
            <v>53476.571563515899</v>
          </cell>
          <cell r="N1403">
            <v>0.69917047091553897</v>
          </cell>
        </row>
        <row r="1404">
          <cell r="A1404">
            <v>2040</v>
          </cell>
          <cell r="B1404" t="str">
            <v>Nickel</v>
          </cell>
          <cell r="C1404" t="str">
            <v>Current Measures</v>
          </cell>
          <cell r="D1404" t="str">
            <v>Production potential</v>
          </cell>
          <cell r="E1404" t="str">
            <v>Current shares</v>
          </cell>
          <cell r="F1404" t="str">
            <v>Expansion Extractive</v>
          </cell>
          <cell r="G1404">
            <v>79345.878987390839</v>
          </cell>
          <cell r="H1404">
            <v>282129.47885281307</v>
          </cell>
          <cell r="I1404">
            <v>158240.7941988002</v>
          </cell>
          <cell r="J1404">
            <v>39015.8063898767</v>
          </cell>
          <cell r="K1404">
            <v>0</v>
          </cell>
          <cell r="M1404">
            <v>0</v>
          </cell>
          <cell r="N1404">
            <v>0.69917047091553897</v>
          </cell>
        </row>
        <row r="1405">
          <cell r="A1405">
            <v>2040</v>
          </cell>
          <cell r="B1405" t="str">
            <v>Nickel</v>
          </cell>
          <cell r="C1405" t="str">
            <v>Current Measures</v>
          </cell>
          <cell r="D1405" t="str">
            <v>Production potential</v>
          </cell>
          <cell r="E1405" t="str">
            <v>Current shares</v>
          </cell>
          <cell r="F1405" t="str">
            <v>Expansion Extractive+Circularity</v>
          </cell>
          <cell r="G1405">
            <v>79345.878987390839</v>
          </cell>
          <cell r="H1405">
            <v>282129.47885281307</v>
          </cell>
          <cell r="I1405">
            <v>158240.7941988002</v>
          </cell>
          <cell r="J1405">
            <v>39015.8063898767</v>
          </cell>
          <cell r="K1405">
            <v>0</v>
          </cell>
          <cell r="M1405">
            <v>0</v>
          </cell>
          <cell r="N1405">
            <v>0.69917047091553897</v>
          </cell>
        </row>
        <row r="1406">
          <cell r="A1406">
            <v>2040</v>
          </cell>
          <cell r="B1406" t="str">
            <v>Nickel</v>
          </cell>
          <cell r="C1406" t="str">
            <v>Current Measures</v>
          </cell>
          <cell r="D1406" t="str">
            <v>Production potential</v>
          </cell>
          <cell r="E1406" t="str">
            <v>100% CAN</v>
          </cell>
          <cell r="F1406" t="str">
            <v>Integrated</v>
          </cell>
          <cell r="G1406">
            <v>79345.878987390839</v>
          </cell>
          <cell r="H1406">
            <v>282129.47885281307</v>
          </cell>
          <cell r="I1406">
            <v>222192.4808312853</v>
          </cell>
          <cell r="J1406">
            <v>-24935.8802426084</v>
          </cell>
          <cell r="K1406">
            <v>0</v>
          </cell>
          <cell r="M1406">
            <v>24935.8802426084</v>
          </cell>
          <cell r="N1406">
            <v>0.69917047091553897</v>
          </cell>
        </row>
        <row r="1407">
          <cell r="A1407">
            <v>2040</v>
          </cell>
          <cell r="B1407" t="str">
            <v>Nickel</v>
          </cell>
          <cell r="C1407" t="str">
            <v>Global Net-zero</v>
          </cell>
          <cell r="D1407" t="str">
            <v>Existing production</v>
          </cell>
          <cell r="E1407" t="str">
            <v>Current shares</v>
          </cell>
          <cell r="F1407" t="str">
            <v>NIMBY</v>
          </cell>
          <cell r="G1407">
            <v>194473.94809899441</v>
          </cell>
          <cell r="H1407">
            <v>0</v>
          </cell>
          <cell r="I1407">
            <v>0</v>
          </cell>
          <cell r="J1407">
            <v>0</v>
          </cell>
          <cell r="K1407">
            <v>246169.5545556891</v>
          </cell>
          <cell r="M1407">
            <v>194473.94809899441</v>
          </cell>
          <cell r="N1407">
            <v>0.69917047091553897</v>
          </cell>
        </row>
        <row r="1408">
          <cell r="A1408">
            <v>2040</v>
          </cell>
          <cell r="B1408" t="str">
            <v>Nickel</v>
          </cell>
          <cell r="C1408" t="str">
            <v>Global Net-zero</v>
          </cell>
          <cell r="D1408" t="str">
            <v>Existing production</v>
          </cell>
          <cell r="E1408" t="str">
            <v>Current shares</v>
          </cell>
          <cell r="F1408" t="str">
            <v>Status Quo</v>
          </cell>
          <cell r="G1408">
            <v>194473.94809899441</v>
          </cell>
          <cell r="H1408">
            <v>37000</v>
          </cell>
          <cell r="I1408">
            <v>20752.561586838339</v>
          </cell>
          <cell r="J1408">
            <v>5116.7458370366039</v>
          </cell>
          <cell r="K1408">
            <v>209169.5545556891</v>
          </cell>
          <cell r="M1408">
            <v>168604.6406751195</v>
          </cell>
          <cell r="N1408">
            <v>0.69917047091553897</v>
          </cell>
        </row>
        <row r="1409">
          <cell r="A1409">
            <v>2040</v>
          </cell>
          <cell r="B1409" t="str">
            <v>Nickel</v>
          </cell>
          <cell r="C1409" t="str">
            <v>Global Net-zero</v>
          </cell>
          <cell r="D1409" t="str">
            <v>Production potential</v>
          </cell>
          <cell r="E1409" t="str">
            <v>Current shares</v>
          </cell>
          <cell r="F1409" t="str">
            <v>Expansion Extractive</v>
          </cell>
          <cell r="G1409">
            <v>194473.94809899441</v>
          </cell>
          <cell r="H1409">
            <v>282129.47885281307</v>
          </cell>
          <cell r="I1409">
            <v>158240.7941988002</v>
          </cell>
          <cell r="J1409">
            <v>39015.8063898767</v>
          </cell>
          <cell r="K1409">
            <v>0</v>
          </cell>
          <cell r="M1409">
            <v>0</v>
          </cell>
          <cell r="N1409">
            <v>0.69917047091553897</v>
          </cell>
        </row>
        <row r="1410">
          <cell r="A1410">
            <v>2040</v>
          </cell>
          <cell r="B1410" t="str">
            <v>Nickel</v>
          </cell>
          <cell r="C1410" t="str">
            <v>Global Net-zero</v>
          </cell>
          <cell r="D1410" t="str">
            <v>Production potential</v>
          </cell>
          <cell r="E1410" t="str">
            <v>Current shares</v>
          </cell>
          <cell r="F1410" t="str">
            <v>Expansion Extractive+Circularity</v>
          </cell>
          <cell r="G1410">
            <v>194473.94809899441</v>
          </cell>
          <cell r="H1410">
            <v>282129.47885281307</v>
          </cell>
          <cell r="I1410">
            <v>158240.7941988002</v>
          </cell>
          <cell r="J1410">
            <v>39015.8063898767</v>
          </cell>
          <cell r="K1410">
            <v>0</v>
          </cell>
          <cell r="M1410">
            <v>0</v>
          </cell>
          <cell r="N1410">
            <v>0.69917047091553897</v>
          </cell>
        </row>
        <row r="1411">
          <cell r="A1411">
            <v>2040</v>
          </cell>
          <cell r="B1411" t="str">
            <v>Nickel</v>
          </cell>
          <cell r="C1411" t="str">
            <v>Global Net-zero</v>
          </cell>
          <cell r="D1411" t="str">
            <v>Production potential</v>
          </cell>
          <cell r="E1411" t="str">
            <v>100% CAN</v>
          </cell>
          <cell r="F1411" t="str">
            <v>Integrated</v>
          </cell>
          <cell r="G1411">
            <v>194473.94809899441</v>
          </cell>
          <cell r="H1411">
            <v>282129.47885281307</v>
          </cell>
          <cell r="I1411">
            <v>222192.4808312853</v>
          </cell>
          <cell r="J1411">
            <v>-24935.8802426084</v>
          </cell>
          <cell r="K1411">
            <v>0</v>
          </cell>
          <cell r="M1411">
            <v>24935.8802426084</v>
          </cell>
          <cell r="N1411">
            <v>0.69917047091553897</v>
          </cell>
        </row>
        <row r="1412">
          <cell r="A1412">
            <v>2040</v>
          </cell>
          <cell r="B1412" t="str">
            <v>Graphite</v>
          </cell>
          <cell r="C1412" t="str">
            <v>Canada Net-zero</v>
          </cell>
          <cell r="D1412" t="str">
            <v>Existing production</v>
          </cell>
          <cell r="E1412" t="str">
            <v>Current shares</v>
          </cell>
          <cell r="F1412" t="str">
            <v>NIMBY</v>
          </cell>
          <cell r="G1412">
            <v>3008.0333095996998</v>
          </cell>
          <cell r="H1412">
            <v>0</v>
          </cell>
          <cell r="I1412">
            <v>0</v>
          </cell>
          <cell r="J1412">
            <v>0</v>
          </cell>
          <cell r="K1412">
            <v>3008.0333095996998</v>
          </cell>
          <cell r="M1412">
            <v>3008.0333095996998</v>
          </cell>
          <cell r="N1412">
            <v>0.59854391398996798</v>
          </cell>
        </row>
        <row r="1413">
          <cell r="A1413">
            <v>2040</v>
          </cell>
          <cell r="B1413" t="str">
            <v>Graphite</v>
          </cell>
          <cell r="C1413" t="str">
            <v>Canada Net-zero</v>
          </cell>
          <cell r="D1413" t="str">
            <v>Existing production</v>
          </cell>
          <cell r="E1413" t="str">
            <v>Current shares</v>
          </cell>
          <cell r="F1413" t="str">
            <v>Status Quo</v>
          </cell>
          <cell r="G1413">
            <v>3008.0333095996998</v>
          </cell>
          <cell r="H1413">
            <v>0</v>
          </cell>
          <cell r="I1413">
            <v>0</v>
          </cell>
          <cell r="J1413">
            <v>0</v>
          </cell>
          <cell r="K1413">
            <v>3008.0333095996998</v>
          </cell>
          <cell r="M1413">
            <v>3008.0333095996998</v>
          </cell>
          <cell r="N1413">
            <v>0.59854391398996798</v>
          </cell>
        </row>
        <row r="1414">
          <cell r="A1414">
            <v>2040</v>
          </cell>
          <cell r="B1414" t="str">
            <v>Graphite</v>
          </cell>
          <cell r="C1414" t="str">
            <v>Canada Net-zero</v>
          </cell>
          <cell r="D1414" t="str">
            <v>Production potential</v>
          </cell>
          <cell r="E1414" t="str">
            <v>Current shares</v>
          </cell>
          <cell r="F1414" t="str">
            <v>Expansion Extractive</v>
          </cell>
          <cell r="G1414">
            <v>3008.0333095996998</v>
          </cell>
          <cell r="H1414">
            <v>400364.39737548499</v>
          </cell>
          <cell r="I1414">
            <v>132120.25113391009</v>
          </cell>
          <cell r="J1414">
            <v>107515.42229344757</v>
          </cell>
          <cell r="K1414">
            <v>0</v>
          </cell>
          <cell r="M1414">
            <v>0</v>
          </cell>
          <cell r="N1414">
            <v>0.59854391398996798</v>
          </cell>
        </row>
        <row r="1415">
          <cell r="A1415">
            <v>2040</v>
          </cell>
          <cell r="B1415" t="str">
            <v>Graphite</v>
          </cell>
          <cell r="C1415" t="str">
            <v>Canada Net-zero</v>
          </cell>
          <cell r="D1415" t="str">
            <v>Production potential</v>
          </cell>
          <cell r="E1415" t="str">
            <v>Current shares</v>
          </cell>
          <cell r="F1415" t="str">
            <v>Expansion Extractive+Circularity</v>
          </cell>
          <cell r="G1415">
            <v>3008.0333095996998</v>
          </cell>
          <cell r="H1415">
            <v>400364.39737548499</v>
          </cell>
          <cell r="I1415">
            <v>132120.25113391009</v>
          </cell>
          <cell r="J1415">
            <v>107515.42229344757</v>
          </cell>
          <cell r="K1415">
            <v>0</v>
          </cell>
          <cell r="M1415">
            <v>0</v>
          </cell>
          <cell r="N1415">
            <v>0.59854391398996798</v>
          </cell>
        </row>
        <row r="1416">
          <cell r="A1416">
            <v>2040</v>
          </cell>
          <cell r="B1416" t="str">
            <v>Graphite</v>
          </cell>
          <cell r="C1416" t="str">
            <v>Canada Net-zero</v>
          </cell>
          <cell r="D1416" t="str">
            <v>Production potential</v>
          </cell>
          <cell r="E1416" t="str">
            <v>100% CAN</v>
          </cell>
          <cell r="F1416" t="str">
            <v>Integrated</v>
          </cell>
          <cell r="G1416">
            <v>3008.0333095996998</v>
          </cell>
          <cell r="H1416">
            <v>400364.39737548499</v>
          </cell>
          <cell r="I1416">
            <v>132120.25113391009</v>
          </cell>
          <cell r="J1416">
            <v>107515.42229344757</v>
          </cell>
          <cell r="K1416">
            <v>0</v>
          </cell>
          <cell r="M1416">
            <v>0</v>
          </cell>
          <cell r="N1416">
            <v>0.59854391398996798</v>
          </cell>
        </row>
        <row r="1417">
          <cell r="A1417">
            <v>2040</v>
          </cell>
          <cell r="B1417" t="str">
            <v>Graphite</v>
          </cell>
          <cell r="C1417" t="str">
            <v>Current Measures</v>
          </cell>
          <cell r="D1417" t="str">
            <v>Existing production</v>
          </cell>
          <cell r="E1417" t="str">
            <v>Current shares</v>
          </cell>
          <cell r="F1417" t="str">
            <v>NIMBY</v>
          </cell>
          <cell r="G1417">
            <v>1109.6184755436821</v>
          </cell>
          <cell r="H1417">
            <v>0</v>
          </cell>
          <cell r="I1417">
            <v>0</v>
          </cell>
          <cell r="J1417">
            <v>0</v>
          </cell>
          <cell r="K1417">
            <v>1109.6184755436821</v>
          </cell>
          <cell r="M1417">
            <v>1109.6184755436821</v>
          </cell>
          <cell r="N1417">
            <v>0.59854391398996798</v>
          </cell>
        </row>
        <row r="1418">
          <cell r="A1418">
            <v>2040</v>
          </cell>
          <cell r="B1418" t="str">
            <v>Graphite</v>
          </cell>
          <cell r="C1418" t="str">
            <v>Current Measures</v>
          </cell>
          <cell r="D1418" t="str">
            <v>Existing production</v>
          </cell>
          <cell r="E1418" t="str">
            <v>Current shares</v>
          </cell>
          <cell r="F1418" t="str">
            <v>Status Quo</v>
          </cell>
          <cell r="G1418">
            <v>1109.6184755436821</v>
          </cell>
          <cell r="H1418">
            <v>0</v>
          </cell>
          <cell r="I1418">
            <v>0</v>
          </cell>
          <cell r="J1418">
            <v>0</v>
          </cell>
          <cell r="K1418">
            <v>1109.6184755436821</v>
          </cell>
          <cell r="M1418">
            <v>1109.6184755436821</v>
          </cell>
          <cell r="N1418">
            <v>0.59854391398996798</v>
          </cell>
        </row>
        <row r="1419">
          <cell r="A1419">
            <v>2040</v>
          </cell>
          <cell r="B1419" t="str">
            <v>Graphite</v>
          </cell>
          <cell r="C1419" t="str">
            <v>Current Measures</v>
          </cell>
          <cell r="D1419" t="str">
            <v>Production potential</v>
          </cell>
          <cell r="E1419" t="str">
            <v>Current shares</v>
          </cell>
          <cell r="F1419" t="str">
            <v>Expansion Extractive</v>
          </cell>
          <cell r="G1419">
            <v>1109.6184755436821</v>
          </cell>
          <cell r="H1419">
            <v>400364.39737548499</v>
          </cell>
          <cell r="I1419">
            <v>132120.25113391009</v>
          </cell>
          <cell r="J1419">
            <v>107515.42229344757</v>
          </cell>
          <cell r="K1419">
            <v>0</v>
          </cell>
          <cell r="M1419">
            <v>0</v>
          </cell>
          <cell r="N1419">
            <v>0.59854391398996798</v>
          </cell>
        </row>
        <row r="1420">
          <cell r="A1420">
            <v>2040</v>
          </cell>
          <cell r="B1420" t="str">
            <v>Graphite</v>
          </cell>
          <cell r="C1420" t="str">
            <v>Current Measures</v>
          </cell>
          <cell r="D1420" t="str">
            <v>Production potential</v>
          </cell>
          <cell r="E1420" t="str">
            <v>Current shares</v>
          </cell>
          <cell r="F1420" t="str">
            <v>Expansion Extractive+Circularity</v>
          </cell>
          <cell r="G1420">
            <v>1109.6184755436821</v>
          </cell>
          <cell r="H1420">
            <v>400364.39737548499</v>
          </cell>
          <cell r="I1420">
            <v>132120.25113391009</v>
          </cell>
          <cell r="J1420">
            <v>107515.42229344757</v>
          </cell>
          <cell r="K1420">
            <v>0</v>
          </cell>
          <cell r="M1420">
            <v>0</v>
          </cell>
          <cell r="N1420">
            <v>0.59854391398996798</v>
          </cell>
        </row>
        <row r="1421">
          <cell r="A1421">
            <v>2040</v>
          </cell>
          <cell r="B1421" t="str">
            <v>Graphite</v>
          </cell>
          <cell r="C1421" t="str">
            <v>Current Measures</v>
          </cell>
          <cell r="D1421" t="str">
            <v>Production potential</v>
          </cell>
          <cell r="E1421" t="str">
            <v>100% CAN</v>
          </cell>
          <cell r="F1421" t="str">
            <v>Integrated</v>
          </cell>
          <cell r="G1421">
            <v>1109.6184755436821</v>
          </cell>
          <cell r="H1421">
            <v>400364.39737548499</v>
          </cell>
          <cell r="I1421">
            <v>132120.25113391009</v>
          </cell>
          <cell r="J1421">
            <v>107515.42229344757</v>
          </cell>
          <cell r="K1421">
            <v>0</v>
          </cell>
          <cell r="M1421">
            <v>0</v>
          </cell>
          <cell r="N1421">
            <v>0.59854391398996798</v>
          </cell>
        </row>
        <row r="1422">
          <cell r="A1422">
            <v>2040</v>
          </cell>
          <cell r="B1422" t="str">
            <v>Graphite</v>
          </cell>
          <cell r="C1422" t="str">
            <v>Global Net-zero</v>
          </cell>
          <cell r="D1422" t="str">
            <v>Existing production</v>
          </cell>
          <cell r="E1422" t="str">
            <v>Current shares</v>
          </cell>
          <cell r="F1422" t="str">
            <v>NIMBY</v>
          </cell>
          <cell r="G1422">
            <v>2865.2791135592711</v>
          </cell>
          <cell r="H1422">
            <v>0</v>
          </cell>
          <cell r="I1422">
            <v>0</v>
          </cell>
          <cell r="J1422">
            <v>0</v>
          </cell>
          <cell r="K1422">
            <v>2865.2791135592711</v>
          </cell>
          <cell r="M1422">
            <v>2865.2791135592711</v>
          </cell>
          <cell r="N1422">
            <v>0.59854391398996798</v>
          </cell>
        </row>
        <row r="1423">
          <cell r="A1423">
            <v>2040</v>
          </cell>
          <cell r="B1423" t="str">
            <v>Graphite</v>
          </cell>
          <cell r="C1423" t="str">
            <v>Global Net-zero</v>
          </cell>
          <cell r="D1423" t="str">
            <v>Existing production</v>
          </cell>
          <cell r="E1423" t="str">
            <v>Current shares</v>
          </cell>
          <cell r="F1423" t="str">
            <v>Status Quo</v>
          </cell>
          <cell r="G1423">
            <v>2865.2791135592711</v>
          </cell>
          <cell r="H1423">
            <v>0</v>
          </cell>
          <cell r="I1423">
            <v>0</v>
          </cell>
          <cell r="J1423">
            <v>0</v>
          </cell>
          <cell r="K1423">
            <v>2865.2791135592711</v>
          </cell>
          <cell r="M1423">
            <v>2865.2791135592711</v>
          </cell>
          <cell r="N1423">
            <v>0.59854391398996798</v>
          </cell>
        </row>
        <row r="1424">
          <cell r="A1424">
            <v>2040</v>
          </cell>
          <cell r="B1424" t="str">
            <v>Graphite</v>
          </cell>
          <cell r="C1424" t="str">
            <v>Global Net-zero</v>
          </cell>
          <cell r="D1424" t="str">
            <v>Production potential</v>
          </cell>
          <cell r="E1424" t="str">
            <v>Current shares</v>
          </cell>
          <cell r="F1424" t="str">
            <v>Expansion Extractive</v>
          </cell>
          <cell r="G1424">
            <v>2865.2791135592711</v>
          </cell>
          <cell r="H1424">
            <v>400364.39737548499</v>
          </cell>
          <cell r="I1424">
            <v>132120.25113391009</v>
          </cell>
          <cell r="J1424">
            <v>107515.42229344757</v>
          </cell>
          <cell r="K1424">
            <v>0</v>
          </cell>
          <cell r="M1424">
            <v>0</v>
          </cell>
          <cell r="N1424">
            <v>0.59854391398996798</v>
          </cell>
        </row>
        <row r="1425">
          <cell r="A1425">
            <v>2040</v>
          </cell>
          <cell r="B1425" t="str">
            <v>Graphite</v>
          </cell>
          <cell r="C1425" t="str">
            <v>Global Net-zero</v>
          </cell>
          <cell r="D1425" t="str">
            <v>Production potential</v>
          </cell>
          <cell r="E1425" t="str">
            <v>Current shares</v>
          </cell>
          <cell r="F1425" t="str">
            <v>Expansion Extractive+Circularity</v>
          </cell>
          <cell r="G1425">
            <v>2865.2791135592711</v>
          </cell>
          <cell r="H1425">
            <v>400364.39737548499</v>
          </cell>
          <cell r="I1425">
            <v>132120.25113391009</v>
          </cell>
          <cell r="J1425">
            <v>107515.42229344757</v>
          </cell>
          <cell r="K1425">
            <v>0</v>
          </cell>
          <cell r="M1425">
            <v>0</v>
          </cell>
          <cell r="N1425">
            <v>0.59854391398996798</v>
          </cell>
        </row>
        <row r="1426">
          <cell r="A1426">
            <v>2040</v>
          </cell>
          <cell r="B1426" t="str">
            <v>Graphite</v>
          </cell>
          <cell r="C1426" t="str">
            <v>Global Net-zero</v>
          </cell>
          <cell r="D1426" t="str">
            <v>Production potential</v>
          </cell>
          <cell r="E1426" t="str">
            <v>100% CAN</v>
          </cell>
          <cell r="F1426" t="str">
            <v>Integrated</v>
          </cell>
          <cell r="G1426">
            <v>2865.2791135592711</v>
          </cell>
          <cell r="H1426">
            <v>400364.39737548499</v>
          </cell>
          <cell r="I1426">
            <v>132120.25113391009</v>
          </cell>
          <cell r="J1426">
            <v>107515.42229344757</v>
          </cell>
          <cell r="K1426">
            <v>0</v>
          </cell>
          <cell r="M1426">
            <v>0</v>
          </cell>
          <cell r="N1426">
            <v>0.59854391398996798</v>
          </cell>
        </row>
        <row r="1427">
          <cell r="A1427">
            <v>2040</v>
          </cell>
          <cell r="B1427" t="str">
            <v>Lithium</v>
          </cell>
          <cell r="C1427" t="str">
            <v>Canada Net-zero</v>
          </cell>
          <cell r="D1427" t="str">
            <v>Existing production</v>
          </cell>
          <cell r="E1427" t="str">
            <v>Current shares</v>
          </cell>
          <cell r="F1427" t="str">
            <v>NIMBY</v>
          </cell>
          <cell r="G1427">
            <v>86988.213251106645</v>
          </cell>
          <cell r="H1427">
            <v>0</v>
          </cell>
          <cell r="I1427">
            <v>0</v>
          </cell>
          <cell r="J1427">
            <v>0</v>
          </cell>
          <cell r="K1427">
            <v>124268.87607300949</v>
          </cell>
          <cell r="M1427">
            <v>86988.213251106645</v>
          </cell>
          <cell r="N1427">
            <v>0.787554996857322</v>
          </cell>
        </row>
        <row r="1428">
          <cell r="A1428">
            <v>2040</v>
          </cell>
          <cell r="B1428" t="str">
            <v>Lithium</v>
          </cell>
          <cell r="C1428" t="str">
            <v>Canada Net-zero</v>
          </cell>
          <cell r="D1428" t="str">
            <v>Existing production</v>
          </cell>
          <cell r="E1428" t="str">
            <v>Current shares</v>
          </cell>
          <cell r="F1428" t="str">
            <v>Status Quo</v>
          </cell>
          <cell r="G1428">
            <v>86988.213251106645</v>
          </cell>
          <cell r="H1428">
            <v>42827</v>
          </cell>
          <cell r="I1428">
            <v>29943.37375789979</v>
          </cell>
          <cell r="J1428">
            <v>3785.2440925087431</v>
          </cell>
          <cell r="K1428">
            <v>81441.876073009495</v>
          </cell>
          <cell r="M1428">
            <v>53259.595400698119</v>
          </cell>
          <cell r="N1428">
            <v>0.787554996857322</v>
          </cell>
        </row>
        <row r="1429">
          <cell r="A1429">
            <v>2040</v>
          </cell>
          <cell r="B1429" t="str">
            <v>Lithium</v>
          </cell>
          <cell r="C1429" t="str">
            <v>Canada Net-zero</v>
          </cell>
          <cell r="D1429" t="str">
            <v>Production potential</v>
          </cell>
          <cell r="E1429" t="str">
            <v>Current shares</v>
          </cell>
          <cell r="F1429" t="str">
            <v>Expansion Extractive</v>
          </cell>
          <cell r="G1429">
            <v>86988.213251106645</v>
          </cell>
          <cell r="H1429">
            <v>615511.71046222479</v>
          </cell>
          <cell r="I1429">
            <v>430347.61245790258</v>
          </cell>
          <cell r="J1429">
            <v>54401.710740819748</v>
          </cell>
          <cell r="K1429">
            <v>0</v>
          </cell>
          <cell r="M1429">
            <v>0</v>
          </cell>
          <cell r="N1429">
            <v>0.787554996857322</v>
          </cell>
        </row>
        <row r="1430">
          <cell r="A1430">
            <v>2040</v>
          </cell>
          <cell r="B1430" t="str">
            <v>Lithium</v>
          </cell>
          <cell r="C1430" t="str">
            <v>Canada Net-zero</v>
          </cell>
          <cell r="D1430" t="str">
            <v>Production potential</v>
          </cell>
          <cell r="E1430" t="str">
            <v>Current shares</v>
          </cell>
          <cell r="F1430" t="str">
            <v>Expansion Extractive+Circularity</v>
          </cell>
          <cell r="G1430">
            <v>86988.213251106645</v>
          </cell>
          <cell r="H1430">
            <v>615511.71046222479</v>
          </cell>
          <cell r="I1430">
            <v>430347.61245790258</v>
          </cell>
          <cell r="J1430">
            <v>54401.710740819748</v>
          </cell>
          <cell r="K1430">
            <v>0</v>
          </cell>
          <cell r="M1430">
            <v>0</v>
          </cell>
          <cell r="N1430">
            <v>0.787554996857322</v>
          </cell>
        </row>
        <row r="1431">
          <cell r="A1431">
            <v>2040</v>
          </cell>
          <cell r="B1431" t="str">
            <v>Lithium</v>
          </cell>
          <cell r="C1431" t="str">
            <v>Canada Net-zero</v>
          </cell>
          <cell r="D1431" t="str">
            <v>Production potential</v>
          </cell>
          <cell r="E1431" t="str">
            <v>100% CAN</v>
          </cell>
          <cell r="F1431" t="str">
            <v>Integrated</v>
          </cell>
          <cell r="G1431">
            <v>86988.213251106645</v>
          </cell>
          <cell r="H1431">
            <v>615511.71046222479</v>
          </cell>
          <cell r="I1431">
            <v>430347.61245790258</v>
          </cell>
          <cell r="J1431">
            <v>54401.710740819748</v>
          </cell>
          <cell r="K1431">
            <v>0</v>
          </cell>
          <cell r="M1431">
            <v>0</v>
          </cell>
          <cell r="N1431">
            <v>0.787554996857322</v>
          </cell>
        </row>
        <row r="1432">
          <cell r="A1432">
            <v>2040</v>
          </cell>
          <cell r="B1432" t="str">
            <v>Lithium</v>
          </cell>
          <cell r="C1432" t="str">
            <v>Current Measures</v>
          </cell>
          <cell r="D1432" t="str">
            <v>Existing production</v>
          </cell>
          <cell r="E1432" t="str">
            <v>Current shares</v>
          </cell>
          <cell r="F1432" t="str">
            <v>NIMBY</v>
          </cell>
          <cell r="G1432">
            <v>32088.650172163962</v>
          </cell>
          <cell r="H1432">
            <v>0</v>
          </cell>
          <cell r="I1432">
            <v>0</v>
          </cell>
          <cell r="J1432">
            <v>0</v>
          </cell>
          <cell r="K1432">
            <v>45840.928817377091</v>
          </cell>
          <cell r="M1432">
            <v>32088.650172163962</v>
          </cell>
          <cell r="N1432">
            <v>0.787554996857322</v>
          </cell>
        </row>
        <row r="1433">
          <cell r="A1433">
            <v>2040</v>
          </cell>
          <cell r="B1433" t="str">
            <v>Lithium</v>
          </cell>
          <cell r="C1433" t="str">
            <v>Current Measures</v>
          </cell>
          <cell r="D1433" t="str">
            <v>Existing production</v>
          </cell>
          <cell r="E1433" t="str">
            <v>Current shares</v>
          </cell>
          <cell r="F1433" t="str">
            <v>Status Quo</v>
          </cell>
          <cell r="G1433">
            <v>32088.650172163962</v>
          </cell>
          <cell r="H1433">
            <v>42827</v>
          </cell>
          <cell r="I1433">
            <v>29943.37375789979</v>
          </cell>
          <cell r="J1433">
            <v>3785.2440925087431</v>
          </cell>
          <cell r="K1433">
            <v>3013.928817377091</v>
          </cell>
          <cell r="M1433">
            <v>0</v>
          </cell>
          <cell r="N1433">
            <v>0.787554996857322</v>
          </cell>
        </row>
        <row r="1434">
          <cell r="A1434">
            <v>2040</v>
          </cell>
          <cell r="B1434" t="str">
            <v>Lithium</v>
          </cell>
          <cell r="C1434" t="str">
            <v>Current Measures</v>
          </cell>
          <cell r="D1434" t="str">
            <v>Production potential</v>
          </cell>
          <cell r="E1434" t="str">
            <v>Current shares</v>
          </cell>
          <cell r="F1434" t="str">
            <v>Expansion Extractive</v>
          </cell>
          <cell r="G1434">
            <v>32088.650172163962</v>
          </cell>
          <cell r="H1434">
            <v>615511.71046222479</v>
          </cell>
          <cell r="I1434">
            <v>430347.61245790258</v>
          </cell>
          <cell r="J1434">
            <v>54401.710740819748</v>
          </cell>
          <cell r="K1434">
            <v>0</v>
          </cell>
          <cell r="M1434">
            <v>0</v>
          </cell>
          <cell r="N1434">
            <v>0.787554996857322</v>
          </cell>
        </row>
        <row r="1435">
          <cell r="A1435">
            <v>2040</v>
          </cell>
          <cell r="B1435" t="str">
            <v>Lithium</v>
          </cell>
          <cell r="C1435" t="str">
            <v>Current Measures</v>
          </cell>
          <cell r="D1435" t="str">
            <v>Production potential</v>
          </cell>
          <cell r="E1435" t="str">
            <v>Current shares</v>
          </cell>
          <cell r="F1435" t="str">
            <v>Expansion Extractive+Circularity</v>
          </cell>
          <cell r="G1435">
            <v>32088.650172163962</v>
          </cell>
          <cell r="H1435">
            <v>615511.71046222479</v>
          </cell>
          <cell r="I1435">
            <v>430347.61245790258</v>
          </cell>
          <cell r="J1435">
            <v>54401.710740819748</v>
          </cell>
          <cell r="K1435">
            <v>0</v>
          </cell>
          <cell r="M1435">
            <v>0</v>
          </cell>
          <cell r="N1435">
            <v>0.787554996857322</v>
          </cell>
        </row>
        <row r="1436">
          <cell r="A1436">
            <v>2040</v>
          </cell>
          <cell r="B1436" t="str">
            <v>Lithium</v>
          </cell>
          <cell r="C1436" t="str">
            <v>Current Measures</v>
          </cell>
          <cell r="D1436" t="str">
            <v>Production potential</v>
          </cell>
          <cell r="E1436" t="str">
            <v>100% CAN</v>
          </cell>
          <cell r="F1436" t="str">
            <v>Integrated</v>
          </cell>
          <cell r="G1436">
            <v>32088.650172163962</v>
          </cell>
          <cell r="H1436">
            <v>615511.71046222479</v>
          </cell>
          <cell r="I1436">
            <v>430347.61245790258</v>
          </cell>
          <cell r="J1436">
            <v>54401.710740819748</v>
          </cell>
          <cell r="K1436">
            <v>0</v>
          </cell>
          <cell r="M1436">
            <v>0</v>
          </cell>
          <cell r="N1436">
            <v>0.787554996857322</v>
          </cell>
        </row>
        <row r="1437">
          <cell r="A1437">
            <v>2040</v>
          </cell>
          <cell r="B1437" t="str">
            <v>Lithium</v>
          </cell>
          <cell r="C1437" t="str">
            <v>Global Net-zero</v>
          </cell>
          <cell r="D1437" t="str">
            <v>Existing production</v>
          </cell>
          <cell r="E1437" t="str">
            <v>Current shares</v>
          </cell>
          <cell r="F1437" t="str">
            <v>NIMBY</v>
          </cell>
          <cell r="G1437">
            <v>82859.956955531103</v>
          </cell>
          <cell r="H1437">
            <v>0</v>
          </cell>
          <cell r="I1437">
            <v>0</v>
          </cell>
          <cell r="J1437">
            <v>0</v>
          </cell>
          <cell r="K1437">
            <v>118371.3670793302</v>
          </cell>
          <cell r="M1437">
            <v>82859.956955531103</v>
          </cell>
          <cell r="N1437">
            <v>0.787554996857322</v>
          </cell>
        </row>
        <row r="1438">
          <cell r="A1438">
            <v>2040</v>
          </cell>
          <cell r="B1438" t="str">
            <v>Lithium</v>
          </cell>
          <cell r="C1438" t="str">
            <v>Global Net-zero</v>
          </cell>
          <cell r="D1438" t="str">
            <v>Existing production</v>
          </cell>
          <cell r="E1438" t="str">
            <v>Current shares</v>
          </cell>
          <cell r="F1438" t="str">
            <v>Status Quo</v>
          </cell>
          <cell r="G1438">
            <v>82859.956955531103</v>
          </cell>
          <cell r="H1438">
            <v>42827</v>
          </cell>
          <cell r="I1438">
            <v>29943.37375789979</v>
          </cell>
          <cell r="J1438">
            <v>3785.2440925087431</v>
          </cell>
          <cell r="K1438">
            <v>75544.367079330157</v>
          </cell>
          <cell r="M1438">
            <v>49131.339105122577</v>
          </cell>
          <cell r="N1438">
            <v>0.787554996857322</v>
          </cell>
        </row>
        <row r="1439">
          <cell r="A1439">
            <v>2040</v>
          </cell>
          <cell r="B1439" t="str">
            <v>Lithium</v>
          </cell>
          <cell r="C1439" t="str">
            <v>Global Net-zero</v>
          </cell>
          <cell r="D1439" t="str">
            <v>Production potential</v>
          </cell>
          <cell r="E1439" t="str">
            <v>Current shares</v>
          </cell>
          <cell r="F1439" t="str">
            <v>Expansion Extractive</v>
          </cell>
          <cell r="G1439">
            <v>82859.956955531103</v>
          </cell>
          <cell r="H1439">
            <v>615511.71046222479</v>
          </cell>
          <cell r="I1439">
            <v>430347.61245790258</v>
          </cell>
          <cell r="J1439">
            <v>54401.710740819748</v>
          </cell>
          <cell r="K1439">
            <v>0</v>
          </cell>
          <cell r="M1439">
            <v>0</v>
          </cell>
          <cell r="N1439">
            <v>0.787554996857322</v>
          </cell>
        </row>
        <row r="1440">
          <cell r="A1440">
            <v>2040</v>
          </cell>
          <cell r="B1440" t="str">
            <v>Lithium</v>
          </cell>
          <cell r="C1440" t="str">
            <v>Global Net-zero</v>
          </cell>
          <cell r="D1440" t="str">
            <v>Production potential</v>
          </cell>
          <cell r="E1440" t="str">
            <v>Current shares</v>
          </cell>
          <cell r="F1440" t="str">
            <v>Expansion Extractive+Circularity</v>
          </cell>
          <cell r="G1440">
            <v>82859.956955531103</v>
          </cell>
          <cell r="H1440">
            <v>615511.71046222479</v>
          </cell>
          <cell r="I1440">
            <v>430347.61245790258</v>
          </cell>
          <cell r="J1440">
            <v>54401.710740819748</v>
          </cell>
          <cell r="K1440">
            <v>0</v>
          </cell>
          <cell r="M1440">
            <v>0</v>
          </cell>
          <cell r="N1440">
            <v>0.787554996857322</v>
          </cell>
        </row>
        <row r="1441">
          <cell r="A1441">
            <v>2040</v>
          </cell>
          <cell r="B1441" t="str">
            <v>Lithium</v>
          </cell>
          <cell r="C1441" t="str">
            <v>Global Net-zero</v>
          </cell>
          <cell r="D1441" t="str">
            <v>Production potential</v>
          </cell>
          <cell r="E1441" t="str">
            <v>100% CAN</v>
          </cell>
          <cell r="F1441" t="str">
            <v>Integrated</v>
          </cell>
          <cell r="G1441">
            <v>82859.956955531103</v>
          </cell>
          <cell r="H1441">
            <v>615511.71046222479</v>
          </cell>
          <cell r="I1441">
            <v>430347.61245790258</v>
          </cell>
          <cell r="J1441">
            <v>54401.710740819748</v>
          </cell>
          <cell r="K1441">
            <v>0</v>
          </cell>
          <cell r="M1441">
            <v>0</v>
          </cell>
          <cell r="N1441">
            <v>0.787554996857322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ellan.mari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9739-910B-408E-BC01-B703BDB4E824}">
  <sheetPr>
    <tabColor rgb="FFC00000"/>
  </sheetPr>
  <dimension ref="A1:C15"/>
  <sheetViews>
    <sheetView workbookViewId="0">
      <selection activeCell="B15" sqref="B15"/>
    </sheetView>
  </sheetViews>
  <sheetFormatPr baseColWidth="10" defaultRowHeight="15"/>
  <cols>
    <col min="1" max="1" width="20.85546875" bestFit="1" customWidth="1"/>
    <col min="2" max="2" width="119.5703125" bestFit="1" customWidth="1"/>
  </cols>
  <sheetData>
    <row r="1" spans="1:3" ht="14.25" customHeight="1">
      <c r="A1" s="20" t="s">
        <v>92</v>
      </c>
      <c r="B1" t="s">
        <v>93</v>
      </c>
    </row>
    <row r="2" spans="1:3" ht="17.25">
      <c r="A2" s="20" t="s">
        <v>94</v>
      </c>
      <c r="B2" t="s">
        <v>95</v>
      </c>
    </row>
    <row r="3" spans="1:3" ht="49.5">
      <c r="A3" s="20" t="s">
        <v>96</v>
      </c>
      <c r="B3" s="21" t="s">
        <v>97</v>
      </c>
    </row>
    <row r="4" spans="1:3" ht="14.25" customHeight="1">
      <c r="A4" s="20" t="s">
        <v>98</v>
      </c>
      <c r="B4" s="22" t="s">
        <v>99</v>
      </c>
    </row>
    <row r="5" spans="1:3">
      <c r="A5" s="20" t="s">
        <v>100</v>
      </c>
      <c r="B5" s="23"/>
    </row>
    <row r="6" spans="1:3">
      <c r="A6" s="20" t="s">
        <v>101</v>
      </c>
      <c r="B6" s="24">
        <v>46163</v>
      </c>
    </row>
    <row r="7" spans="1:3">
      <c r="A7" s="20" t="s">
        <v>102</v>
      </c>
    </row>
    <row r="8" spans="1:3">
      <c r="A8" s="20"/>
    </row>
    <row r="9" spans="1:3">
      <c r="A9" s="20"/>
    </row>
    <row r="10" spans="1:3">
      <c r="A10" s="5" t="s">
        <v>103</v>
      </c>
      <c r="B10" s="5" t="s">
        <v>104</v>
      </c>
      <c r="C10" s="5" t="s">
        <v>105</v>
      </c>
    </row>
    <row r="11" spans="1:3">
      <c r="A11" s="5" t="s">
        <v>110</v>
      </c>
      <c r="B11" t="s">
        <v>112</v>
      </c>
      <c r="C11" s="5"/>
    </row>
    <row r="12" spans="1:3">
      <c r="A12" s="20" t="s">
        <v>109</v>
      </c>
      <c r="B12" t="s">
        <v>111</v>
      </c>
    </row>
    <row r="13" spans="1:3">
      <c r="A13" s="20" t="s">
        <v>106</v>
      </c>
    </row>
    <row r="14" spans="1:3">
      <c r="A14" s="20" t="s">
        <v>107</v>
      </c>
    </row>
    <row r="15" spans="1:3">
      <c r="A15" s="20" t="s">
        <v>108</v>
      </c>
    </row>
  </sheetData>
  <hyperlinks>
    <hyperlink ref="B4" r:id="rId1" xr:uid="{7FB8389A-DA21-40CC-A9F8-493A3524B5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A68A-A967-46A6-A43B-83187C291F35}">
  <sheetPr>
    <tabColor theme="7"/>
  </sheetPr>
  <dimension ref="A1"/>
  <sheetViews>
    <sheetView workbookViewId="0">
      <selection activeCell="O5" sqref="O5"/>
    </sheetView>
  </sheetViews>
  <sheetFormatPr baseColWidth="10"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54E5-3303-4518-99D8-19E01EFF0774}">
  <sheetPr>
    <tabColor theme="7"/>
  </sheetPr>
  <dimension ref="A1:M721"/>
  <sheetViews>
    <sheetView workbookViewId="0">
      <selection activeCell="G2" sqref="G2"/>
    </sheetView>
  </sheetViews>
  <sheetFormatPr baseColWidth="10" defaultColWidth="8.7109375" defaultRowHeight="15"/>
  <cols>
    <col min="1" max="1" width="4.85546875" bestFit="1" customWidth="1"/>
    <col min="2" max="2" width="6.85546875" bestFit="1" customWidth="1"/>
    <col min="3" max="3" width="19.140625" bestFit="1" customWidth="1"/>
    <col min="4" max="4" width="20.85546875" bestFit="1" customWidth="1"/>
    <col min="5" max="5" width="37.85546875" bestFit="1" customWidth="1"/>
    <col min="6" max="6" width="29.5703125" bestFit="1" customWidth="1"/>
    <col min="7" max="7" width="19.28515625" bestFit="1" customWidth="1"/>
    <col min="8" max="8" width="14.85546875" bestFit="1" customWidth="1"/>
    <col min="9" max="9" width="35.28515625" bestFit="1" customWidth="1"/>
    <col min="10" max="10" width="25" bestFit="1" customWidth="1"/>
    <col min="11" max="11" width="16.140625" bestFit="1" customWidth="1"/>
    <col min="12" max="12" width="20.85546875" bestFit="1" customWidth="1"/>
    <col min="13" max="13" width="20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</v>
      </c>
      <c r="H1" s="1" t="s">
        <v>25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</row>
    <row r="2" spans="1:13">
      <c r="A2">
        <v>2025</v>
      </c>
      <c r="B2" t="s">
        <v>72</v>
      </c>
      <c r="C2" t="s">
        <v>80</v>
      </c>
      <c r="D2" t="s">
        <v>81</v>
      </c>
      <c r="E2" t="s">
        <v>82</v>
      </c>
      <c r="F2" t="s">
        <v>83</v>
      </c>
      <c r="G2">
        <v>85357.295500547771</v>
      </c>
      <c r="H2">
        <v>0.78847662611502922</v>
      </c>
      <c r="I2">
        <v>10566.83104243181</v>
      </c>
      <c r="J2">
        <v>19507.167442686619</v>
      </c>
      <c r="K2">
        <v>8505.5038016788603</v>
      </c>
      <c r="L2">
        <v>11.071711085043511</v>
      </c>
      <c r="M2">
        <v>155049.29596770651</v>
      </c>
    </row>
    <row r="3" spans="1:13">
      <c r="A3">
        <v>2025</v>
      </c>
      <c r="B3" t="s">
        <v>72</v>
      </c>
      <c r="C3" t="s">
        <v>80</v>
      </c>
      <c r="D3" t="s">
        <v>81</v>
      </c>
      <c r="E3" t="s">
        <v>82</v>
      </c>
      <c r="F3" t="s">
        <v>84</v>
      </c>
      <c r="G3">
        <v>84481.066104419937</v>
      </c>
      <c r="H3">
        <v>0.78051956832599323</v>
      </c>
      <c r="I3">
        <v>9316.8707012293071</v>
      </c>
      <c r="J3">
        <v>17186.218213463049</v>
      </c>
      <c r="K3">
        <v>7412.2668962215766</v>
      </c>
      <c r="L3">
        <v>9.4282654685993634</v>
      </c>
      <c r="M3">
        <v>149644.5523182145</v>
      </c>
    </row>
    <row r="4" spans="1:13">
      <c r="A4">
        <v>2025</v>
      </c>
      <c r="B4" t="s">
        <v>72</v>
      </c>
      <c r="C4" t="s">
        <v>80</v>
      </c>
      <c r="D4" t="s">
        <v>85</v>
      </c>
      <c r="E4" t="s">
        <v>82</v>
      </c>
      <c r="F4" t="s">
        <v>86</v>
      </c>
      <c r="G4">
        <v>84391.686177914526</v>
      </c>
      <c r="H4">
        <v>0.77970790731173578</v>
      </c>
      <c r="I4">
        <v>9189.3682869927379</v>
      </c>
      <c r="J4">
        <v>16949.469398087171</v>
      </c>
      <c r="K4">
        <v>7300.7510823324556</v>
      </c>
      <c r="L4">
        <v>9.2606255228699261</v>
      </c>
      <c r="M4">
        <v>149093.24053581271</v>
      </c>
    </row>
    <row r="5" spans="1:13">
      <c r="A5">
        <v>2025</v>
      </c>
      <c r="B5" t="s">
        <v>72</v>
      </c>
      <c r="C5" t="s">
        <v>80</v>
      </c>
      <c r="D5" t="s">
        <v>85</v>
      </c>
      <c r="E5" t="s">
        <v>82</v>
      </c>
      <c r="F5" t="s">
        <v>87</v>
      </c>
      <c r="G5">
        <v>84391.686177914526</v>
      </c>
      <c r="H5">
        <v>0.77970790731173578</v>
      </c>
      <c r="I5">
        <v>9189.3682869927379</v>
      </c>
      <c r="J5">
        <v>16949.469398087171</v>
      </c>
      <c r="K5">
        <v>7300.7510823324556</v>
      </c>
      <c r="L5">
        <v>9.2606255228699261</v>
      </c>
      <c r="M5">
        <v>149093.24053581271</v>
      </c>
    </row>
    <row r="6" spans="1:13">
      <c r="A6">
        <v>2025</v>
      </c>
      <c r="B6" t="s">
        <v>72</v>
      </c>
      <c r="C6" t="s">
        <v>80</v>
      </c>
      <c r="D6" t="s">
        <v>85</v>
      </c>
      <c r="E6" t="s">
        <v>88</v>
      </c>
      <c r="F6" t="s">
        <v>89</v>
      </c>
      <c r="G6">
        <v>84360.27966851306</v>
      </c>
      <c r="H6">
        <v>0.77942535180494232</v>
      </c>
      <c r="I6">
        <v>9149.2043128936075</v>
      </c>
      <c r="J6">
        <v>16872.70728955714</v>
      </c>
      <c r="K6">
        <v>7265.3747876753478</v>
      </c>
      <c r="L6">
        <v>9.2562428580973748</v>
      </c>
      <c r="M6">
        <v>149081.84188561319</v>
      </c>
    </row>
    <row r="7" spans="1:13">
      <c r="A7">
        <v>2025</v>
      </c>
      <c r="B7" t="s">
        <v>72</v>
      </c>
      <c r="C7" t="s">
        <v>90</v>
      </c>
      <c r="D7" t="s">
        <v>81</v>
      </c>
      <c r="E7" t="s">
        <v>82</v>
      </c>
      <c r="F7" t="s">
        <v>83</v>
      </c>
      <c r="G7">
        <v>78395.25056300404</v>
      </c>
      <c r="H7">
        <v>0.72416566510080094</v>
      </c>
      <c r="I7">
        <v>9704.962679177841</v>
      </c>
      <c r="J7">
        <v>17916.093410364421</v>
      </c>
      <c r="K7">
        <v>7811.7646275814668</v>
      </c>
      <c r="L7">
        <v>10.168662907877691</v>
      </c>
      <c r="M7">
        <v>142402.92333216811</v>
      </c>
    </row>
    <row r="8" spans="1:13">
      <c r="A8">
        <v>2025</v>
      </c>
      <c r="B8" t="s">
        <v>72</v>
      </c>
      <c r="C8" t="s">
        <v>90</v>
      </c>
      <c r="D8" t="s">
        <v>81</v>
      </c>
      <c r="E8" t="s">
        <v>82</v>
      </c>
      <c r="F8" t="s">
        <v>84</v>
      </c>
      <c r="G8">
        <v>77519.02116687622</v>
      </c>
      <c r="H8">
        <v>0.71620860731176494</v>
      </c>
      <c r="I8">
        <v>8455.0023379753402</v>
      </c>
      <c r="J8">
        <v>15595.144181140849</v>
      </c>
      <c r="K8">
        <v>6718.5277221241822</v>
      </c>
      <c r="L8">
        <v>8.5252172914335453</v>
      </c>
      <c r="M8">
        <v>136998.17968267619</v>
      </c>
    </row>
    <row r="9" spans="1:13">
      <c r="A9">
        <v>2025</v>
      </c>
      <c r="B9" t="s">
        <v>72</v>
      </c>
      <c r="C9" t="s">
        <v>90</v>
      </c>
      <c r="D9" t="s">
        <v>85</v>
      </c>
      <c r="E9" t="s">
        <v>82</v>
      </c>
      <c r="F9" t="s">
        <v>86</v>
      </c>
      <c r="G9">
        <v>77429.641240370809</v>
      </c>
      <c r="H9">
        <v>0.7153969462975075</v>
      </c>
      <c r="I9">
        <v>8327.499923738771</v>
      </c>
      <c r="J9">
        <v>15358.39536576498</v>
      </c>
      <c r="K9">
        <v>6607.011908235062</v>
      </c>
      <c r="L9">
        <v>8.357577345704108</v>
      </c>
      <c r="M9">
        <v>136446.86790027429</v>
      </c>
    </row>
    <row r="10" spans="1:13">
      <c r="A10">
        <v>2025</v>
      </c>
      <c r="B10" t="s">
        <v>72</v>
      </c>
      <c r="C10" t="s">
        <v>90</v>
      </c>
      <c r="D10" t="s">
        <v>85</v>
      </c>
      <c r="E10" t="s">
        <v>82</v>
      </c>
      <c r="F10" t="s">
        <v>87</v>
      </c>
      <c r="G10">
        <v>77429.641240370809</v>
      </c>
      <c r="H10">
        <v>0.7153969462975075</v>
      </c>
      <c r="I10">
        <v>8327.499923738771</v>
      </c>
      <c r="J10">
        <v>15358.39536576498</v>
      </c>
      <c r="K10">
        <v>6607.011908235062</v>
      </c>
      <c r="L10">
        <v>8.357577345704108</v>
      </c>
      <c r="M10">
        <v>136446.86790027429</v>
      </c>
    </row>
    <row r="11" spans="1:13">
      <c r="A11">
        <v>2025</v>
      </c>
      <c r="B11" t="s">
        <v>72</v>
      </c>
      <c r="C11" t="s">
        <v>90</v>
      </c>
      <c r="D11" t="s">
        <v>85</v>
      </c>
      <c r="E11" t="s">
        <v>88</v>
      </c>
      <c r="F11" t="s">
        <v>89</v>
      </c>
      <c r="G11">
        <v>77398.234730969343</v>
      </c>
      <c r="H11">
        <v>0.71511439079071404</v>
      </c>
      <c r="I11">
        <v>8287.3359496396406</v>
      </c>
      <c r="J11">
        <v>15281.63325723494</v>
      </c>
      <c r="K11">
        <v>6571.6356135779542</v>
      </c>
      <c r="L11">
        <v>8.3531946809315567</v>
      </c>
      <c r="M11">
        <v>136435.46925007479</v>
      </c>
    </row>
    <row r="12" spans="1:13">
      <c r="A12">
        <v>2025</v>
      </c>
      <c r="B12" t="s">
        <v>72</v>
      </c>
      <c r="C12" t="s">
        <v>91</v>
      </c>
      <c r="D12" t="s">
        <v>81</v>
      </c>
      <c r="E12" t="s">
        <v>82</v>
      </c>
      <c r="F12" t="s">
        <v>83</v>
      </c>
      <c r="G12">
        <v>84164.023153635077</v>
      </c>
      <c r="H12">
        <v>0.7774539320545778</v>
      </c>
      <c r="I12">
        <v>10419.109547702021</v>
      </c>
      <c r="J12">
        <v>19234.46241683673</v>
      </c>
      <c r="K12">
        <v>8386.5991149313868</v>
      </c>
      <c r="L12">
        <v>10.916931501256149</v>
      </c>
      <c r="M12">
        <v>152881.74794264801</v>
      </c>
    </row>
    <row r="13" spans="1:13">
      <c r="A13">
        <v>2025</v>
      </c>
      <c r="B13" t="s">
        <v>72</v>
      </c>
      <c r="C13" t="s">
        <v>91</v>
      </c>
      <c r="D13" t="s">
        <v>81</v>
      </c>
      <c r="E13" t="s">
        <v>82</v>
      </c>
      <c r="F13" t="s">
        <v>84</v>
      </c>
      <c r="G13">
        <v>83287.793757507243</v>
      </c>
      <c r="H13">
        <v>0.76949687426554181</v>
      </c>
      <c r="I13">
        <v>9169.1492064995255</v>
      </c>
      <c r="J13">
        <v>16913.51318761316</v>
      </c>
      <c r="K13">
        <v>7293.3622094741031</v>
      </c>
      <c r="L13">
        <v>9.2734858848120076</v>
      </c>
      <c r="M13">
        <v>147477.004293156</v>
      </c>
    </row>
    <row r="14" spans="1:13">
      <c r="A14">
        <v>2025</v>
      </c>
      <c r="B14" t="s">
        <v>72</v>
      </c>
      <c r="C14" t="s">
        <v>91</v>
      </c>
      <c r="D14" t="s">
        <v>85</v>
      </c>
      <c r="E14" t="s">
        <v>82</v>
      </c>
      <c r="F14" t="s">
        <v>86</v>
      </c>
      <c r="G14">
        <v>83198.413831001832</v>
      </c>
      <c r="H14">
        <v>0.76868521325128436</v>
      </c>
      <c r="I14">
        <v>9041.6467922629563</v>
      </c>
      <c r="J14">
        <v>16676.764372237281</v>
      </c>
      <c r="K14">
        <v>7181.846395584982</v>
      </c>
      <c r="L14">
        <v>9.1058459390825703</v>
      </c>
      <c r="M14">
        <v>146925.69251075419</v>
      </c>
    </row>
    <row r="15" spans="1:13">
      <c r="A15">
        <v>2025</v>
      </c>
      <c r="B15" t="s">
        <v>72</v>
      </c>
      <c r="C15" t="s">
        <v>91</v>
      </c>
      <c r="D15" t="s">
        <v>85</v>
      </c>
      <c r="E15" t="s">
        <v>82</v>
      </c>
      <c r="F15" t="s">
        <v>87</v>
      </c>
      <c r="G15">
        <v>83198.413831001832</v>
      </c>
      <c r="H15">
        <v>0.76868521325128436</v>
      </c>
      <c r="I15">
        <v>9041.6467922629563</v>
      </c>
      <c r="J15">
        <v>16676.764372237281</v>
      </c>
      <c r="K15">
        <v>7181.846395584982</v>
      </c>
      <c r="L15">
        <v>9.1058459390825703</v>
      </c>
      <c r="M15">
        <v>146925.69251075419</v>
      </c>
    </row>
    <row r="16" spans="1:13">
      <c r="A16">
        <v>2025</v>
      </c>
      <c r="B16" t="s">
        <v>72</v>
      </c>
      <c r="C16" t="s">
        <v>91</v>
      </c>
      <c r="D16" t="s">
        <v>85</v>
      </c>
      <c r="E16" t="s">
        <v>88</v>
      </c>
      <c r="F16" t="s">
        <v>89</v>
      </c>
      <c r="G16">
        <v>83167.007321600366</v>
      </c>
      <c r="H16">
        <v>0.7684026577444909</v>
      </c>
      <c r="I16">
        <v>9001.4828181638259</v>
      </c>
      <c r="J16">
        <v>16600.002263707251</v>
      </c>
      <c r="K16">
        <v>7146.4701009278742</v>
      </c>
      <c r="L16">
        <v>9.101463274310019</v>
      </c>
      <c r="M16">
        <v>146914.2938605547</v>
      </c>
    </row>
    <row r="17" spans="1:13">
      <c r="A17">
        <v>2025</v>
      </c>
      <c r="B17" t="s">
        <v>73</v>
      </c>
      <c r="C17" t="s">
        <v>80</v>
      </c>
      <c r="D17" t="s">
        <v>81</v>
      </c>
      <c r="E17" t="s">
        <v>82</v>
      </c>
      <c r="F17" t="s">
        <v>83</v>
      </c>
      <c r="G17">
        <v>40470954.556616433</v>
      </c>
      <c r="H17">
        <v>46.996809103503928</v>
      </c>
      <c r="I17">
        <v>465984.44449154119</v>
      </c>
      <c r="J17">
        <v>773179.94890100788</v>
      </c>
      <c r="K17">
        <v>407053.13199828973</v>
      </c>
      <c r="L17">
        <v>600.79926389285106</v>
      </c>
      <c r="M17">
        <v>9611280.2122340519</v>
      </c>
    </row>
    <row r="18" spans="1:13">
      <c r="A18">
        <v>2025</v>
      </c>
      <c r="B18" t="s">
        <v>73</v>
      </c>
      <c r="C18" t="s">
        <v>80</v>
      </c>
      <c r="D18" t="s">
        <v>81</v>
      </c>
      <c r="E18" t="s">
        <v>82</v>
      </c>
      <c r="F18" t="s">
        <v>84</v>
      </c>
      <c r="G18">
        <v>40269223.599275254</v>
      </c>
      <c r="H18">
        <v>41.37034920358623</v>
      </c>
      <c r="I18">
        <v>334697.1445498098</v>
      </c>
      <c r="J18">
        <v>570172.9764812272</v>
      </c>
      <c r="K18">
        <v>268941.17347155738</v>
      </c>
      <c r="L18">
        <v>354.16362882724519</v>
      </c>
      <c r="M18">
        <v>9357704.1007728688</v>
      </c>
    </row>
    <row r="19" spans="1:13">
      <c r="A19">
        <v>2025</v>
      </c>
      <c r="B19" t="s">
        <v>73</v>
      </c>
      <c r="C19" t="s">
        <v>80</v>
      </c>
      <c r="D19" t="s">
        <v>85</v>
      </c>
      <c r="E19" t="s">
        <v>82</v>
      </c>
      <c r="F19" t="s">
        <v>86</v>
      </c>
      <c r="G19">
        <v>40248019.328678101</v>
      </c>
      <c r="H19">
        <v>40.778942808681307</v>
      </c>
      <c r="I19">
        <v>320897.32190173992</v>
      </c>
      <c r="J19">
        <v>548834.5818538873</v>
      </c>
      <c r="K19">
        <v>254423.99980668371</v>
      </c>
      <c r="L19">
        <v>328.23935417074762</v>
      </c>
      <c r="M19">
        <v>9331050.3013002276</v>
      </c>
    </row>
    <row r="20" spans="1:13">
      <c r="A20">
        <v>2025</v>
      </c>
      <c r="B20" t="s">
        <v>73</v>
      </c>
      <c r="C20" t="s">
        <v>80</v>
      </c>
      <c r="D20" t="s">
        <v>85</v>
      </c>
      <c r="E20" t="s">
        <v>82</v>
      </c>
      <c r="F20" t="s">
        <v>87</v>
      </c>
      <c r="G20">
        <v>40248019.328678101</v>
      </c>
      <c r="H20">
        <v>40.778942808681307</v>
      </c>
      <c r="I20">
        <v>320897.32190173992</v>
      </c>
      <c r="J20">
        <v>548834.5818538873</v>
      </c>
      <c r="K20">
        <v>254423.99980668371</v>
      </c>
      <c r="L20">
        <v>328.23935417074762</v>
      </c>
      <c r="M20">
        <v>9331050.3013002276</v>
      </c>
    </row>
    <row r="21" spans="1:13">
      <c r="A21">
        <v>2025</v>
      </c>
      <c r="B21" t="s">
        <v>73</v>
      </c>
      <c r="C21" t="s">
        <v>80</v>
      </c>
      <c r="D21" t="s">
        <v>85</v>
      </c>
      <c r="E21" t="s">
        <v>88</v>
      </c>
      <c r="F21" t="s">
        <v>89</v>
      </c>
      <c r="G21">
        <v>39427759.203972466</v>
      </c>
      <c r="H21">
        <v>37.222774996455492</v>
      </c>
      <c r="I21">
        <v>299420.80589017918</v>
      </c>
      <c r="J21">
        <v>509913.24328898499</v>
      </c>
      <c r="K21">
        <v>236186.51910922761</v>
      </c>
      <c r="L21">
        <v>306.81288732674108</v>
      </c>
      <c r="M21">
        <v>9377750.1008080579</v>
      </c>
    </row>
    <row r="22" spans="1:13">
      <c r="A22">
        <v>2025</v>
      </c>
      <c r="B22" t="s">
        <v>73</v>
      </c>
      <c r="C22" t="s">
        <v>90</v>
      </c>
      <c r="D22" t="s">
        <v>81</v>
      </c>
      <c r="E22" t="s">
        <v>82</v>
      </c>
      <c r="F22" t="s">
        <v>83</v>
      </c>
      <c r="G22">
        <v>40942361.733176053</v>
      </c>
      <c r="H22">
        <v>47.544229675356313</v>
      </c>
      <c r="I22">
        <v>471412.24854768632</v>
      </c>
      <c r="J22">
        <v>782185.97756223078</v>
      </c>
      <c r="K22">
        <v>411794.50194538658</v>
      </c>
      <c r="L22">
        <v>607.7973959550593</v>
      </c>
      <c r="M22">
        <v>9723232.7598724887</v>
      </c>
    </row>
    <row r="23" spans="1:13">
      <c r="A23">
        <v>2025</v>
      </c>
      <c r="B23" t="s">
        <v>73</v>
      </c>
      <c r="C23" t="s">
        <v>90</v>
      </c>
      <c r="D23" t="s">
        <v>81</v>
      </c>
      <c r="E23" t="s">
        <v>82</v>
      </c>
      <c r="F23" t="s">
        <v>84</v>
      </c>
      <c r="G23">
        <v>40740630.775834873</v>
      </c>
      <c r="H23">
        <v>41.9177697754386</v>
      </c>
      <c r="I23">
        <v>340124.94860595482</v>
      </c>
      <c r="J23">
        <v>579179.00514244998</v>
      </c>
      <c r="K23">
        <v>273682.5434186543</v>
      </c>
      <c r="L23">
        <v>361.16176088945349</v>
      </c>
      <c r="M23">
        <v>9469656.6484113075</v>
      </c>
    </row>
    <row r="24" spans="1:13">
      <c r="A24">
        <v>2025</v>
      </c>
      <c r="B24" t="s">
        <v>73</v>
      </c>
      <c r="C24" t="s">
        <v>90</v>
      </c>
      <c r="D24" t="s">
        <v>85</v>
      </c>
      <c r="E24" t="s">
        <v>82</v>
      </c>
      <c r="F24" t="s">
        <v>86</v>
      </c>
      <c r="G24">
        <v>40719426.505237728</v>
      </c>
      <c r="H24">
        <v>41.326363380533678</v>
      </c>
      <c r="I24">
        <v>326325.12595788488</v>
      </c>
      <c r="J24">
        <v>557840.61051511019</v>
      </c>
      <c r="K24">
        <v>259165.3697537806</v>
      </c>
      <c r="L24">
        <v>335.23748623295569</v>
      </c>
      <c r="M24">
        <v>9443002.8489386626</v>
      </c>
    </row>
    <row r="25" spans="1:13">
      <c r="A25">
        <v>2025</v>
      </c>
      <c r="B25" t="s">
        <v>73</v>
      </c>
      <c r="C25" t="s">
        <v>90</v>
      </c>
      <c r="D25" t="s">
        <v>85</v>
      </c>
      <c r="E25" t="s">
        <v>82</v>
      </c>
      <c r="F25" t="s">
        <v>87</v>
      </c>
      <c r="G25">
        <v>40719426.505237728</v>
      </c>
      <c r="H25">
        <v>41.326363380533678</v>
      </c>
      <c r="I25">
        <v>326325.12595788488</v>
      </c>
      <c r="J25">
        <v>557840.61051511019</v>
      </c>
      <c r="K25">
        <v>259165.3697537806</v>
      </c>
      <c r="L25">
        <v>335.23748623295569</v>
      </c>
      <c r="M25">
        <v>9443002.8489386626</v>
      </c>
    </row>
    <row r="26" spans="1:13">
      <c r="A26">
        <v>2025</v>
      </c>
      <c r="B26" t="s">
        <v>73</v>
      </c>
      <c r="C26" t="s">
        <v>90</v>
      </c>
      <c r="D26" t="s">
        <v>85</v>
      </c>
      <c r="E26" t="s">
        <v>88</v>
      </c>
      <c r="F26" t="s">
        <v>89</v>
      </c>
      <c r="G26">
        <v>39899166.380532101</v>
      </c>
      <c r="H26">
        <v>37.770195568307862</v>
      </c>
      <c r="I26">
        <v>304848.60994632432</v>
      </c>
      <c r="J26">
        <v>518919.27195020788</v>
      </c>
      <c r="K26">
        <v>240927.88905632449</v>
      </c>
      <c r="L26">
        <v>313.81101938894932</v>
      </c>
      <c r="M26">
        <v>9489702.6484464966</v>
      </c>
    </row>
    <row r="27" spans="1:13">
      <c r="A27">
        <v>2025</v>
      </c>
      <c r="B27" t="s">
        <v>73</v>
      </c>
      <c r="C27" t="s">
        <v>91</v>
      </c>
      <c r="D27" t="s">
        <v>81</v>
      </c>
      <c r="E27" t="s">
        <v>82</v>
      </c>
      <c r="F27" t="s">
        <v>83</v>
      </c>
      <c r="G27">
        <v>40324852.410953388</v>
      </c>
      <c r="H27">
        <v>46.827148300477091</v>
      </c>
      <c r="I27">
        <v>464302.21762213123</v>
      </c>
      <c r="J27">
        <v>770388.7310818173</v>
      </c>
      <c r="K27">
        <v>405583.65007884009</v>
      </c>
      <c r="L27">
        <v>598.63034886405615</v>
      </c>
      <c r="M27">
        <v>9576583.0157641321</v>
      </c>
    </row>
    <row r="28" spans="1:13">
      <c r="A28">
        <v>2025</v>
      </c>
      <c r="B28" t="s">
        <v>73</v>
      </c>
      <c r="C28" t="s">
        <v>91</v>
      </c>
      <c r="D28" t="s">
        <v>81</v>
      </c>
      <c r="E28" t="s">
        <v>82</v>
      </c>
      <c r="F28" t="s">
        <v>84</v>
      </c>
      <c r="G28">
        <v>40123121.453612223</v>
      </c>
      <c r="H28">
        <v>41.2006884005594</v>
      </c>
      <c r="I28">
        <v>333014.91768039978</v>
      </c>
      <c r="J28">
        <v>567381.75866203662</v>
      </c>
      <c r="K28">
        <v>267471.69155210792</v>
      </c>
      <c r="L28">
        <v>351.99471379845028</v>
      </c>
      <c r="M28">
        <v>9323006.9043029509</v>
      </c>
    </row>
    <row r="29" spans="1:13">
      <c r="A29">
        <v>2025</v>
      </c>
      <c r="B29" t="s">
        <v>73</v>
      </c>
      <c r="C29" t="s">
        <v>91</v>
      </c>
      <c r="D29" t="s">
        <v>85</v>
      </c>
      <c r="E29" t="s">
        <v>82</v>
      </c>
      <c r="F29" t="s">
        <v>86</v>
      </c>
      <c r="G29">
        <v>40101917.183015063</v>
      </c>
      <c r="H29">
        <v>40.609282005654457</v>
      </c>
      <c r="I29">
        <v>319215.0950323299</v>
      </c>
      <c r="J29">
        <v>546043.36403469695</v>
      </c>
      <c r="K29">
        <v>252954.51788723419</v>
      </c>
      <c r="L29">
        <v>326.0704391419527</v>
      </c>
      <c r="M29">
        <v>9296353.104830306</v>
      </c>
    </row>
    <row r="30" spans="1:13">
      <c r="A30">
        <v>2025</v>
      </c>
      <c r="B30" t="s">
        <v>73</v>
      </c>
      <c r="C30" t="s">
        <v>91</v>
      </c>
      <c r="D30" t="s">
        <v>85</v>
      </c>
      <c r="E30" t="s">
        <v>82</v>
      </c>
      <c r="F30" t="s">
        <v>87</v>
      </c>
      <c r="G30">
        <v>40101917.183015063</v>
      </c>
      <c r="H30">
        <v>40.609282005654457</v>
      </c>
      <c r="I30">
        <v>319215.0950323299</v>
      </c>
      <c r="J30">
        <v>546043.36403469695</v>
      </c>
      <c r="K30">
        <v>252954.51788723419</v>
      </c>
      <c r="L30">
        <v>326.0704391419527</v>
      </c>
      <c r="M30">
        <v>9296353.104830306</v>
      </c>
    </row>
    <row r="31" spans="1:13">
      <c r="A31">
        <v>2025</v>
      </c>
      <c r="B31" t="s">
        <v>73</v>
      </c>
      <c r="C31" t="s">
        <v>91</v>
      </c>
      <c r="D31" t="s">
        <v>85</v>
      </c>
      <c r="E31" t="s">
        <v>88</v>
      </c>
      <c r="F31" t="s">
        <v>89</v>
      </c>
      <c r="G31">
        <v>39281657.058309443</v>
      </c>
      <c r="H31">
        <v>37.053114193428662</v>
      </c>
      <c r="I31">
        <v>297738.57902076922</v>
      </c>
      <c r="J31">
        <v>507122.02546979452</v>
      </c>
      <c r="K31">
        <v>234717.03718977809</v>
      </c>
      <c r="L31">
        <v>304.64397229794622</v>
      </c>
      <c r="M31">
        <v>9343052.90433814</v>
      </c>
    </row>
    <row r="32" spans="1:13">
      <c r="A32">
        <v>2025</v>
      </c>
      <c r="B32" t="s">
        <v>74</v>
      </c>
      <c r="C32" t="s">
        <v>80</v>
      </c>
      <c r="D32" t="s">
        <v>81</v>
      </c>
      <c r="E32" t="s">
        <v>82</v>
      </c>
      <c r="F32" t="s">
        <v>83</v>
      </c>
      <c r="G32">
        <v>95709.56543120378</v>
      </c>
      <c r="H32">
        <v>0.9093571404975036</v>
      </c>
      <c r="I32">
        <v>54258.817211831898</v>
      </c>
      <c r="J32">
        <v>121033.957436561</v>
      </c>
      <c r="K32">
        <v>44434.056994701881</v>
      </c>
      <c r="L32">
        <v>1640799.4751617271</v>
      </c>
      <c r="M32">
        <v>602371.25960643683</v>
      </c>
    </row>
    <row r="33" spans="1:13">
      <c r="A33">
        <v>2025</v>
      </c>
      <c r="B33" t="s">
        <v>74</v>
      </c>
      <c r="C33" t="s">
        <v>80</v>
      </c>
      <c r="D33" t="s">
        <v>81</v>
      </c>
      <c r="E33" t="s">
        <v>82</v>
      </c>
      <c r="F33" t="s">
        <v>84</v>
      </c>
      <c r="G33">
        <v>84058.367992082436</v>
      </c>
      <c r="H33">
        <v>0.80337088556506808</v>
      </c>
      <c r="I33">
        <v>10008.82799117045</v>
      </c>
      <c r="J33">
        <v>18092.221367382001</v>
      </c>
      <c r="K33">
        <v>5867.5715180005582</v>
      </c>
      <c r="L33">
        <v>245267.59227607431</v>
      </c>
      <c r="M33">
        <v>79543.860839677145</v>
      </c>
    </row>
    <row r="34" spans="1:13">
      <c r="A34">
        <v>2025</v>
      </c>
      <c r="B34" t="s">
        <v>74</v>
      </c>
      <c r="C34" t="s">
        <v>80</v>
      </c>
      <c r="D34" t="s">
        <v>85</v>
      </c>
      <c r="E34" t="s">
        <v>82</v>
      </c>
      <c r="F34" t="s">
        <v>86</v>
      </c>
      <c r="G34">
        <v>84058.367992082436</v>
      </c>
      <c r="H34">
        <v>0.80337088556506808</v>
      </c>
      <c r="I34">
        <v>10008.82799117045</v>
      </c>
      <c r="J34">
        <v>18092.221367382001</v>
      </c>
      <c r="K34">
        <v>5867.5715180005582</v>
      </c>
      <c r="L34">
        <v>245267.59227607431</v>
      </c>
      <c r="M34">
        <v>79543.860839677145</v>
      </c>
    </row>
    <row r="35" spans="1:13">
      <c r="A35">
        <v>2025</v>
      </c>
      <c r="B35" t="s">
        <v>74</v>
      </c>
      <c r="C35" t="s">
        <v>80</v>
      </c>
      <c r="D35" t="s">
        <v>85</v>
      </c>
      <c r="E35" t="s">
        <v>82</v>
      </c>
      <c r="F35" t="s">
        <v>87</v>
      </c>
      <c r="G35">
        <v>84058.367992082436</v>
      </c>
      <c r="H35">
        <v>0.80337088556506808</v>
      </c>
      <c r="I35">
        <v>10008.82799117045</v>
      </c>
      <c r="J35">
        <v>18092.221367382001</v>
      </c>
      <c r="K35">
        <v>5867.5715180005582</v>
      </c>
      <c r="L35">
        <v>245267.59227607431</v>
      </c>
      <c r="M35">
        <v>79543.860839677145</v>
      </c>
    </row>
    <row r="36" spans="1:13">
      <c r="A36">
        <v>2025</v>
      </c>
      <c r="B36" t="s">
        <v>74</v>
      </c>
      <c r="C36" t="s">
        <v>80</v>
      </c>
      <c r="D36" t="s">
        <v>85</v>
      </c>
      <c r="E36" t="s">
        <v>88</v>
      </c>
      <c r="F36" t="s">
        <v>89</v>
      </c>
      <c r="G36">
        <v>84058.367992082436</v>
      </c>
      <c r="H36">
        <v>0.80337088556506808</v>
      </c>
      <c r="I36">
        <v>10008.82799117045</v>
      </c>
      <c r="J36">
        <v>18092.221367382001</v>
      </c>
      <c r="K36">
        <v>5867.5715180005582</v>
      </c>
      <c r="L36">
        <v>245267.59227607431</v>
      </c>
      <c r="M36">
        <v>79543.860839677145</v>
      </c>
    </row>
    <row r="37" spans="1:13">
      <c r="A37">
        <v>2025</v>
      </c>
      <c r="B37" t="s">
        <v>74</v>
      </c>
      <c r="C37" t="s">
        <v>90</v>
      </c>
      <c r="D37" t="s">
        <v>81</v>
      </c>
      <c r="E37" t="s">
        <v>82</v>
      </c>
      <c r="F37" t="s">
        <v>83</v>
      </c>
      <c r="G37">
        <v>86982.625689443928</v>
      </c>
      <c r="H37">
        <v>0.82644061138041014</v>
      </c>
      <c r="I37">
        <v>49311.418003262901</v>
      </c>
      <c r="J37">
        <v>109997.9021739881</v>
      </c>
      <c r="K37">
        <v>40382.493954710662</v>
      </c>
      <c r="L37">
        <v>1491188.952080413</v>
      </c>
      <c r="M37">
        <v>547446.15717733849</v>
      </c>
    </row>
    <row r="38" spans="1:13">
      <c r="A38">
        <v>2025</v>
      </c>
      <c r="B38" t="s">
        <v>74</v>
      </c>
      <c r="C38" t="s">
        <v>90</v>
      </c>
      <c r="D38" t="s">
        <v>81</v>
      </c>
      <c r="E38" t="s">
        <v>82</v>
      </c>
      <c r="F38" t="s">
        <v>84</v>
      </c>
      <c r="G38">
        <v>76393.801666317711</v>
      </c>
      <c r="H38">
        <v>0.73011833993889341</v>
      </c>
      <c r="I38">
        <v>9096.2082506977076</v>
      </c>
      <c r="J38">
        <v>16442.545862573508</v>
      </c>
      <c r="K38">
        <v>5332.5576681585144</v>
      </c>
      <c r="L38">
        <v>222903.730432627</v>
      </c>
      <c r="M38">
        <v>72290.933953557615</v>
      </c>
    </row>
    <row r="39" spans="1:13">
      <c r="A39">
        <v>2025</v>
      </c>
      <c r="B39" t="s">
        <v>74</v>
      </c>
      <c r="C39" t="s">
        <v>90</v>
      </c>
      <c r="D39" t="s">
        <v>85</v>
      </c>
      <c r="E39" t="s">
        <v>82</v>
      </c>
      <c r="F39" t="s">
        <v>86</v>
      </c>
      <c r="G39">
        <v>76393.801666317711</v>
      </c>
      <c r="H39">
        <v>0.73011833993889341</v>
      </c>
      <c r="I39">
        <v>9096.2082506977076</v>
      </c>
      <c r="J39">
        <v>16442.545862573508</v>
      </c>
      <c r="K39">
        <v>5332.5576681585144</v>
      </c>
      <c r="L39">
        <v>222903.730432627</v>
      </c>
      <c r="M39">
        <v>72290.933953557615</v>
      </c>
    </row>
    <row r="40" spans="1:13">
      <c r="A40">
        <v>2025</v>
      </c>
      <c r="B40" t="s">
        <v>74</v>
      </c>
      <c r="C40" t="s">
        <v>90</v>
      </c>
      <c r="D40" t="s">
        <v>85</v>
      </c>
      <c r="E40" t="s">
        <v>82</v>
      </c>
      <c r="F40" t="s">
        <v>87</v>
      </c>
      <c r="G40">
        <v>76393.801666317711</v>
      </c>
      <c r="H40">
        <v>0.73011833993889341</v>
      </c>
      <c r="I40">
        <v>9096.2082506977076</v>
      </c>
      <c r="J40">
        <v>16442.545862573508</v>
      </c>
      <c r="K40">
        <v>5332.5576681585144</v>
      </c>
      <c r="L40">
        <v>222903.730432627</v>
      </c>
      <c r="M40">
        <v>72290.933953557615</v>
      </c>
    </row>
    <row r="41" spans="1:13">
      <c r="A41">
        <v>2025</v>
      </c>
      <c r="B41" t="s">
        <v>74</v>
      </c>
      <c r="C41" t="s">
        <v>90</v>
      </c>
      <c r="D41" t="s">
        <v>85</v>
      </c>
      <c r="E41" t="s">
        <v>88</v>
      </c>
      <c r="F41" t="s">
        <v>89</v>
      </c>
      <c r="G41">
        <v>76393.801666317711</v>
      </c>
      <c r="H41">
        <v>0.73011833993889341</v>
      </c>
      <c r="I41">
        <v>9096.2082506977076</v>
      </c>
      <c r="J41">
        <v>16442.545862573508</v>
      </c>
      <c r="K41">
        <v>5332.5576681585144</v>
      </c>
      <c r="L41">
        <v>222903.730432627</v>
      </c>
      <c r="M41">
        <v>72290.933953557615</v>
      </c>
    </row>
    <row r="42" spans="1:13">
      <c r="A42">
        <v>2025</v>
      </c>
      <c r="B42" t="s">
        <v>74</v>
      </c>
      <c r="C42" t="s">
        <v>91</v>
      </c>
      <c r="D42" t="s">
        <v>81</v>
      </c>
      <c r="E42" t="s">
        <v>82</v>
      </c>
      <c r="F42" t="s">
        <v>83</v>
      </c>
      <c r="G42">
        <v>93713.064779820561</v>
      </c>
      <c r="H42">
        <v>0.89038795894115996</v>
      </c>
      <c r="I42">
        <v>53126.978785665677</v>
      </c>
      <c r="J42">
        <v>118509.1902017199</v>
      </c>
      <c r="K42">
        <v>43507.162975970918</v>
      </c>
      <c r="L42">
        <v>1606572.4132563591</v>
      </c>
      <c r="M42">
        <v>589805.8006916407</v>
      </c>
    </row>
    <row r="43" spans="1:13">
      <c r="A43">
        <v>2025</v>
      </c>
      <c r="B43" t="s">
        <v>74</v>
      </c>
      <c r="C43" t="s">
        <v>91</v>
      </c>
      <c r="D43" t="s">
        <v>81</v>
      </c>
      <c r="E43" t="s">
        <v>82</v>
      </c>
      <c r="F43" t="s">
        <v>84</v>
      </c>
      <c r="G43">
        <v>82304.911211725033</v>
      </c>
      <c r="H43">
        <v>0.78661257630823744</v>
      </c>
      <c r="I43">
        <v>9800.0439316678694</v>
      </c>
      <c r="J43">
        <v>17714.817796670861</v>
      </c>
      <c r="K43">
        <v>5745.1740302996423</v>
      </c>
      <c r="L43">
        <v>240151.31256530329</v>
      </c>
      <c r="M43">
        <v>77884.576636844722</v>
      </c>
    </row>
    <row r="44" spans="1:13">
      <c r="A44">
        <v>2025</v>
      </c>
      <c r="B44" t="s">
        <v>74</v>
      </c>
      <c r="C44" t="s">
        <v>91</v>
      </c>
      <c r="D44" t="s">
        <v>85</v>
      </c>
      <c r="E44" t="s">
        <v>82</v>
      </c>
      <c r="F44" t="s">
        <v>86</v>
      </c>
      <c r="G44">
        <v>82304.911211725033</v>
      </c>
      <c r="H44">
        <v>0.78661257630823744</v>
      </c>
      <c r="I44">
        <v>9800.0439316678694</v>
      </c>
      <c r="J44">
        <v>17714.817796670861</v>
      </c>
      <c r="K44">
        <v>5745.1740302996423</v>
      </c>
      <c r="L44">
        <v>240151.31256530329</v>
      </c>
      <c r="M44">
        <v>77884.576636844722</v>
      </c>
    </row>
    <row r="45" spans="1:13">
      <c r="A45">
        <v>2025</v>
      </c>
      <c r="B45" t="s">
        <v>74</v>
      </c>
      <c r="C45" t="s">
        <v>91</v>
      </c>
      <c r="D45" t="s">
        <v>85</v>
      </c>
      <c r="E45" t="s">
        <v>82</v>
      </c>
      <c r="F45" t="s">
        <v>87</v>
      </c>
      <c r="G45">
        <v>82304.911211725033</v>
      </c>
      <c r="H45">
        <v>0.78661257630823744</v>
      </c>
      <c r="I45">
        <v>9800.0439316678694</v>
      </c>
      <c r="J45">
        <v>17714.817796670861</v>
      </c>
      <c r="K45">
        <v>5745.1740302996423</v>
      </c>
      <c r="L45">
        <v>240151.31256530329</v>
      </c>
      <c r="M45">
        <v>77884.576636844722</v>
      </c>
    </row>
    <row r="46" spans="1:13">
      <c r="A46">
        <v>2025</v>
      </c>
      <c r="B46" t="s">
        <v>74</v>
      </c>
      <c r="C46" t="s">
        <v>91</v>
      </c>
      <c r="D46" t="s">
        <v>85</v>
      </c>
      <c r="E46" t="s">
        <v>88</v>
      </c>
      <c r="F46" t="s">
        <v>89</v>
      </c>
      <c r="G46">
        <v>82304.911211725033</v>
      </c>
      <c r="H46">
        <v>0.78661257630823744</v>
      </c>
      <c r="I46">
        <v>9800.0439316678694</v>
      </c>
      <c r="J46">
        <v>17714.817796670861</v>
      </c>
      <c r="K46">
        <v>5745.1740302996423</v>
      </c>
      <c r="L46">
        <v>240151.31256530329</v>
      </c>
      <c r="M46">
        <v>77884.576636844722</v>
      </c>
    </row>
    <row r="47" spans="1:13">
      <c r="A47">
        <v>2026</v>
      </c>
      <c r="B47" t="s">
        <v>72</v>
      </c>
      <c r="C47" t="s">
        <v>80</v>
      </c>
      <c r="D47" t="s">
        <v>81</v>
      </c>
      <c r="E47" t="s">
        <v>82</v>
      </c>
      <c r="F47" t="s">
        <v>83</v>
      </c>
      <c r="G47">
        <v>131003.41540766761</v>
      </c>
      <c r="H47">
        <v>1.2101265672073751</v>
      </c>
      <c r="I47">
        <v>16217.605636128061</v>
      </c>
      <c r="J47">
        <v>29938.923731537459</v>
      </c>
      <c r="K47">
        <v>13053.952110932119</v>
      </c>
      <c r="L47">
        <v>16.9924780072059</v>
      </c>
      <c r="M47">
        <v>237964.2795523378</v>
      </c>
    </row>
    <row r="48" spans="1:13">
      <c r="A48">
        <v>2026</v>
      </c>
      <c r="B48" t="s">
        <v>72</v>
      </c>
      <c r="C48" t="s">
        <v>80</v>
      </c>
      <c r="D48" t="s">
        <v>81</v>
      </c>
      <c r="E48" t="s">
        <v>82</v>
      </c>
      <c r="F48" t="s">
        <v>84</v>
      </c>
      <c r="G48">
        <v>130127.1860115398</v>
      </c>
      <c r="H48">
        <v>1.2021695094183391</v>
      </c>
      <c r="I48">
        <v>14967.64529492556</v>
      </c>
      <c r="J48">
        <v>27617.974502313889</v>
      </c>
      <c r="K48">
        <v>11960.71520547484</v>
      </c>
      <c r="L48">
        <v>15.34903239076176</v>
      </c>
      <c r="M48">
        <v>232559.53590284591</v>
      </c>
    </row>
    <row r="49" spans="1:13">
      <c r="A49">
        <v>2026</v>
      </c>
      <c r="B49" t="s">
        <v>72</v>
      </c>
      <c r="C49" t="s">
        <v>80</v>
      </c>
      <c r="D49" t="s">
        <v>85</v>
      </c>
      <c r="E49" t="s">
        <v>82</v>
      </c>
      <c r="F49" t="s">
        <v>86</v>
      </c>
      <c r="G49">
        <v>129876.40484493189</v>
      </c>
      <c r="H49">
        <v>1.199892160308712</v>
      </c>
      <c r="I49">
        <v>14609.90049206279</v>
      </c>
      <c r="J49">
        <v>26953.70740751606</v>
      </c>
      <c r="K49">
        <v>11647.82542142867</v>
      </c>
      <c r="L49">
        <v>14.878670165105159</v>
      </c>
      <c r="M49">
        <v>231012.6716642963</v>
      </c>
    </row>
    <row r="50" spans="1:13">
      <c r="A50">
        <v>2026</v>
      </c>
      <c r="B50" t="s">
        <v>72</v>
      </c>
      <c r="C50" t="s">
        <v>80</v>
      </c>
      <c r="D50" t="s">
        <v>85</v>
      </c>
      <c r="E50" t="s">
        <v>82</v>
      </c>
      <c r="F50" t="s">
        <v>87</v>
      </c>
      <c r="G50">
        <v>129876.40484493189</v>
      </c>
      <c r="H50">
        <v>1.199892160308712</v>
      </c>
      <c r="I50">
        <v>14609.90049206279</v>
      </c>
      <c r="J50">
        <v>26953.70740751606</v>
      </c>
      <c r="K50">
        <v>11647.82542142867</v>
      </c>
      <c r="L50">
        <v>14.878670165105159</v>
      </c>
      <c r="M50">
        <v>231012.6716642963</v>
      </c>
    </row>
    <row r="51" spans="1:13">
      <c r="A51">
        <v>2026</v>
      </c>
      <c r="B51" t="s">
        <v>72</v>
      </c>
      <c r="C51" t="s">
        <v>80</v>
      </c>
      <c r="D51" t="s">
        <v>85</v>
      </c>
      <c r="E51" t="s">
        <v>88</v>
      </c>
      <c r="F51" t="s">
        <v>89</v>
      </c>
      <c r="G51">
        <v>129839.74874913369</v>
      </c>
      <c r="H51">
        <v>1.199562375753767</v>
      </c>
      <c r="I51">
        <v>14563.023124591111</v>
      </c>
      <c r="J51">
        <v>26864.114541018778</v>
      </c>
      <c r="K51">
        <v>11606.535992241839</v>
      </c>
      <c r="L51">
        <v>14.873554939541551</v>
      </c>
      <c r="M51">
        <v>230999.36773394421</v>
      </c>
    </row>
    <row r="52" spans="1:13">
      <c r="A52">
        <v>2026</v>
      </c>
      <c r="B52" t="s">
        <v>72</v>
      </c>
      <c r="C52" t="s">
        <v>90</v>
      </c>
      <c r="D52" t="s">
        <v>81</v>
      </c>
      <c r="E52" t="s">
        <v>82</v>
      </c>
      <c r="F52" t="s">
        <v>83</v>
      </c>
      <c r="G52">
        <v>105282.1312336823</v>
      </c>
      <c r="H52">
        <v>0.97252963719780527</v>
      </c>
      <c r="I52">
        <v>13033.43183508332</v>
      </c>
      <c r="J52">
        <v>24060.698627514139</v>
      </c>
      <c r="K52">
        <v>10490.93182024718</v>
      </c>
      <c r="L52">
        <v>13.65616532952928</v>
      </c>
      <c r="M52">
        <v>191242.23922555469</v>
      </c>
    </row>
    <row r="53" spans="1:13">
      <c r="A53">
        <v>2026</v>
      </c>
      <c r="B53" t="s">
        <v>72</v>
      </c>
      <c r="C53" t="s">
        <v>90</v>
      </c>
      <c r="D53" t="s">
        <v>81</v>
      </c>
      <c r="E53" t="s">
        <v>82</v>
      </c>
      <c r="F53" t="s">
        <v>84</v>
      </c>
      <c r="G53">
        <v>104405.9018375545</v>
      </c>
      <c r="H53">
        <v>0.96457257940876961</v>
      </c>
      <c r="I53">
        <v>11783.47149388083</v>
      </c>
      <c r="J53">
        <v>21739.749398290569</v>
      </c>
      <c r="K53">
        <v>9397.6949147898977</v>
      </c>
      <c r="L53">
        <v>12.01271971308514</v>
      </c>
      <c r="M53">
        <v>185837.49557606291</v>
      </c>
    </row>
    <row r="54" spans="1:13">
      <c r="A54">
        <v>2026</v>
      </c>
      <c r="B54" t="s">
        <v>72</v>
      </c>
      <c r="C54" t="s">
        <v>90</v>
      </c>
      <c r="D54" t="s">
        <v>85</v>
      </c>
      <c r="E54" t="s">
        <v>82</v>
      </c>
      <c r="F54" t="s">
        <v>86</v>
      </c>
      <c r="G54">
        <v>104155.12067094661</v>
      </c>
      <c r="H54">
        <v>0.96229523029914243</v>
      </c>
      <c r="I54">
        <v>11425.726691018061</v>
      </c>
      <c r="J54">
        <v>21075.482303492739</v>
      </c>
      <c r="K54">
        <v>9084.8051307437327</v>
      </c>
      <c r="L54">
        <v>11.542357487428539</v>
      </c>
      <c r="M54">
        <v>184290.6313375133</v>
      </c>
    </row>
    <row r="55" spans="1:13">
      <c r="A55">
        <v>2026</v>
      </c>
      <c r="B55" t="s">
        <v>72</v>
      </c>
      <c r="C55" t="s">
        <v>90</v>
      </c>
      <c r="D55" t="s">
        <v>85</v>
      </c>
      <c r="E55" t="s">
        <v>82</v>
      </c>
      <c r="F55" t="s">
        <v>87</v>
      </c>
      <c r="G55">
        <v>104155.12067094661</v>
      </c>
      <c r="H55">
        <v>0.96229523029914243</v>
      </c>
      <c r="I55">
        <v>11425.726691018061</v>
      </c>
      <c r="J55">
        <v>21075.482303492739</v>
      </c>
      <c r="K55">
        <v>9084.8051307437327</v>
      </c>
      <c r="L55">
        <v>11.542357487428539</v>
      </c>
      <c r="M55">
        <v>184290.6313375133</v>
      </c>
    </row>
    <row r="56" spans="1:13">
      <c r="A56">
        <v>2026</v>
      </c>
      <c r="B56" t="s">
        <v>72</v>
      </c>
      <c r="C56" t="s">
        <v>90</v>
      </c>
      <c r="D56" t="s">
        <v>85</v>
      </c>
      <c r="E56" t="s">
        <v>88</v>
      </c>
      <c r="F56" t="s">
        <v>89</v>
      </c>
      <c r="G56">
        <v>104118.46457514841</v>
      </c>
      <c r="H56">
        <v>0.96196544574419762</v>
      </c>
      <c r="I56">
        <v>11378.84932354637</v>
      </c>
      <c r="J56">
        <v>20985.889436995461</v>
      </c>
      <c r="K56">
        <v>9043.5157015569002</v>
      </c>
      <c r="L56">
        <v>11.537242261864931</v>
      </c>
      <c r="M56">
        <v>184277.32740716121</v>
      </c>
    </row>
    <row r="57" spans="1:13">
      <c r="A57">
        <v>2026</v>
      </c>
      <c r="B57" t="s">
        <v>72</v>
      </c>
      <c r="C57" t="s">
        <v>91</v>
      </c>
      <c r="D57" t="s">
        <v>81</v>
      </c>
      <c r="E57" t="s">
        <v>82</v>
      </c>
      <c r="F57" t="s">
        <v>83</v>
      </c>
      <c r="G57">
        <v>128349.24558130121</v>
      </c>
      <c r="H57">
        <v>1.185609027639638</v>
      </c>
      <c r="I57">
        <v>15889.03191611188</v>
      </c>
      <c r="J57">
        <v>29332.351851294079</v>
      </c>
      <c r="K57">
        <v>12789.47499253143</v>
      </c>
      <c r="L57">
        <v>16.648205132627989</v>
      </c>
      <c r="M57">
        <v>233143.04944489829</v>
      </c>
    </row>
    <row r="58" spans="1:13">
      <c r="A58">
        <v>2026</v>
      </c>
      <c r="B58" t="s">
        <v>72</v>
      </c>
      <c r="C58" t="s">
        <v>91</v>
      </c>
      <c r="D58" t="s">
        <v>81</v>
      </c>
      <c r="E58" t="s">
        <v>82</v>
      </c>
      <c r="F58" t="s">
        <v>84</v>
      </c>
      <c r="G58">
        <v>127473.0161851734</v>
      </c>
      <c r="H58">
        <v>1.1776519698506021</v>
      </c>
      <c r="I58">
        <v>14639.071574909391</v>
      </c>
      <c r="J58">
        <v>27011.402622070509</v>
      </c>
      <c r="K58">
        <v>11696.238087074151</v>
      </c>
      <c r="L58">
        <v>15.004759516183849</v>
      </c>
      <c r="M58">
        <v>227738.30579540649</v>
      </c>
    </row>
    <row r="59" spans="1:13">
      <c r="A59">
        <v>2026</v>
      </c>
      <c r="B59" t="s">
        <v>72</v>
      </c>
      <c r="C59" t="s">
        <v>91</v>
      </c>
      <c r="D59" t="s">
        <v>85</v>
      </c>
      <c r="E59" t="s">
        <v>82</v>
      </c>
      <c r="F59" t="s">
        <v>86</v>
      </c>
      <c r="G59">
        <v>127222.23501856549</v>
      </c>
      <c r="H59">
        <v>1.175374620740975</v>
      </c>
      <c r="I59">
        <v>14281.32677204661</v>
      </c>
      <c r="J59">
        <v>26347.13552727268</v>
      </c>
      <c r="K59">
        <v>11383.34830302798</v>
      </c>
      <c r="L59">
        <v>14.53439729052725</v>
      </c>
      <c r="M59">
        <v>226191.44155685691</v>
      </c>
    </row>
    <row r="60" spans="1:13">
      <c r="A60">
        <v>2026</v>
      </c>
      <c r="B60" t="s">
        <v>72</v>
      </c>
      <c r="C60" t="s">
        <v>91</v>
      </c>
      <c r="D60" t="s">
        <v>85</v>
      </c>
      <c r="E60" t="s">
        <v>82</v>
      </c>
      <c r="F60" t="s">
        <v>87</v>
      </c>
      <c r="G60">
        <v>127222.23501856549</v>
      </c>
      <c r="H60">
        <v>1.175374620740975</v>
      </c>
      <c r="I60">
        <v>14281.32677204661</v>
      </c>
      <c r="J60">
        <v>26347.13552727268</v>
      </c>
      <c r="K60">
        <v>11383.34830302798</v>
      </c>
      <c r="L60">
        <v>14.53439729052725</v>
      </c>
      <c r="M60">
        <v>226191.44155685691</v>
      </c>
    </row>
    <row r="61" spans="1:13">
      <c r="A61">
        <v>2026</v>
      </c>
      <c r="B61" t="s">
        <v>72</v>
      </c>
      <c r="C61" t="s">
        <v>91</v>
      </c>
      <c r="D61" t="s">
        <v>85</v>
      </c>
      <c r="E61" t="s">
        <v>88</v>
      </c>
      <c r="F61" t="s">
        <v>89</v>
      </c>
      <c r="G61">
        <v>127185.57892276729</v>
      </c>
      <c r="H61">
        <v>1.17504483618603</v>
      </c>
      <c r="I61">
        <v>14234.449404574931</v>
      </c>
      <c r="J61">
        <v>26257.542660775409</v>
      </c>
      <c r="K61">
        <v>11342.05887384115</v>
      </c>
      <c r="L61">
        <v>14.529282064963651</v>
      </c>
      <c r="M61">
        <v>226178.13762650479</v>
      </c>
    </row>
    <row r="62" spans="1:13">
      <c r="A62">
        <v>2026</v>
      </c>
      <c r="B62" t="s">
        <v>73</v>
      </c>
      <c r="C62" t="s">
        <v>80</v>
      </c>
      <c r="D62" t="s">
        <v>81</v>
      </c>
      <c r="E62" t="s">
        <v>82</v>
      </c>
      <c r="F62" t="s">
        <v>83</v>
      </c>
      <c r="G62">
        <v>41932893.043081753</v>
      </c>
      <c r="H62">
        <v>48.694482032699597</v>
      </c>
      <c r="I62">
        <v>482817.27190961782</v>
      </c>
      <c r="J62">
        <v>801109.64654825244</v>
      </c>
      <c r="K62">
        <v>421757.17459437071</v>
      </c>
      <c r="L62">
        <v>622.50202766869074</v>
      </c>
      <c r="M62">
        <v>9958469.9585695583</v>
      </c>
    </row>
    <row r="63" spans="1:13">
      <c r="A63">
        <v>2026</v>
      </c>
      <c r="B63" t="s">
        <v>73</v>
      </c>
      <c r="C63" t="s">
        <v>80</v>
      </c>
      <c r="D63" t="s">
        <v>81</v>
      </c>
      <c r="E63" t="s">
        <v>82</v>
      </c>
      <c r="F63" t="s">
        <v>84</v>
      </c>
      <c r="G63">
        <v>41734631.494006507</v>
      </c>
      <c r="H63">
        <v>43.164787085182283</v>
      </c>
      <c r="I63">
        <v>353787.87650388462</v>
      </c>
      <c r="J63">
        <v>601594.0275500844</v>
      </c>
      <c r="K63">
        <v>286020.49241022067</v>
      </c>
      <c r="L63">
        <v>380.10808025604592</v>
      </c>
      <c r="M63">
        <v>9709254.8984251674</v>
      </c>
    </row>
    <row r="64" spans="1:13">
      <c r="A64">
        <v>2026</v>
      </c>
      <c r="B64" t="s">
        <v>73</v>
      </c>
      <c r="C64" t="s">
        <v>80</v>
      </c>
      <c r="D64" t="s">
        <v>85</v>
      </c>
      <c r="E64" t="s">
        <v>82</v>
      </c>
      <c r="F64" t="s">
        <v>86</v>
      </c>
      <c r="G64">
        <v>41698553.337360993</v>
      </c>
      <c r="H64">
        <v>42.15853447871865</v>
      </c>
      <c r="I64">
        <v>330308.07035368489</v>
      </c>
      <c r="J64">
        <v>565287.66462182801</v>
      </c>
      <c r="K64">
        <v>261320.14428308781</v>
      </c>
      <c r="L64">
        <v>335.99903921672251</v>
      </c>
      <c r="M64">
        <v>9663904.6022116542</v>
      </c>
    </row>
    <row r="65" spans="1:13">
      <c r="A65">
        <v>2026</v>
      </c>
      <c r="B65" t="s">
        <v>73</v>
      </c>
      <c r="C65" t="s">
        <v>80</v>
      </c>
      <c r="D65" t="s">
        <v>85</v>
      </c>
      <c r="E65" t="s">
        <v>82</v>
      </c>
      <c r="F65" t="s">
        <v>87</v>
      </c>
      <c r="G65">
        <v>41698553.337360993</v>
      </c>
      <c r="H65">
        <v>42.15853447871865</v>
      </c>
      <c r="I65">
        <v>330308.07035368489</v>
      </c>
      <c r="J65">
        <v>565287.66462182801</v>
      </c>
      <c r="K65">
        <v>261320.14428308781</v>
      </c>
      <c r="L65">
        <v>335.99903921672251</v>
      </c>
      <c r="M65">
        <v>9663904.6022116542</v>
      </c>
    </row>
    <row r="66" spans="1:13">
      <c r="A66">
        <v>2026</v>
      </c>
      <c r="B66" t="s">
        <v>73</v>
      </c>
      <c r="C66" t="s">
        <v>80</v>
      </c>
      <c r="D66" t="s">
        <v>85</v>
      </c>
      <c r="E66" t="s">
        <v>88</v>
      </c>
      <c r="F66" t="s">
        <v>89</v>
      </c>
      <c r="G66">
        <v>40836331.973713823</v>
      </c>
      <c r="H66">
        <v>38.420447293856448</v>
      </c>
      <c r="I66">
        <v>307732.90137479058</v>
      </c>
      <c r="J66">
        <v>524375.26549179899</v>
      </c>
      <c r="K66">
        <v>242149.70675622029</v>
      </c>
      <c r="L66">
        <v>313.47647972133012</v>
      </c>
      <c r="M66">
        <v>9712993.3773464262</v>
      </c>
    </row>
    <row r="67" spans="1:13">
      <c r="A67">
        <v>2026</v>
      </c>
      <c r="B67" t="s">
        <v>73</v>
      </c>
      <c r="C67" t="s">
        <v>90</v>
      </c>
      <c r="D67" t="s">
        <v>81</v>
      </c>
      <c r="E67" t="s">
        <v>82</v>
      </c>
      <c r="F67" t="s">
        <v>83</v>
      </c>
      <c r="G67">
        <v>41914225.505023018</v>
      </c>
      <c r="H67">
        <v>48.672804394200853</v>
      </c>
      <c r="I67">
        <v>482602.33301213902</v>
      </c>
      <c r="J67">
        <v>800753.01136925863</v>
      </c>
      <c r="K67">
        <v>421569.41821657459</v>
      </c>
      <c r="L67">
        <v>622.22490440220895</v>
      </c>
      <c r="M67">
        <v>9954036.6818870455</v>
      </c>
    </row>
    <row r="68" spans="1:13">
      <c r="A68">
        <v>2026</v>
      </c>
      <c r="B68" t="s">
        <v>73</v>
      </c>
      <c r="C68" t="s">
        <v>90</v>
      </c>
      <c r="D68" t="s">
        <v>81</v>
      </c>
      <c r="E68" t="s">
        <v>82</v>
      </c>
      <c r="F68" t="s">
        <v>84</v>
      </c>
      <c r="G68">
        <v>41715963.955947787</v>
      </c>
      <c r="H68">
        <v>43.143109446683518</v>
      </c>
      <c r="I68">
        <v>353572.9376064057</v>
      </c>
      <c r="J68">
        <v>601237.39237109071</v>
      </c>
      <c r="K68">
        <v>285832.73603242473</v>
      </c>
      <c r="L68">
        <v>379.83095698956402</v>
      </c>
      <c r="M68">
        <v>9704821.6217426546</v>
      </c>
    </row>
    <row r="69" spans="1:13">
      <c r="A69">
        <v>2026</v>
      </c>
      <c r="B69" t="s">
        <v>73</v>
      </c>
      <c r="C69" t="s">
        <v>90</v>
      </c>
      <c r="D69" t="s">
        <v>85</v>
      </c>
      <c r="E69" t="s">
        <v>82</v>
      </c>
      <c r="F69" t="s">
        <v>86</v>
      </c>
      <c r="G69">
        <v>41679885.799302272</v>
      </c>
      <c r="H69">
        <v>42.136856840219892</v>
      </c>
      <c r="I69">
        <v>330093.13145620603</v>
      </c>
      <c r="J69">
        <v>564931.02944283409</v>
      </c>
      <c r="K69">
        <v>261132.38790529169</v>
      </c>
      <c r="L69">
        <v>335.72191595024049</v>
      </c>
      <c r="M69">
        <v>9659471.3255291395</v>
      </c>
    </row>
    <row r="70" spans="1:13">
      <c r="A70">
        <v>2026</v>
      </c>
      <c r="B70" t="s">
        <v>73</v>
      </c>
      <c r="C70" t="s">
        <v>90</v>
      </c>
      <c r="D70" t="s">
        <v>85</v>
      </c>
      <c r="E70" t="s">
        <v>82</v>
      </c>
      <c r="F70" t="s">
        <v>87</v>
      </c>
      <c r="G70">
        <v>41679885.799302272</v>
      </c>
      <c r="H70">
        <v>42.136856840219892</v>
      </c>
      <c r="I70">
        <v>330093.13145620603</v>
      </c>
      <c r="J70">
        <v>564931.02944283409</v>
      </c>
      <c r="K70">
        <v>261132.38790529169</v>
      </c>
      <c r="L70">
        <v>335.72191595024049</v>
      </c>
      <c r="M70">
        <v>9659471.3255291395</v>
      </c>
    </row>
    <row r="71" spans="1:13">
      <c r="A71">
        <v>2026</v>
      </c>
      <c r="B71" t="s">
        <v>73</v>
      </c>
      <c r="C71" t="s">
        <v>90</v>
      </c>
      <c r="D71" t="s">
        <v>85</v>
      </c>
      <c r="E71" t="s">
        <v>88</v>
      </c>
      <c r="F71" t="s">
        <v>89</v>
      </c>
      <c r="G71">
        <v>40817664.435655087</v>
      </c>
      <c r="H71">
        <v>38.398769655357697</v>
      </c>
      <c r="I71">
        <v>307517.96247731172</v>
      </c>
      <c r="J71">
        <v>524018.6303128053</v>
      </c>
      <c r="K71">
        <v>241961.9503784242</v>
      </c>
      <c r="L71">
        <v>313.19935645484821</v>
      </c>
      <c r="M71">
        <v>9708560.1006639134</v>
      </c>
    </row>
    <row r="72" spans="1:13">
      <c r="A72">
        <v>2026</v>
      </c>
      <c r="B72" t="s">
        <v>73</v>
      </c>
      <c r="C72" t="s">
        <v>91</v>
      </c>
      <c r="D72" t="s">
        <v>81</v>
      </c>
      <c r="E72" t="s">
        <v>82</v>
      </c>
      <c r="F72" t="s">
        <v>83</v>
      </c>
      <c r="G72">
        <v>41529558.925295562</v>
      </c>
      <c r="H72">
        <v>48.226111154221563</v>
      </c>
      <c r="I72">
        <v>478173.26420384081</v>
      </c>
      <c r="J72">
        <v>793404.12400754506</v>
      </c>
      <c r="K72">
        <v>417700.47720026912</v>
      </c>
      <c r="L72">
        <v>616.51445352512042</v>
      </c>
      <c r="M72">
        <v>9862683.8011223916</v>
      </c>
    </row>
    <row r="73" spans="1:13">
      <c r="A73">
        <v>2026</v>
      </c>
      <c r="B73" t="s">
        <v>73</v>
      </c>
      <c r="C73" t="s">
        <v>91</v>
      </c>
      <c r="D73" t="s">
        <v>81</v>
      </c>
      <c r="E73" t="s">
        <v>82</v>
      </c>
      <c r="F73" t="s">
        <v>84</v>
      </c>
      <c r="G73">
        <v>41331297.376220331</v>
      </c>
      <c r="H73">
        <v>42.696416206704242</v>
      </c>
      <c r="I73">
        <v>349143.86879810749</v>
      </c>
      <c r="J73">
        <v>593888.50500937714</v>
      </c>
      <c r="K73">
        <v>281963.79501611908</v>
      </c>
      <c r="L73">
        <v>374.12050611247548</v>
      </c>
      <c r="M73">
        <v>9613468.7409780025</v>
      </c>
    </row>
    <row r="74" spans="1:13">
      <c r="A74">
        <v>2026</v>
      </c>
      <c r="B74" t="s">
        <v>73</v>
      </c>
      <c r="C74" t="s">
        <v>91</v>
      </c>
      <c r="D74" t="s">
        <v>85</v>
      </c>
      <c r="E74" t="s">
        <v>82</v>
      </c>
      <c r="F74" t="s">
        <v>86</v>
      </c>
      <c r="G74">
        <v>41295219.219574809</v>
      </c>
      <c r="H74">
        <v>41.690163600240609</v>
      </c>
      <c r="I74">
        <v>325664.06264790788</v>
      </c>
      <c r="J74">
        <v>557582.14208112052</v>
      </c>
      <c r="K74">
        <v>257263.4468889861</v>
      </c>
      <c r="L74">
        <v>330.01146507315201</v>
      </c>
      <c r="M74">
        <v>9568118.4447644874</v>
      </c>
    </row>
    <row r="75" spans="1:13">
      <c r="A75">
        <v>2026</v>
      </c>
      <c r="B75" t="s">
        <v>73</v>
      </c>
      <c r="C75" t="s">
        <v>91</v>
      </c>
      <c r="D75" t="s">
        <v>85</v>
      </c>
      <c r="E75" t="s">
        <v>82</v>
      </c>
      <c r="F75" t="s">
        <v>87</v>
      </c>
      <c r="G75">
        <v>41295219.219574809</v>
      </c>
      <c r="H75">
        <v>41.690163600240609</v>
      </c>
      <c r="I75">
        <v>325664.06264790788</v>
      </c>
      <c r="J75">
        <v>557582.14208112052</v>
      </c>
      <c r="K75">
        <v>257263.4468889861</v>
      </c>
      <c r="L75">
        <v>330.01146507315201</v>
      </c>
      <c r="M75">
        <v>9568118.4447644874</v>
      </c>
    </row>
    <row r="76" spans="1:13">
      <c r="A76">
        <v>2026</v>
      </c>
      <c r="B76" t="s">
        <v>73</v>
      </c>
      <c r="C76" t="s">
        <v>91</v>
      </c>
      <c r="D76" t="s">
        <v>85</v>
      </c>
      <c r="E76" t="s">
        <v>88</v>
      </c>
      <c r="F76" t="s">
        <v>89</v>
      </c>
      <c r="G76">
        <v>40432997.855927631</v>
      </c>
      <c r="H76">
        <v>37.952076415378421</v>
      </c>
      <c r="I76">
        <v>303088.89366901357</v>
      </c>
      <c r="J76">
        <v>516669.74295109173</v>
      </c>
      <c r="K76">
        <v>238093.00936211861</v>
      </c>
      <c r="L76">
        <v>307.48890557775968</v>
      </c>
      <c r="M76">
        <v>9617207.2198992595</v>
      </c>
    </row>
    <row r="77" spans="1:13">
      <c r="A77">
        <v>2026</v>
      </c>
      <c r="B77" t="s">
        <v>74</v>
      </c>
      <c r="C77" t="s">
        <v>80</v>
      </c>
      <c r="D77" t="s">
        <v>81</v>
      </c>
      <c r="E77" t="s">
        <v>82</v>
      </c>
      <c r="F77" t="s">
        <v>83</v>
      </c>
      <c r="G77">
        <v>127439.41757238971</v>
      </c>
      <c r="H77">
        <v>1.210829281568476</v>
      </c>
      <c r="I77">
        <v>72246.823318959854</v>
      </c>
      <c r="J77">
        <v>161159.40943524489</v>
      </c>
      <c r="K77">
        <v>59164.936318235588</v>
      </c>
      <c r="L77">
        <v>2184761.0374743198</v>
      </c>
      <c r="M77">
        <v>802070.74539242859</v>
      </c>
    </row>
    <row r="78" spans="1:13">
      <c r="A78">
        <v>2026</v>
      </c>
      <c r="B78" t="s">
        <v>74</v>
      </c>
      <c r="C78" t="s">
        <v>80</v>
      </c>
      <c r="D78" t="s">
        <v>81</v>
      </c>
      <c r="E78" t="s">
        <v>82</v>
      </c>
      <c r="F78" t="s">
        <v>84</v>
      </c>
      <c r="G78">
        <v>111925.5887406222</v>
      </c>
      <c r="H78">
        <v>1.0697062230903021</v>
      </c>
      <c r="I78">
        <v>13326.97734056517</v>
      </c>
      <c r="J78">
        <v>24090.195616938829</v>
      </c>
      <c r="K78">
        <v>7812.8021316304548</v>
      </c>
      <c r="L78">
        <v>326579.26058093598</v>
      </c>
      <c r="M78">
        <v>105914.4219409729</v>
      </c>
    </row>
    <row r="79" spans="1:13">
      <c r="A79">
        <v>2026</v>
      </c>
      <c r="B79" t="s">
        <v>74</v>
      </c>
      <c r="C79" t="s">
        <v>80</v>
      </c>
      <c r="D79" t="s">
        <v>85</v>
      </c>
      <c r="E79" t="s">
        <v>82</v>
      </c>
      <c r="F79" t="s">
        <v>86</v>
      </c>
      <c r="G79">
        <v>111925.5887406222</v>
      </c>
      <c r="H79">
        <v>1.0697062230903021</v>
      </c>
      <c r="I79">
        <v>13326.97734056517</v>
      </c>
      <c r="J79">
        <v>24090.195616938829</v>
      </c>
      <c r="K79">
        <v>7812.8021316304548</v>
      </c>
      <c r="L79">
        <v>326579.26058093598</v>
      </c>
      <c r="M79">
        <v>105914.4219409729</v>
      </c>
    </row>
    <row r="80" spans="1:13">
      <c r="A80">
        <v>2026</v>
      </c>
      <c r="B80" t="s">
        <v>74</v>
      </c>
      <c r="C80" t="s">
        <v>80</v>
      </c>
      <c r="D80" t="s">
        <v>85</v>
      </c>
      <c r="E80" t="s">
        <v>82</v>
      </c>
      <c r="F80" t="s">
        <v>87</v>
      </c>
      <c r="G80">
        <v>111925.5887406222</v>
      </c>
      <c r="H80">
        <v>1.0697062230903021</v>
      </c>
      <c r="I80">
        <v>13326.97734056517</v>
      </c>
      <c r="J80">
        <v>24090.195616938829</v>
      </c>
      <c r="K80">
        <v>7812.8021316304548</v>
      </c>
      <c r="L80">
        <v>326579.26058093598</v>
      </c>
      <c r="M80">
        <v>105914.4219409729</v>
      </c>
    </row>
    <row r="81" spans="1:13">
      <c r="A81">
        <v>2026</v>
      </c>
      <c r="B81" t="s">
        <v>74</v>
      </c>
      <c r="C81" t="s">
        <v>80</v>
      </c>
      <c r="D81" t="s">
        <v>85</v>
      </c>
      <c r="E81" t="s">
        <v>88</v>
      </c>
      <c r="F81" t="s">
        <v>89</v>
      </c>
      <c r="G81">
        <v>111925.5887406222</v>
      </c>
      <c r="H81">
        <v>1.0697062230903021</v>
      </c>
      <c r="I81">
        <v>13326.97734056517</v>
      </c>
      <c r="J81">
        <v>24090.195616938829</v>
      </c>
      <c r="K81">
        <v>7812.8021316304548</v>
      </c>
      <c r="L81">
        <v>326579.26058093598</v>
      </c>
      <c r="M81">
        <v>105914.4219409729</v>
      </c>
    </row>
    <row r="82" spans="1:13">
      <c r="A82">
        <v>2026</v>
      </c>
      <c r="B82" t="s">
        <v>74</v>
      </c>
      <c r="C82" t="s">
        <v>90</v>
      </c>
      <c r="D82" t="s">
        <v>81</v>
      </c>
      <c r="E82" t="s">
        <v>82</v>
      </c>
      <c r="F82" t="s">
        <v>83</v>
      </c>
      <c r="G82">
        <v>104492.82411169419</v>
      </c>
      <c r="H82">
        <v>0.99280876794932571</v>
      </c>
      <c r="I82">
        <v>59238.144253197708</v>
      </c>
      <c r="J82">
        <v>132141.23341779941</v>
      </c>
      <c r="K82">
        <v>48511.766626438221</v>
      </c>
      <c r="L82">
        <v>1791375.5034639069</v>
      </c>
      <c r="M82">
        <v>657650.81887493213</v>
      </c>
    </row>
    <row r="83" spans="1:13">
      <c r="A83">
        <v>2026</v>
      </c>
      <c r="B83" t="s">
        <v>74</v>
      </c>
      <c r="C83" t="s">
        <v>90</v>
      </c>
      <c r="D83" t="s">
        <v>81</v>
      </c>
      <c r="E83" t="s">
        <v>82</v>
      </c>
      <c r="F83" t="s">
        <v>84</v>
      </c>
      <c r="G83">
        <v>91772.397274401228</v>
      </c>
      <c r="H83">
        <v>0.87709616341480034</v>
      </c>
      <c r="I83">
        <v>10927.3372847705</v>
      </c>
      <c r="J83">
        <v>19752.54298370608</v>
      </c>
      <c r="K83">
        <v>6406.0380572298163</v>
      </c>
      <c r="L83">
        <v>267775.77836171992</v>
      </c>
      <c r="M83">
        <v>86843.594184532907</v>
      </c>
    </row>
    <row r="84" spans="1:13">
      <c r="A84">
        <v>2026</v>
      </c>
      <c r="B84" t="s">
        <v>74</v>
      </c>
      <c r="C84" t="s">
        <v>90</v>
      </c>
      <c r="D84" t="s">
        <v>85</v>
      </c>
      <c r="E84" t="s">
        <v>82</v>
      </c>
      <c r="F84" t="s">
        <v>86</v>
      </c>
      <c r="G84">
        <v>91772.397274401228</v>
      </c>
      <c r="H84">
        <v>0.87709616341480034</v>
      </c>
      <c r="I84">
        <v>10927.3372847705</v>
      </c>
      <c r="J84">
        <v>19752.54298370608</v>
      </c>
      <c r="K84">
        <v>6406.0380572298163</v>
      </c>
      <c r="L84">
        <v>267775.77836171992</v>
      </c>
      <c r="M84">
        <v>86843.594184532907</v>
      </c>
    </row>
    <row r="85" spans="1:13">
      <c r="A85">
        <v>2026</v>
      </c>
      <c r="B85" t="s">
        <v>74</v>
      </c>
      <c r="C85" t="s">
        <v>90</v>
      </c>
      <c r="D85" t="s">
        <v>85</v>
      </c>
      <c r="E85" t="s">
        <v>82</v>
      </c>
      <c r="F85" t="s">
        <v>87</v>
      </c>
      <c r="G85">
        <v>91772.397274401228</v>
      </c>
      <c r="H85">
        <v>0.87709616341480034</v>
      </c>
      <c r="I85">
        <v>10927.3372847705</v>
      </c>
      <c r="J85">
        <v>19752.54298370608</v>
      </c>
      <c r="K85">
        <v>6406.0380572298163</v>
      </c>
      <c r="L85">
        <v>267775.77836171992</v>
      </c>
      <c r="M85">
        <v>86843.594184532907</v>
      </c>
    </row>
    <row r="86" spans="1:13">
      <c r="A86">
        <v>2026</v>
      </c>
      <c r="B86" t="s">
        <v>74</v>
      </c>
      <c r="C86" t="s">
        <v>90</v>
      </c>
      <c r="D86" t="s">
        <v>85</v>
      </c>
      <c r="E86" t="s">
        <v>88</v>
      </c>
      <c r="F86" t="s">
        <v>89</v>
      </c>
      <c r="G86">
        <v>91772.397274401228</v>
      </c>
      <c r="H86">
        <v>0.87709616341480034</v>
      </c>
      <c r="I86">
        <v>10927.3372847705</v>
      </c>
      <c r="J86">
        <v>19752.54298370608</v>
      </c>
      <c r="K86">
        <v>6406.0380572298163</v>
      </c>
      <c r="L86">
        <v>267775.77836171992</v>
      </c>
      <c r="M86">
        <v>86843.594184532907</v>
      </c>
    </row>
    <row r="87" spans="1:13">
      <c r="A87">
        <v>2026</v>
      </c>
      <c r="B87" t="s">
        <v>74</v>
      </c>
      <c r="C87" t="s">
        <v>91</v>
      </c>
      <c r="D87" t="s">
        <v>81</v>
      </c>
      <c r="E87" t="s">
        <v>82</v>
      </c>
      <c r="F87" t="s">
        <v>83</v>
      </c>
      <c r="G87">
        <v>123869.77024339441</v>
      </c>
      <c r="H87">
        <v>1.176913295501097</v>
      </c>
      <c r="I87">
        <v>70223.150543286465</v>
      </c>
      <c r="J87">
        <v>156645.24681278781</v>
      </c>
      <c r="K87">
        <v>57507.694305350553</v>
      </c>
      <c r="L87">
        <v>2123564.693749011</v>
      </c>
      <c r="M87">
        <v>779604.30801775225</v>
      </c>
    </row>
    <row r="88" spans="1:13">
      <c r="A88">
        <v>2026</v>
      </c>
      <c r="B88" t="s">
        <v>74</v>
      </c>
      <c r="C88" t="s">
        <v>91</v>
      </c>
      <c r="D88" t="s">
        <v>81</v>
      </c>
      <c r="E88" t="s">
        <v>82</v>
      </c>
      <c r="F88" t="s">
        <v>84</v>
      </c>
      <c r="G88">
        <v>108790.4921864714</v>
      </c>
      <c r="H88">
        <v>1.0397431705685429</v>
      </c>
      <c r="I88">
        <v>12953.681464190769</v>
      </c>
      <c r="J88">
        <v>23415.416148568049</v>
      </c>
      <c r="K88">
        <v>7593.9612989241896</v>
      </c>
      <c r="L88">
        <v>317431.59804884868</v>
      </c>
      <c r="M88">
        <v>102947.70143498101</v>
      </c>
    </row>
    <row r="89" spans="1:13">
      <c r="A89">
        <v>2026</v>
      </c>
      <c r="B89" t="s">
        <v>74</v>
      </c>
      <c r="C89" t="s">
        <v>91</v>
      </c>
      <c r="D89" t="s">
        <v>85</v>
      </c>
      <c r="E89" t="s">
        <v>82</v>
      </c>
      <c r="F89" t="s">
        <v>86</v>
      </c>
      <c r="G89">
        <v>108790.4921864714</v>
      </c>
      <c r="H89">
        <v>1.0397431705685429</v>
      </c>
      <c r="I89">
        <v>12953.681464190769</v>
      </c>
      <c r="J89">
        <v>23415.416148568049</v>
      </c>
      <c r="K89">
        <v>7593.9612989241896</v>
      </c>
      <c r="L89">
        <v>317431.59804884868</v>
      </c>
      <c r="M89">
        <v>102947.70143498101</v>
      </c>
    </row>
    <row r="90" spans="1:13">
      <c r="A90">
        <v>2026</v>
      </c>
      <c r="B90" t="s">
        <v>74</v>
      </c>
      <c r="C90" t="s">
        <v>91</v>
      </c>
      <c r="D90" t="s">
        <v>85</v>
      </c>
      <c r="E90" t="s">
        <v>82</v>
      </c>
      <c r="F90" t="s">
        <v>87</v>
      </c>
      <c r="G90">
        <v>108790.4921864714</v>
      </c>
      <c r="H90">
        <v>1.0397431705685429</v>
      </c>
      <c r="I90">
        <v>12953.681464190769</v>
      </c>
      <c r="J90">
        <v>23415.416148568049</v>
      </c>
      <c r="K90">
        <v>7593.9612989241896</v>
      </c>
      <c r="L90">
        <v>317431.59804884868</v>
      </c>
      <c r="M90">
        <v>102947.70143498101</v>
      </c>
    </row>
    <row r="91" spans="1:13">
      <c r="A91">
        <v>2026</v>
      </c>
      <c r="B91" t="s">
        <v>74</v>
      </c>
      <c r="C91" t="s">
        <v>91</v>
      </c>
      <c r="D91" t="s">
        <v>85</v>
      </c>
      <c r="E91" t="s">
        <v>88</v>
      </c>
      <c r="F91" t="s">
        <v>89</v>
      </c>
      <c r="G91">
        <v>108790.4921864714</v>
      </c>
      <c r="H91">
        <v>1.0397431705685429</v>
      </c>
      <c r="I91">
        <v>12953.681464190769</v>
      </c>
      <c r="J91">
        <v>23415.416148568049</v>
      </c>
      <c r="K91">
        <v>7593.9612989241896</v>
      </c>
      <c r="L91">
        <v>317431.59804884868</v>
      </c>
      <c r="M91">
        <v>102947.70143498101</v>
      </c>
    </row>
    <row r="92" spans="1:13">
      <c r="A92">
        <v>2027</v>
      </c>
      <c r="B92" t="s">
        <v>72</v>
      </c>
      <c r="C92" t="s">
        <v>80</v>
      </c>
      <c r="D92" t="s">
        <v>81</v>
      </c>
      <c r="E92" t="s">
        <v>82</v>
      </c>
      <c r="F92" t="s">
        <v>83</v>
      </c>
      <c r="G92">
        <v>204061.55534641771</v>
      </c>
      <c r="H92">
        <v>1.8849913851628091</v>
      </c>
      <c r="I92">
        <v>25261.859164546811</v>
      </c>
      <c r="J92">
        <v>46635.298194658571</v>
      </c>
      <c r="K92">
        <v>20333.895592607179</v>
      </c>
      <c r="L92">
        <v>26.468863277722441</v>
      </c>
      <c r="M92">
        <v>370672.48095195548</v>
      </c>
    </row>
    <row r="93" spans="1:13">
      <c r="A93">
        <v>2027</v>
      </c>
      <c r="B93" t="s">
        <v>72</v>
      </c>
      <c r="C93" t="s">
        <v>80</v>
      </c>
      <c r="D93" t="s">
        <v>81</v>
      </c>
      <c r="E93" t="s">
        <v>82</v>
      </c>
      <c r="F93" t="s">
        <v>84</v>
      </c>
      <c r="G93">
        <v>203014.2931946633</v>
      </c>
      <c r="H93">
        <v>1.875481175281007</v>
      </c>
      <c r="I93">
        <v>23767.916867791901</v>
      </c>
      <c r="J93">
        <v>43861.318806782881</v>
      </c>
      <c r="K93">
        <v>19027.267854430411</v>
      </c>
      <c r="L93">
        <v>24.5046306233805</v>
      </c>
      <c r="M93">
        <v>364212.77589177282</v>
      </c>
    </row>
    <row r="94" spans="1:13">
      <c r="A94">
        <v>2027</v>
      </c>
      <c r="B94" t="s">
        <v>72</v>
      </c>
      <c r="C94" t="s">
        <v>80</v>
      </c>
      <c r="D94" t="s">
        <v>85</v>
      </c>
      <c r="E94" t="s">
        <v>82</v>
      </c>
      <c r="F94" t="s">
        <v>86</v>
      </c>
      <c r="G94">
        <v>202730.65969522981</v>
      </c>
      <c r="H94">
        <v>1.87290549343802</v>
      </c>
      <c r="I94">
        <v>23363.307495754121</v>
      </c>
      <c r="J94">
        <v>43110.032722566553</v>
      </c>
      <c r="K94">
        <v>18673.389508674209</v>
      </c>
      <c r="L94">
        <v>23.97265094616289</v>
      </c>
      <c r="M94">
        <v>362463.27243797341</v>
      </c>
    </row>
    <row r="95" spans="1:13">
      <c r="A95">
        <v>2027</v>
      </c>
      <c r="B95" t="s">
        <v>72</v>
      </c>
      <c r="C95" t="s">
        <v>80</v>
      </c>
      <c r="D95" t="s">
        <v>85</v>
      </c>
      <c r="E95" t="s">
        <v>82</v>
      </c>
      <c r="F95" t="s">
        <v>87</v>
      </c>
      <c r="G95">
        <v>202730.65969522981</v>
      </c>
      <c r="H95">
        <v>1.87290549343802</v>
      </c>
      <c r="I95">
        <v>23363.307495754121</v>
      </c>
      <c r="J95">
        <v>43110.032722566553</v>
      </c>
      <c r="K95">
        <v>18673.389508674209</v>
      </c>
      <c r="L95">
        <v>23.97265094616289</v>
      </c>
      <c r="M95">
        <v>362463.27243797341</v>
      </c>
    </row>
    <row r="96" spans="1:13">
      <c r="A96">
        <v>2027</v>
      </c>
      <c r="B96" t="s">
        <v>72</v>
      </c>
      <c r="C96" t="s">
        <v>80</v>
      </c>
      <c r="D96" t="s">
        <v>85</v>
      </c>
      <c r="E96" t="s">
        <v>88</v>
      </c>
      <c r="F96" t="s">
        <v>89</v>
      </c>
      <c r="G96">
        <v>202687.37222295551</v>
      </c>
      <c r="H96">
        <v>1.8725160482593159</v>
      </c>
      <c r="I96">
        <v>23307.94964324584</v>
      </c>
      <c r="J96">
        <v>43004.231800781723</v>
      </c>
      <c r="K96">
        <v>18624.630496503651</v>
      </c>
      <c r="L96">
        <v>23.966610336001331</v>
      </c>
      <c r="M96">
        <v>362447.56172182318</v>
      </c>
    </row>
    <row r="97" spans="1:13">
      <c r="A97">
        <v>2027</v>
      </c>
      <c r="B97" t="s">
        <v>72</v>
      </c>
      <c r="C97" t="s">
        <v>90</v>
      </c>
      <c r="D97" t="s">
        <v>81</v>
      </c>
      <c r="E97" t="s">
        <v>82</v>
      </c>
      <c r="F97" t="s">
        <v>83</v>
      </c>
      <c r="G97">
        <v>137686.73457405469</v>
      </c>
      <c r="H97">
        <v>1.2718628361069559</v>
      </c>
      <c r="I97">
        <v>17044.969062062821</v>
      </c>
      <c r="J97">
        <v>31466.299045939191</v>
      </c>
      <c r="K97">
        <v>13719.91740709329</v>
      </c>
      <c r="L97">
        <v>17.859372611415768</v>
      </c>
      <c r="M97">
        <v>250104.35411068829</v>
      </c>
    </row>
    <row r="98" spans="1:13">
      <c r="A98">
        <v>2027</v>
      </c>
      <c r="B98" t="s">
        <v>72</v>
      </c>
      <c r="C98" t="s">
        <v>90</v>
      </c>
      <c r="D98" t="s">
        <v>81</v>
      </c>
      <c r="E98" t="s">
        <v>82</v>
      </c>
      <c r="F98" t="s">
        <v>84</v>
      </c>
      <c r="G98">
        <v>136639.4724223004</v>
      </c>
      <c r="H98">
        <v>1.262352626225155</v>
      </c>
      <c r="I98">
        <v>15551.02676530791</v>
      </c>
      <c r="J98">
        <v>28692.319658063501</v>
      </c>
      <c r="K98">
        <v>12413.289668916521</v>
      </c>
      <c r="L98">
        <v>15.89513995707383</v>
      </c>
      <c r="M98">
        <v>243644.6490505056</v>
      </c>
    </row>
    <row r="99" spans="1:13">
      <c r="A99">
        <v>2027</v>
      </c>
      <c r="B99" t="s">
        <v>72</v>
      </c>
      <c r="C99" t="s">
        <v>90</v>
      </c>
      <c r="D99" t="s">
        <v>85</v>
      </c>
      <c r="E99" t="s">
        <v>82</v>
      </c>
      <c r="F99" t="s">
        <v>86</v>
      </c>
      <c r="G99">
        <v>136355.83892286691</v>
      </c>
      <c r="H99">
        <v>1.259776944382168</v>
      </c>
      <c r="I99">
        <v>15146.417393270131</v>
      </c>
      <c r="J99">
        <v>27941.03357384718</v>
      </c>
      <c r="K99">
        <v>12059.411323160321</v>
      </c>
      <c r="L99">
        <v>15.363160279856221</v>
      </c>
      <c r="M99">
        <v>241895.14559670619</v>
      </c>
    </row>
    <row r="100" spans="1:13">
      <c r="A100">
        <v>2027</v>
      </c>
      <c r="B100" t="s">
        <v>72</v>
      </c>
      <c r="C100" t="s">
        <v>90</v>
      </c>
      <c r="D100" t="s">
        <v>85</v>
      </c>
      <c r="E100" t="s">
        <v>82</v>
      </c>
      <c r="F100" t="s">
        <v>87</v>
      </c>
      <c r="G100">
        <v>136355.83892286691</v>
      </c>
      <c r="H100">
        <v>1.259776944382168</v>
      </c>
      <c r="I100">
        <v>15146.417393270131</v>
      </c>
      <c r="J100">
        <v>27941.03357384718</v>
      </c>
      <c r="K100">
        <v>12059.411323160321</v>
      </c>
      <c r="L100">
        <v>15.363160279856221</v>
      </c>
      <c r="M100">
        <v>241895.14559670619</v>
      </c>
    </row>
    <row r="101" spans="1:13">
      <c r="A101">
        <v>2027</v>
      </c>
      <c r="B101" t="s">
        <v>72</v>
      </c>
      <c r="C101" t="s">
        <v>90</v>
      </c>
      <c r="D101" t="s">
        <v>85</v>
      </c>
      <c r="E101" t="s">
        <v>88</v>
      </c>
      <c r="F101" t="s">
        <v>89</v>
      </c>
      <c r="G101">
        <v>136312.55145059249</v>
      </c>
      <c r="H101">
        <v>1.2593874992034639</v>
      </c>
      <c r="I101">
        <v>15091.059540761849</v>
      </c>
      <c r="J101">
        <v>27835.232652062339</v>
      </c>
      <c r="K101">
        <v>12010.652310989761</v>
      </c>
      <c r="L101">
        <v>15.35711966969466</v>
      </c>
      <c r="M101">
        <v>241879.43488055599</v>
      </c>
    </row>
    <row r="102" spans="1:13">
      <c r="A102">
        <v>2027</v>
      </c>
      <c r="B102" t="s">
        <v>72</v>
      </c>
      <c r="C102" t="s">
        <v>91</v>
      </c>
      <c r="D102" t="s">
        <v>81</v>
      </c>
      <c r="E102" t="s">
        <v>82</v>
      </c>
      <c r="F102" t="s">
        <v>83</v>
      </c>
      <c r="G102">
        <v>198221.52606081881</v>
      </c>
      <c r="H102">
        <v>1.8310448939985891</v>
      </c>
      <c r="I102">
        <v>24538.89105289452</v>
      </c>
      <c r="J102">
        <v>45300.644507749763</v>
      </c>
      <c r="K102">
        <v>19751.960668365598</v>
      </c>
      <c r="L102">
        <v>25.71135196484434</v>
      </c>
      <c r="M102">
        <v>360064.22041777428</v>
      </c>
    </row>
    <row r="103" spans="1:13">
      <c r="A103">
        <v>2027</v>
      </c>
      <c r="B103" t="s">
        <v>72</v>
      </c>
      <c r="C103" t="s">
        <v>91</v>
      </c>
      <c r="D103" t="s">
        <v>81</v>
      </c>
      <c r="E103" t="s">
        <v>82</v>
      </c>
      <c r="F103" t="s">
        <v>84</v>
      </c>
      <c r="G103">
        <v>197174.26390906441</v>
      </c>
      <c r="H103">
        <v>1.821534684116787</v>
      </c>
      <c r="I103">
        <v>23044.948756139609</v>
      </c>
      <c r="J103">
        <v>42526.665119874073</v>
      </c>
      <c r="K103">
        <v>18445.332930188841</v>
      </c>
      <c r="L103">
        <v>23.747119310502399</v>
      </c>
      <c r="M103">
        <v>353604.51535759168</v>
      </c>
    </row>
    <row r="104" spans="1:13">
      <c r="A104">
        <v>2027</v>
      </c>
      <c r="B104" t="s">
        <v>72</v>
      </c>
      <c r="C104" t="s">
        <v>91</v>
      </c>
      <c r="D104" t="s">
        <v>85</v>
      </c>
      <c r="E104" t="s">
        <v>82</v>
      </c>
      <c r="F104" t="s">
        <v>86</v>
      </c>
      <c r="G104">
        <v>196890.63040963089</v>
      </c>
      <c r="H104">
        <v>1.8189590022738</v>
      </c>
      <c r="I104">
        <v>22640.33938410183</v>
      </c>
      <c r="J104">
        <v>41775.379035657737</v>
      </c>
      <c r="K104">
        <v>18091.454584432631</v>
      </c>
      <c r="L104">
        <v>23.215139633284789</v>
      </c>
      <c r="M104">
        <v>351855.01190379221</v>
      </c>
    </row>
    <row r="105" spans="1:13">
      <c r="A105">
        <v>2027</v>
      </c>
      <c r="B105" t="s">
        <v>72</v>
      </c>
      <c r="C105" t="s">
        <v>91</v>
      </c>
      <c r="D105" t="s">
        <v>85</v>
      </c>
      <c r="E105" t="s">
        <v>82</v>
      </c>
      <c r="F105" t="s">
        <v>87</v>
      </c>
      <c r="G105">
        <v>196890.63040963089</v>
      </c>
      <c r="H105">
        <v>1.8189590022738</v>
      </c>
      <c r="I105">
        <v>22640.33938410183</v>
      </c>
      <c r="J105">
        <v>41775.379035657737</v>
      </c>
      <c r="K105">
        <v>18091.454584432631</v>
      </c>
      <c r="L105">
        <v>23.215139633284789</v>
      </c>
      <c r="M105">
        <v>351855.01190379221</v>
      </c>
    </row>
    <row r="106" spans="1:13">
      <c r="A106">
        <v>2027</v>
      </c>
      <c r="B106" t="s">
        <v>72</v>
      </c>
      <c r="C106" t="s">
        <v>91</v>
      </c>
      <c r="D106" t="s">
        <v>85</v>
      </c>
      <c r="E106" t="s">
        <v>88</v>
      </c>
      <c r="F106" t="s">
        <v>89</v>
      </c>
      <c r="G106">
        <v>196847.3429373565</v>
      </c>
      <c r="H106">
        <v>1.818569557095097</v>
      </c>
      <c r="I106">
        <v>22584.981531593548</v>
      </c>
      <c r="J106">
        <v>41669.5781138729</v>
      </c>
      <c r="K106">
        <v>18042.69557226207</v>
      </c>
      <c r="L106">
        <v>23.20909902312323</v>
      </c>
      <c r="M106">
        <v>351839.30118764209</v>
      </c>
    </row>
    <row r="107" spans="1:13">
      <c r="A107">
        <v>2027</v>
      </c>
      <c r="B107" t="s">
        <v>73</v>
      </c>
      <c r="C107" t="s">
        <v>80</v>
      </c>
      <c r="D107" t="s">
        <v>81</v>
      </c>
      <c r="E107" t="s">
        <v>82</v>
      </c>
      <c r="F107" t="s">
        <v>83</v>
      </c>
      <c r="G107">
        <v>43598593.023575023</v>
      </c>
      <c r="H107">
        <v>50.62877255943873</v>
      </c>
      <c r="I107">
        <v>501996.21860369417</v>
      </c>
      <c r="J107">
        <v>832932.11873631342</v>
      </c>
      <c r="K107">
        <v>438510.63152311102</v>
      </c>
      <c r="L107">
        <v>647.22967081698152</v>
      </c>
      <c r="M107">
        <v>10354050.182397431</v>
      </c>
    </row>
    <row r="108" spans="1:13">
      <c r="A108">
        <v>2027</v>
      </c>
      <c r="B108" t="s">
        <v>73</v>
      </c>
      <c r="C108" t="s">
        <v>80</v>
      </c>
      <c r="D108" t="s">
        <v>81</v>
      </c>
      <c r="E108" t="s">
        <v>82</v>
      </c>
      <c r="F108" t="s">
        <v>84</v>
      </c>
      <c r="G108">
        <v>43392244.526465327</v>
      </c>
      <c r="H108">
        <v>44.873525275143876</v>
      </c>
      <c r="I108">
        <v>367703.80563135509</v>
      </c>
      <c r="J108">
        <v>625278.3990805574</v>
      </c>
      <c r="K108">
        <v>297237.34629961808</v>
      </c>
      <c r="L108">
        <v>394.94864612818458</v>
      </c>
      <c r="M108">
        <v>10094669.8166242</v>
      </c>
    </row>
    <row r="109" spans="1:13">
      <c r="A109">
        <v>2027</v>
      </c>
      <c r="B109" t="s">
        <v>73</v>
      </c>
      <c r="C109" t="s">
        <v>80</v>
      </c>
      <c r="D109" t="s">
        <v>85</v>
      </c>
      <c r="E109" t="s">
        <v>82</v>
      </c>
      <c r="F109" t="s">
        <v>86</v>
      </c>
      <c r="G109">
        <v>43352265.432439543</v>
      </c>
      <c r="H109">
        <v>43.758471976751757</v>
      </c>
      <c r="I109">
        <v>341685.25410143769</v>
      </c>
      <c r="J109">
        <v>585046.42405189236</v>
      </c>
      <c r="K109">
        <v>269866.28214169509</v>
      </c>
      <c r="L109">
        <v>346.07033129562689</v>
      </c>
      <c r="M109">
        <v>10044416.036359571</v>
      </c>
    </row>
    <row r="110" spans="1:13">
      <c r="A110">
        <v>2027</v>
      </c>
      <c r="B110" t="s">
        <v>73</v>
      </c>
      <c r="C110" t="s">
        <v>80</v>
      </c>
      <c r="D110" t="s">
        <v>85</v>
      </c>
      <c r="E110" t="s">
        <v>82</v>
      </c>
      <c r="F110" t="s">
        <v>87</v>
      </c>
      <c r="G110">
        <v>43352265.432439543</v>
      </c>
      <c r="H110">
        <v>43.758471976751757</v>
      </c>
      <c r="I110">
        <v>341685.25410143769</v>
      </c>
      <c r="J110">
        <v>585046.42405189236</v>
      </c>
      <c r="K110">
        <v>269866.28214169509</v>
      </c>
      <c r="L110">
        <v>346.07033129562689</v>
      </c>
      <c r="M110">
        <v>10044416.036359571</v>
      </c>
    </row>
    <row r="111" spans="1:13">
      <c r="A111">
        <v>2027</v>
      </c>
      <c r="B111" t="s">
        <v>73</v>
      </c>
      <c r="C111" t="s">
        <v>80</v>
      </c>
      <c r="D111" t="s">
        <v>85</v>
      </c>
      <c r="E111" t="s">
        <v>88</v>
      </c>
      <c r="F111" t="s">
        <v>89</v>
      </c>
      <c r="G111">
        <v>42445936.260097533</v>
      </c>
      <c r="H111">
        <v>39.829159149164738</v>
      </c>
      <c r="I111">
        <v>317955.22944793722</v>
      </c>
      <c r="J111">
        <v>542041.10963333386</v>
      </c>
      <c r="K111">
        <v>249715.16143219959</v>
      </c>
      <c r="L111">
        <v>322.39560741713609</v>
      </c>
      <c r="M111">
        <v>10096015.99759341</v>
      </c>
    </row>
    <row r="112" spans="1:13">
      <c r="A112">
        <v>2027</v>
      </c>
      <c r="B112" t="s">
        <v>73</v>
      </c>
      <c r="C112" t="s">
        <v>90</v>
      </c>
      <c r="D112" t="s">
        <v>81</v>
      </c>
      <c r="E112" t="s">
        <v>82</v>
      </c>
      <c r="F112" t="s">
        <v>83</v>
      </c>
      <c r="G112">
        <v>42962974.451019727</v>
      </c>
      <c r="H112">
        <v>49.890661856484257</v>
      </c>
      <c r="I112">
        <v>494677.67693138612</v>
      </c>
      <c r="J112">
        <v>820788.90292060224</v>
      </c>
      <c r="K112">
        <v>432117.63848527783</v>
      </c>
      <c r="L112">
        <v>637.79378835036903</v>
      </c>
      <c r="M112">
        <v>10203099.747057861</v>
      </c>
    </row>
    <row r="113" spans="1:13">
      <c r="A113">
        <v>2027</v>
      </c>
      <c r="B113" t="s">
        <v>73</v>
      </c>
      <c r="C113" t="s">
        <v>90</v>
      </c>
      <c r="D113" t="s">
        <v>81</v>
      </c>
      <c r="E113" t="s">
        <v>82</v>
      </c>
      <c r="F113" t="s">
        <v>84</v>
      </c>
      <c r="G113">
        <v>42756625.95391003</v>
      </c>
      <c r="H113">
        <v>44.135414572189397</v>
      </c>
      <c r="I113">
        <v>360385.26395904698</v>
      </c>
      <c r="J113">
        <v>613135.18326484633</v>
      </c>
      <c r="K113">
        <v>290844.35326178488</v>
      </c>
      <c r="L113">
        <v>385.51276366157219</v>
      </c>
      <c r="M113">
        <v>9943719.3812846337</v>
      </c>
    </row>
    <row r="114" spans="1:13">
      <c r="A114">
        <v>2027</v>
      </c>
      <c r="B114" t="s">
        <v>73</v>
      </c>
      <c r="C114" t="s">
        <v>90</v>
      </c>
      <c r="D114" t="s">
        <v>85</v>
      </c>
      <c r="E114" t="s">
        <v>82</v>
      </c>
      <c r="F114" t="s">
        <v>86</v>
      </c>
      <c r="G114">
        <v>42716646.859884247</v>
      </c>
      <c r="H114">
        <v>43.020361273797292</v>
      </c>
      <c r="I114">
        <v>334366.71242912958</v>
      </c>
      <c r="J114">
        <v>572903.20823618118</v>
      </c>
      <c r="K114">
        <v>263473.28910386201</v>
      </c>
      <c r="L114">
        <v>336.6344488290145</v>
      </c>
      <c r="M114">
        <v>9893465.6010200009</v>
      </c>
    </row>
    <row r="115" spans="1:13">
      <c r="A115">
        <v>2027</v>
      </c>
      <c r="B115" t="s">
        <v>73</v>
      </c>
      <c r="C115" t="s">
        <v>90</v>
      </c>
      <c r="D115" t="s">
        <v>85</v>
      </c>
      <c r="E115" t="s">
        <v>82</v>
      </c>
      <c r="F115" t="s">
        <v>87</v>
      </c>
      <c r="G115">
        <v>42716646.859884247</v>
      </c>
      <c r="H115">
        <v>43.020361273797292</v>
      </c>
      <c r="I115">
        <v>334366.71242912958</v>
      </c>
      <c r="J115">
        <v>572903.20823618118</v>
      </c>
      <c r="K115">
        <v>263473.28910386201</v>
      </c>
      <c r="L115">
        <v>336.6344488290145</v>
      </c>
      <c r="M115">
        <v>9893465.6010200009</v>
      </c>
    </row>
    <row r="116" spans="1:13">
      <c r="A116">
        <v>2027</v>
      </c>
      <c r="B116" t="s">
        <v>73</v>
      </c>
      <c r="C116" t="s">
        <v>90</v>
      </c>
      <c r="D116" t="s">
        <v>85</v>
      </c>
      <c r="E116" t="s">
        <v>88</v>
      </c>
      <c r="F116" t="s">
        <v>89</v>
      </c>
      <c r="G116">
        <v>41810317.687542237</v>
      </c>
      <c r="H116">
        <v>39.091048446210259</v>
      </c>
      <c r="I116">
        <v>310636.68777562911</v>
      </c>
      <c r="J116">
        <v>529897.89381762268</v>
      </c>
      <c r="K116">
        <v>243322.1683943664</v>
      </c>
      <c r="L116">
        <v>312.95972495052371</v>
      </c>
      <c r="M116">
        <v>9945065.5622538384</v>
      </c>
    </row>
    <row r="117" spans="1:13">
      <c r="A117">
        <v>2027</v>
      </c>
      <c r="B117" t="s">
        <v>73</v>
      </c>
      <c r="C117" t="s">
        <v>91</v>
      </c>
      <c r="D117" t="s">
        <v>81</v>
      </c>
      <c r="E117" t="s">
        <v>82</v>
      </c>
      <c r="F117" t="s">
        <v>83</v>
      </c>
      <c r="G117">
        <v>42950005.123876467</v>
      </c>
      <c r="H117">
        <v>49.875601253179241</v>
      </c>
      <c r="I117">
        <v>494528.34749820398</v>
      </c>
      <c r="J117">
        <v>820541.12957777502</v>
      </c>
      <c r="K117">
        <v>431987.19418784499</v>
      </c>
      <c r="L117">
        <v>637.60125614335254</v>
      </c>
      <c r="M117">
        <v>10200019.71500268</v>
      </c>
    </row>
    <row r="118" spans="1:13">
      <c r="A118">
        <v>2027</v>
      </c>
      <c r="B118" t="s">
        <v>73</v>
      </c>
      <c r="C118" t="s">
        <v>91</v>
      </c>
      <c r="D118" t="s">
        <v>81</v>
      </c>
      <c r="E118" t="s">
        <v>82</v>
      </c>
      <c r="F118" t="s">
        <v>84</v>
      </c>
      <c r="G118">
        <v>42743656.626766779</v>
      </c>
      <c r="H118">
        <v>44.120353968884388</v>
      </c>
      <c r="I118">
        <v>360235.93452586501</v>
      </c>
      <c r="J118">
        <v>612887.409922019</v>
      </c>
      <c r="K118">
        <v>290713.9089643521</v>
      </c>
      <c r="L118">
        <v>385.3202314545556</v>
      </c>
      <c r="M118">
        <v>9940639.3492294587</v>
      </c>
    </row>
    <row r="119" spans="1:13">
      <c r="A119">
        <v>2027</v>
      </c>
      <c r="B119" t="s">
        <v>73</v>
      </c>
      <c r="C119" t="s">
        <v>91</v>
      </c>
      <c r="D119" t="s">
        <v>85</v>
      </c>
      <c r="E119" t="s">
        <v>82</v>
      </c>
      <c r="F119" t="s">
        <v>86</v>
      </c>
      <c r="G119">
        <v>42703677.532741003</v>
      </c>
      <c r="H119">
        <v>43.005300670492282</v>
      </c>
      <c r="I119">
        <v>334217.38299594761</v>
      </c>
      <c r="J119">
        <v>572655.43489335408</v>
      </c>
      <c r="K119">
        <v>263342.84480642917</v>
      </c>
      <c r="L119">
        <v>336.44191662199802</v>
      </c>
      <c r="M119">
        <v>9890385.5689648241</v>
      </c>
    </row>
    <row r="120" spans="1:13">
      <c r="A120">
        <v>2027</v>
      </c>
      <c r="B120" t="s">
        <v>73</v>
      </c>
      <c r="C120" t="s">
        <v>91</v>
      </c>
      <c r="D120" t="s">
        <v>85</v>
      </c>
      <c r="E120" t="s">
        <v>82</v>
      </c>
      <c r="F120" t="s">
        <v>87</v>
      </c>
      <c r="G120">
        <v>42703677.532741003</v>
      </c>
      <c r="H120">
        <v>43.005300670492282</v>
      </c>
      <c r="I120">
        <v>334217.38299594761</v>
      </c>
      <c r="J120">
        <v>572655.43489335408</v>
      </c>
      <c r="K120">
        <v>263342.84480642917</v>
      </c>
      <c r="L120">
        <v>336.44191662199802</v>
      </c>
      <c r="M120">
        <v>9890385.5689648241</v>
      </c>
    </row>
    <row r="121" spans="1:13">
      <c r="A121">
        <v>2027</v>
      </c>
      <c r="B121" t="s">
        <v>73</v>
      </c>
      <c r="C121" t="s">
        <v>91</v>
      </c>
      <c r="D121" t="s">
        <v>85</v>
      </c>
      <c r="E121" t="s">
        <v>88</v>
      </c>
      <c r="F121" t="s">
        <v>89</v>
      </c>
      <c r="G121">
        <v>41797348.360398993</v>
      </c>
      <c r="H121">
        <v>39.075987842905249</v>
      </c>
      <c r="I121">
        <v>310487.35834244703</v>
      </c>
      <c r="J121">
        <v>529650.12047479558</v>
      </c>
      <c r="K121">
        <v>243191.72409693361</v>
      </c>
      <c r="L121">
        <v>312.76719274350722</v>
      </c>
      <c r="M121">
        <v>9941985.5301986635</v>
      </c>
    </row>
    <row r="122" spans="1:13">
      <c r="A122">
        <v>2027</v>
      </c>
      <c r="B122" t="s">
        <v>74</v>
      </c>
      <c r="C122" t="s">
        <v>80</v>
      </c>
      <c r="D122" t="s">
        <v>81</v>
      </c>
      <c r="E122" t="s">
        <v>82</v>
      </c>
      <c r="F122" t="s">
        <v>83</v>
      </c>
      <c r="G122">
        <v>171048.0809298316</v>
      </c>
      <c r="H122">
        <v>1.6251645596880531</v>
      </c>
      <c r="I122">
        <v>96969.059631531432</v>
      </c>
      <c r="J122">
        <v>216306.7615404414</v>
      </c>
      <c r="K122">
        <v>79410.66436388396</v>
      </c>
      <c r="L122">
        <v>2932367.3151438972</v>
      </c>
      <c r="M122">
        <v>1076532.3977677841</v>
      </c>
    </row>
    <row r="123" spans="1:13">
      <c r="A123">
        <v>2027</v>
      </c>
      <c r="B123" t="s">
        <v>74</v>
      </c>
      <c r="C123" t="s">
        <v>80</v>
      </c>
      <c r="D123" t="s">
        <v>81</v>
      </c>
      <c r="E123" t="s">
        <v>82</v>
      </c>
      <c r="F123" t="s">
        <v>84</v>
      </c>
      <c r="G123">
        <v>150225.55442981541</v>
      </c>
      <c r="H123">
        <v>1.4357504146184681</v>
      </c>
      <c r="I123">
        <v>17887.353396010021</v>
      </c>
      <c r="J123">
        <v>32333.65161262609</v>
      </c>
      <c r="K123">
        <v>10486.27525734562</v>
      </c>
      <c r="L123">
        <v>438331.85099203553</v>
      </c>
      <c r="M123">
        <v>142157.4184887115</v>
      </c>
    </row>
    <row r="124" spans="1:13">
      <c r="A124">
        <v>2027</v>
      </c>
      <c r="B124" t="s">
        <v>74</v>
      </c>
      <c r="C124" t="s">
        <v>80</v>
      </c>
      <c r="D124" t="s">
        <v>85</v>
      </c>
      <c r="E124" t="s">
        <v>82</v>
      </c>
      <c r="F124" t="s">
        <v>86</v>
      </c>
      <c r="G124">
        <v>150225.55442981541</v>
      </c>
      <c r="H124">
        <v>1.4357504146184681</v>
      </c>
      <c r="I124">
        <v>17887.353396010021</v>
      </c>
      <c r="J124">
        <v>32333.65161262609</v>
      </c>
      <c r="K124">
        <v>10486.27525734562</v>
      </c>
      <c r="L124">
        <v>438331.85099203553</v>
      </c>
      <c r="M124">
        <v>142157.4184887115</v>
      </c>
    </row>
    <row r="125" spans="1:13">
      <c r="A125">
        <v>2027</v>
      </c>
      <c r="B125" t="s">
        <v>74</v>
      </c>
      <c r="C125" t="s">
        <v>80</v>
      </c>
      <c r="D125" t="s">
        <v>85</v>
      </c>
      <c r="E125" t="s">
        <v>82</v>
      </c>
      <c r="F125" t="s">
        <v>87</v>
      </c>
      <c r="G125">
        <v>150225.55442981541</v>
      </c>
      <c r="H125">
        <v>1.4357504146184681</v>
      </c>
      <c r="I125">
        <v>17887.353396010021</v>
      </c>
      <c r="J125">
        <v>32333.65161262609</v>
      </c>
      <c r="K125">
        <v>10486.27525734562</v>
      </c>
      <c r="L125">
        <v>438331.85099203553</v>
      </c>
      <c r="M125">
        <v>142157.4184887115</v>
      </c>
    </row>
    <row r="126" spans="1:13">
      <c r="A126">
        <v>2027</v>
      </c>
      <c r="B126" t="s">
        <v>74</v>
      </c>
      <c r="C126" t="s">
        <v>80</v>
      </c>
      <c r="D126" t="s">
        <v>85</v>
      </c>
      <c r="E126" t="s">
        <v>88</v>
      </c>
      <c r="F126" t="s">
        <v>89</v>
      </c>
      <c r="G126">
        <v>150225.55442981541</v>
      </c>
      <c r="H126">
        <v>1.4357504146184681</v>
      </c>
      <c r="I126">
        <v>17887.353396010021</v>
      </c>
      <c r="J126">
        <v>32333.65161262609</v>
      </c>
      <c r="K126">
        <v>10486.27525734562</v>
      </c>
      <c r="L126">
        <v>438331.85099203553</v>
      </c>
      <c r="M126">
        <v>142157.4184887115</v>
      </c>
    </row>
    <row r="127" spans="1:13">
      <c r="A127">
        <v>2027</v>
      </c>
      <c r="B127" t="s">
        <v>74</v>
      </c>
      <c r="C127" t="s">
        <v>90</v>
      </c>
      <c r="D127" t="s">
        <v>81</v>
      </c>
      <c r="E127" t="s">
        <v>82</v>
      </c>
      <c r="F127" t="s">
        <v>83</v>
      </c>
      <c r="G127">
        <v>121918.1878041497</v>
      </c>
      <c r="H127">
        <v>1.1583708915271449</v>
      </c>
      <c r="I127">
        <v>69116.776751202822</v>
      </c>
      <c r="J127">
        <v>154177.2829805284</v>
      </c>
      <c r="K127">
        <v>56601.653984881319</v>
      </c>
      <c r="L127">
        <v>2090107.688405598</v>
      </c>
      <c r="M127">
        <v>767321.55271678243</v>
      </c>
    </row>
    <row r="128" spans="1:13">
      <c r="A128">
        <v>2027</v>
      </c>
      <c r="B128" t="s">
        <v>74</v>
      </c>
      <c r="C128" t="s">
        <v>90</v>
      </c>
      <c r="D128" t="s">
        <v>81</v>
      </c>
      <c r="E128" t="s">
        <v>82</v>
      </c>
      <c r="F128" t="s">
        <v>84</v>
      </c>
      <c r="G128">
        <v>107076.4855027525</v>
      </c>
      <c r="H128">
        <v>1.023361897647644</v>
      </c>
      <c r="I128">
        <v>12749.594726809961</v>
      </c>
      <c r="J128">
        <v>23046.50358117279</v>
      </c>
      <c r="K128">
        <v>7474.3175675588718</v>
      </c>
      <c r="L128">
        <v>312430.42680911632</v>
      </c>
      <c r="M128">
        <v>101325.7485897764</v>
      </c>
    </row>
    <row r="129" spans="1:13">
      <c r="A129">
        <v>2027</v>
      </c>
      <c r="B129" t="s">
        <v>74</v>
      </c>
      <c r="C129" t="s">
        <v>90</v>
      </c>
      <c r="D129" t="s">
        <v>85</v>
      </c>
      <c r="E129" t="s">
        <v>82</v>
      </c>
      <c r="F129" t="s">
        <v>86</v>
      </c>
      <c r="G129">
        <v>107076.4855027525</v>
      </c>
      <c r="H129">
        <v>1.023361897647644</v>
      </c>
      <c r="I129">
        <v>12749.594726809961</v>
      </c>
      <c r="J129">
        <v>23046.50358117279</v>
      </c>
      <c r="K129">
        <v>7474.3175675588718</v>
      </c>
      <c r="L129">
        <v>312430.42680911632</v>
      </c>
      <c r="M129">
        <v>101325.7485897764</v>
      </c>
    </row>
    <row r="130" spans="1:13">
      <c r="A130">
        <v>2027</v>
      </c>
      <c r="B130" t="s">
        <v>74</v>
      </c>
      <c r="C130" t="s">
        <v>90</v>
      </c>
      <c r="D130" t="s">
        <v>85</v>
      </c>
      <c r="E130" t="s">
        <v>82</v>
      </c>
      <c r="F130" t="s">
        <v>87</v>
      </c>
      <c r="G130">
        <v>107076.4855027525</v>
      </c>
      <c r="H130">
        <v>1.023361897647644</v>
      </c>
      <c r="I130">
        <v>12749.594726809961</v>
      </c>
      <c r="J130">
        <v>23046.50358117279</v>
      </c>
      <c r="K130">
        <v>7474.3175675588718</v>
      </c>
      <c r="L130">
        <v>312430.42680911632</v>
      </c>
      <c r="M130">
        <v>101325.7485897764</v>
      </c>
    </row>
    <row r="131" spans="1:13">
      <c r="A131">
        <v>2027</v>
      </c>
      <c r="B131" t="s">
        <v>74</v>
      </c>
      <c r="C131" t="s">
        <v>90</v>
      </c>
      <c r="D131" t="s">
        <v>85</v>
      </c>
      <c r="E131" t="s">
        <v>88</v>
      </c>
      <c r="F131" t="s">
        <v>89</v>
      </c>
      <c r="G131">
        <v>107076.4855027525</v>
      </c>
      <c r="H131">
        <v>1.023361897647644</v>
      </c>
      <c r="I131">
        <v>12749.594726809961</v>
      </c>
      <c r="J131">
        <v>23046.50358117279</v>
      </c>
      <c r="K131">
        <v>7474.3175675588718</v>
      </c>
      <c r="L131">
        <v>312430.42680911632</v>
      </c>
      <c r="M131">
        <v>101325.7485897764</v>
      </c>
    </row>
    <row r="132" spans="1:13">
      <c r="A132">
        <v>2027</v>
      </c>
      <c r="B132" t="s">
        <v>74</v>
      </c>
      <c r="C132" t="s">
        <v>91</v>
      </c>
      <c r="D132" t="s">
        <v>81</v>
      </c>
      <c r="E132" t="s">
        <v>82</v>
      </c>
      <c r="F132" t="s">
        <v>83</v>
      </c>
      <c r="G132">
        <v>164922.75634577751</v>
      </c>
      <c r="H132">
        <v>1.5669665350362929</v>
      </c>
      <c r="I132">
        <v>93496.544993397139</v>
      </c>
      <c r="J132">
        <v>208560.69904761339</v>
      </c>
      <c r="K132">
        <v>76566.925386983639</v>
      </c>
      <c r="L132">
        <v>2827357.6505672112</v>
      </c>
      <c r="M132">
        <v>1037981.188507022</v>
      </c>
    </row>
    <row r="133" spans="1:13">
      <c r="A133">
        <v>2027</v>
      </c>
      <c r="B133" t="s">
        <v>74</v>
      </c>
      <c r="C133" t="s">
        <v>91</v>
      </c>
      <c r="D133" t="s">
        <v>81</v>
      </c>
      <c r="E133" t="s">
        <v>82</v>
      </c>
      <c r="F133" t="s">
        <v>84</v>
      </c>
      <c r="G133">
        <v>144845.89581745371</v>
      </c>
      <c r="H133">
        <v>1.384335413272525</v>
      </c>
      <c r="I133">
        <v>17246.797565715791</v>
      </c>
      <c r="J133">
        <v>31175.766005033081</v>
      </c>
      <c r="K133">
        <v>10110.756050817219</v>
      </c>
      <c r="L133">
        <v>422634.94958127459</v>
      </c>
      <c r="M133">
        <v>137066.6842019482</v>
      </c>
    </row>
    <row r="134" spans="1:13">
      <c r="A134">
        <v>2027</v>
      </c>
      <c r="B134" t="s">
        <v>74</v>
      </c>
      <c r="C134" t="s">
        <v>91</v>
      </c>
      <c r="D134" t="s">
        <v>85</v>
      </c>
      <c r="E134" t="s">
        <v>82</v>
      </c>
      <c r="F134" t="s">
        <v>86</v>
      </c>
      <c r="G134">
        <v>144845.89581745371</v>
      </c>
      <c r="H134">
        <v>1.384335413272525</v>
      </c>
      <c r="I134">
        <v>17246.797565715791</v>
      </c>
      <c r="J134">
        <v>31175.766005033081</v>
      </c>
      <c r="K134">
        <v>10110.756050817219</v>
      </c>
      <c r="L134">
        <v>422634.94958127459</v>
      </c>
      <c r="M134">
        <v>137066.6842019482</v>
      </c>
    </row>
    <row r="135" spans="1:13">
      <c r="A135">
        <v>2027</v>
      </c>
      <c r="B135" t="s">
        <v>74</v>
      </c>
      <c r="C135" t="s">
        <v>91</v>
      </c>
      <c r="D135" t="s">
        <v>85</v>
      </c>
      <c r="E135" t="s">
        <v>82</v>
      </c>
      <c r="F135" t="s">
        <v>87</v>
      </c>
      <c r="G135">
        <v>144845.89581745371</v>
      </c>
      <c r="H135">
        <v>1.384335413272525</v>
      </c>
      <c r="I135">
        <v>17246.797565715791</v>
      </c>
      <c r="J135">
        <v>31175.766005033081</v>
      </c>
      <c r="K135">
        <v>10110.756050817219</v>
      </c>
      <c r="L135">
        <v>422634.94958127459</v>
      </c>
      <c r="M135">
        <v>137066.6842019482</v>
      </c>
    </row>
    <row r="136" spans="1:13">
      <c r="A136">
        <v>2027</v>
      </c>
      <c r="B136" t="s">
        <v>74</v>
      </c>
      <c r="C136" t="s">
        <v>91</v>
      </c>
      <c r="D136" t="s">
        <v>85</v>
      </c>
      <c r="E136" t="s">
        <v>88</v>
      </c>
      <c r="F136" t="s">
        <v>89</v>
      </c>
      <c r="G136">
        <v>144845.89581745371</v>
      </c>
      <c r="H136">
        <v>1.384335413272525</v>
      </c>
      <c r="I136">
        <v>17246.797565715791</v>
      </c>
      <c r="J136">
        <v>31175.766005033081</v>
      </c>
      <c r="K136">
        <v>10110.756050817219</v>
      </c>
      <c r="L136">
        <v>422634.94958127459</v>
      </c>
      <c r="M136">
        <v>137066.6842019482</v>
      </c>
    </row>
    <row r="137" spans="1:13">
      <c r="A137">
        <v>2028</v>
      </c>
      <c r="B137" t="s">
        <v>72</v>
      </c>
      <c r="C137" t="s">
        <v>80</v>
      </c>
      <c r="D137" t="s">
        <v>81</v>
      </c>
      <c r="E137" t="s">
        <v>82</v>
      </c>
      <c r="F137" t="s">
        <v>83</v>
      </c>
      <c r="G137">
        <v>299742.72633264773</v>
      </c>
      <c r="H137">
        <v>2.768833433338687</v>
      </c>
      <c r="I137">
        <v>37106.737353629447</v>
      </c>
      <c r="J137">
        <v>68501.83710730185</v>
      </c>
      <c r="K137">
        <v>29868.13117024731</v>
      </c>
      <c r="L137">
        <v>38.879686221748223</v>
      </c>
      <c r="M137">
        <v>544474.82686491264</v>
      </c>
    </row>
    <row r="138" spans="1:13">
      <c r="A138">
        <v>2028</v>
      </c>
      <c r="B138" t="s">
        <v>72</v>
      </c>
      <c r="C138" t="s">
        <v>80</v>
      </c>
      <c r="D138" t="s">
        <v>81</v>
      </c>
      <c r="E138" t="s">
        <v>82</v>
      </c>
      <c r="F138" t="s">
        <v>84</v>
      </c>
      <c r="G138">
        <v>298695.46418089332</v>
      </c>
      <c r="H138">
        <v>2.7593232234568861</v>
      </c>
      <c r="I138">
        <v>35612.795056874536</v>
      </c>
      <c r="J138">
        <v>65727.85771942616</v>
      </c>
      <c r="K138">
        <v>28561.503432070549</v>
      </c>
      <c r="L138">
        <v>36.915453567406267</v>
      </c>
      <c r="M138">
        <v>538015.12180472992</v>
      </c>
    </row>
    <row r="139" spans="1:13">
      <c r="A139">
        <v>2028</v>
      </c>
      <c r="B139" t="s">
        <v>72</v>
      </c>
      <c r="C139" t="s">
        <v>80</v>
      </c>
      <c r="D139" t="s">
        <v>85</v>
      </c>
      <c r="E139" t="s">
        <v>82</v>
      </c>
      <c r="F139" t="s">
        <v>86</v>
      </c>
      <c r="G139">
        <v>297924.56287474092</v>
      </c>
      <c r="H139">
        <v>2.7523226522938939</v>
      </c>
      <c r="I139">
        <v>34513.087532874422</v>
      </c>
      <c r="J139">
        <v>63685.900670017669</v>
      </c>
      <c r="K139">
        <v>27599.680235912649</v>
      </c>
      <c r="L139">
        <v>35.469560085737903</v>
      </c>
      <c r="M139">
        <v>533260.06113542896</v>
      </c>
    </row>
    <row r="140" spans="1:13">
      <c r="A140">
        <v>2028</v>
      </c>
      <c r="B140" t="s">
        <v>72</v>
      </c>
      <c r="C140" t="s">
        <v>80</v>
      </c>
      <c r="D140" t="s">
        <v>85</v>
      </c>
      <c r="E140" t="s">
        <v>82</v>
      </c>
      <c r="F140" t="s">
        <v>87</v>
      </c>
      <c r="G140">
        <v>297924.56287474092</v>
      </c>
      <c r="H140">
        <v>2.7523226522938939</v>
      </c>
      <c r="I140">
        <v>34513.087532874422</v>
      </c>
      <c r="J140">
        <v>63685.900670017669</v>
      </c>
      <c r="K140">
        <v>27599.680235912649</v>
      </c>
      <c r="L140">
        <v>35.469560085737903</v>
      </c>
      <c r="M140">
        <v>533260.06113542896</v>
      </c>
    </row>
    <row r="141" spans="1:13">
      <c r="A141">
        <v>2028</v>
      </c>
      <c r="B141" t="s">
        <v>72</v>
      </c>
      <c r="C141" t="s">
        <v>80</v>
      </c>
      <c r="D141" t="s">
        <v>85</v>
      </c>
      <c r="E141" t="s">
        <v>88</v>
      </c>
      <c r="F141" t="s">
        <v>89</v>
      </c>
      <c r="G141">
        <v>297865.42698365549</v>
      </c>
      <c r="H141">
        <v>2.7517906233612388</v>
      </c>
      <c r="I141">
        <v>34437.462051305723</v>
      </c>
      <c r="J141">
        <v>63541.363891623078</v>
      </c>
      <c r="K141">
        <v>27533.069563548499</v>
      </c>
      <c r="L141">
        <v>35.461307886063629</v>
      </c>
      <c r="M141">
        <v>533238.59840844781</v>
      </c>
    </row>
    <row r="142" spans="1:13">
      <c r="A142">
        <v>2028</v>
      </c>
      <c r="B142" t="s">
        <v>72</v>
      </c>
      <c r="C142" t="s">
        <v>90</v>
      </c>
      <c r="D142" t="s">
        <v>81</v>
      </c>
      <c r="E142" t="s">
        <v>82</v>
      </c>
      <c r="F142" t="s">
        <v>83</v>
      </c>
      <c r="G142">
        <v>175529.65706258471</v>
      </c>
      <c r="H142">
        <v>1.621431782394591</v>
      </c>
      <c r="I142">
        <v>21729.74457824085</v>
      </c>
      <c r="J142">
        <v>40114.748146574399</v>
      </c>
      <c r="K142">
        <v>17490.809153432241</v>
      </c>
      <c r="L142">
        <v>22.767985307608921</v>
      </c>
      <c r="M142">
        <v>318845.03356637002</v>
      </c>
    </row>
    <row r="143" spans="1:13">
      <c r="A143">
        <v>2028</v>
      </c>
      <c r="B143" t="s">
        <v>72</v>
      </c>
      <c r="C143" t="s">
        <v>90</v>
      </c>
      <c r="D143" t="s">
        <v>81</v>
      </c>
      <c r="E143" t="s">
        <v>82</v>
      </c>
      <c r="F143" t="s">
        <v>84</v>
      </c>
      <c r="G143">
        <v>174482.39491083039</v>
      </c>
      <c r="H143">
        <v>1.6119215725127889</v>
      </c>
      <c r="I143">
        <v>20235.802281485951</v>
      </c>
      <c r="J143">
        <v>37340.768758698709</v>
      </c>
      <c r="K143">
        <v>16184.181415255471</v>
      </c>
      <c r="L143">
        <v>20.803752653266979</v>
      </c>
      <c r="M143">
        <v>312385.32850618742</v>
      </c>
    </row>
    <row r="144" spans="1:13">
      <c r="A144">
        <v>2028</v>
      </c>
      <c r="B144" t="s">
        <v>72</v>
      </c>
      <c r="C144" t="s">
        <v>90</v>
      </c>
      <c r="D144" t="s">
        <v>85</v>
      </c>
      <c r="E144" t="s">
        <v>82</v>
      </c>
      <c r="F144" t="s">
        <v>86</v>
      </c>
      <c r="G144">
        <v>173711.4936046779</v>
      </c>
      <c r="H144">
        <v>1.604921001349797</v>
      </c>
      <c r="I144">
        <v>19136.094757485811</v>
      </c>
      <c r="J144">
        <v>35298.811709290218</v>
      </c>
      <c r="K144">
        <v>15222.358219097579</v>
      </c>
      <c r="L144">
        <v>19.357859171598609</v>
      </c>
      <c r="M144">
        <v>307630.26783688623</v>
      </c>
    </row>
    <row r="145" spans="1:13">
      <c r="A145">
        <v>2028</v>
      </c>
      <c r="B145" t="s">
        <v>72</v>
      </c>
      <c r="C145" t="s">
        <v>90</v>
      </c>
      <c r="D145" t="s">
        <v>85</v>
      </c>
      <c r="E145" t="s">
        <v>82</v>
      </c>
      <c r="F145" t="s">
        <v>87</v>
      </c>
      <c r="G145">
        <v>173711.4936046779</v>
      </c>
      <c r="H145">
        <v>1.604921001349797</v>
      </c>
      <c r="I145">
        <v>19136.094757485811</v>
      </c>
      <c r="J145">
        <v>35298.811709290218</v>
      </c>
      <c r="K145">
        <v>15222.358219097579</v>
      </c>
      <c r="L145">
        <v>19.357859171598609</v>
      </c>
      <c r="M145">
        <v>307630.26783688623</v>
      </c>
    </row>
    <row r="146" spans="1:13">
      <c r="A146">
        <v>2028</v>
      </c>
      <c r="B146" t="s">
        <v>72</v>
      </c>
      <c r="C146" t="s">
        <v>90</v>
      </c>
      <c r="D146" t="s">
        <v>85</v>
      </c>
      <c r="E146" t="s">
        <v>88</v>
      </c>
      <c r="F146" t="s">
        <v>89</v>
      </c>
      <c r="G146">
        <v>173652.35771359259</v>
      </c>
      <c r="H146">
        <v>1.6043889724171421</v>
      </c>
      <c r="I146">
        <v>19060.469275917119</v>
      </c>
      <c r="J146">
        <v>35154.274930895634</v>
      </c>
      <c r="K146">
        <v>15155.747546733421</v>
      </c>
      <c r="L146">
        <v>19.349606971924349</v>
      </c>
      <c r="M146">
        <v>307608.8051099052</v>
      </c>
    </row>
    <row r="147" spans="1:13">
      <c r="A147">
        <v>2028</v>
      </c>
      <c r="B147" t="s">
        <v>72</v>
      </c>
      <c r="C147" t="s">
        <v>91</v>
      </c>
      <c r="D147" t="s">
        <v>81</v>
      </c>
      <c r="E147" t="s">
        <v>82</v>
      </c>
      <c r="F147" t="s">
        <v>83</v>
      </c>
      <c r="G147">
        <v>288843.01417429541</v>
      </c>
      <c r="H147">
        <v>2.6681487968603981</v>
      </c>
      <c r="I147">
        <v>35757.404339819172</v>
      </c>
      <c r="J147">
        <v>66010.866547571524</v>
      </c>
      <c r="K147">
        <v>28782.01963570981</v>
      </c>
      <c r="L147">
        <v>37.465882478087671</v>
      </c>
      <c r="M147">
        <v>524675.78465659509</v>
      </c>
    </row>
    <row r="148" spans="1:13">
      <c r="A148">
        <v>2028</v>
      </c>
      <c r="B148" t="s">
        <v>72</v>
      </c>
      <c r="C148" t="s">
        <v>91</v>
      </c>
      <c r="D148" t="s">
        <v>81</v>
      </c>
      <c r="E148" t="s">
        <v>82</v>
      </c>
      <c r="F148" t="s">
        <v>84</v>
      </c>
      <c r="G148">
        <v>287795.75202254101</v>
      </c>
      <c r="H148">
        <v>2.6586385869785958</v>
      </c>
      <c r="I148">
        <v>34263.462043064268</v>
      </c>
      <c r="J148">
        <v>63236.887159695827</v>
      </c>
      <c r="K148">
        <v>27475.391897533042</v>
      </c>
      <c r="L148">
        <v>35.501649823745737</v>
      </c>
      <c r="M148">
        <v>518216.07959641243</v>
      </c>
    </row>
    <row r="149" spans="1:13">
      <c r="A149">
        <v>2028</v>
      </c>
      <c r="B149" t="s">
        <v>72</v>
      </c>
      <c r="C149" t="s">
        <v>91</v>
      </c>
      <c r="D149" t="s">
        <v>85</v>
      </c>
      <c r="E149" t="s">
        <v>82</v>
      </c>
      <c r="F149" t="s">
        <v>86</v>
      </c>
      <c r="G149">
        <v>287024.85071638838</v>
      </c>
      <c r="H149">
        <v>2.6516380158156041</v>
      </c>
      <c r="I149">
        <v>33163.754519064132</v>
      </c>
      <c r="J149">
        <v>61194.930110287343</v>
      </c>
      <c r="K149">
        <v>26513.568701375141</v>
      </c>
      <c r="L149">
        <v>34.055756342077373</v>
      </c>
      <c r="M149">
        <v>513461.01892711129</v>
      </c>
    </row>
    <row r="150" spans="1:13">
      <c r="A150">
        <v>2028</v>
      </c>
      <c r="B150" t="s">
        <v>72</v>
      </c>
      <c r="C150" t="s">
        <v>91</v>
      </c>
      <c r="D150" t="s">
        <v>85</v>
      </c>
      <c r="E150" t="s">
        <v>82</v>
      </c>
      <c r="F150" t="s">
        <v>87</v>
      </c>
      <c r="G150">
        <v>287024.85071638838</v>
      </c>
      <c r="H150">
        <v>2.6516380158156041</v>
      </c>
      <c r="I150">
        <v>33163.754519064132</v>
      </c>
      <c r="J150">
        <v>61194.930110287343</v>
      </c>
      <c r="K150">
        <v>26513.568701375141</v>
      </c>
      <c r="L150">
        <v>34.055756342077373</v>
      </c>
      <c r="M150">
        <v>513461.01892711129</v>
      </c>
    </row>
    <row r="151" spans="1:13">
      <c r="A151">
        <v>2028</v>
      </c>
      <c r="B151" t="s">
        <v>72</v>
      </c>
      <c r="C151" t="s">
        <v>91</v>
      </c>
      <c r="D151" t="s">
        <v>85</v>
      </c>
      <c r="E151" t="s">
        <v>88</v>
      </c>
      <c r="F151" t="s">
        <v>89</v>
      </c>
      <c r="G151">
        <v>286965.71482530318</v>
      </c>
      <c r="H151">
        <v>2.651105986882949</v>
      </c>
      <c r="I151">
        <v>33088.129037495441</v>
      </c>
      <c r="J151">
        <v>61050.393331892737</v>
      </c>
      <c r="K151">
        <v>26446.958029010992</v>
      </c>
      <c r="L151">
        <v>34.047504142403078</v>
      </c>
      <c r="M151">
        <v>513439.5562001302</v>
      </c>
    </row>
    <row r="152" spans="1:13">
      <c r="A152">
        <v>2028</v>
      </c>
      <c r="B152" t="s">
        <v>73</v>
      </c>
      <c r="C152" t="s">
        <v>80</v>
      </c>
      <c r="D152" t="s">
        <v>81</v>
      </c>
      <c r="E152" t="s">
        <v>82</v>
      </c>
      <c r="F152" t="s">
        <v>83</v>
      </c>
      <c r="G152">
        <v>45442455.323061898</v>
      </c>
      <c r="H152">
        <v>52.769953696664103</v>
      </c>
      <c r="I152">
        <v>523226.53448723239</v>
      </c>
      <c r="J152">
        <v>868158.3043826978</v>
      </c>
      <c r="K152">
        <v>457056.02864068397</v>
      </c>
      <c r="L152">
        <v>674.6021685598198</v>
      </c>
      <c r="M152">
        <v>10791941.441135859</v>
      </c>
    </row>
    <row r="153" spans="1:13">
      <c r="A153">
        <v>2028</v>
      </c>
      <c r="B153" t="s">
        <v>73</v>
      </c>
      <c r="C153" t="s">
        <v>80</v>
      </c>
      <c r="D153" t="s">
        <v>81</v>
      </c>
      <c r="E153" t="s">
        <v>82</v>
      </c>
      <c r="F153" t="s">
        <v>84</v>
      </c>
      <c r="G153">
        <v>45250216.253175557</v>
      </c>
      <c r="H153">
        <v>47.408231171926872</v>
      </c>
      <c r="I153">
        <v>398116.59220899612</v>
      </c>
      <c r="J153">
        <v>674703.25874773809</v>
      </c>
      <c r="K153">
        <v>325442.5430492934</v>
      </c>
      <c r="L153">
        <v>439.57128529457623</v>
      </c>
      <c r="M153">
        <v>10550296.64623088</v>
      </c>
    </row>
    <row r="154" spans="1:13">
      <c r="A154">
        <v>2028</v>
      </c>
      <c r="B154" t="s">
        <v>73</v>
      </c>
      <c r="C154" t="s">
        <v>80</v>
      </c>
      <c r="D154" t="s">
        <v>85</v>
      </c>
      <c r="E154" t="s">
        <v>82</v>
      </c>
      <c r="F154" t="s">
        <v>86</v>
      </c>
      <c r="G154">
        <v>45183526.59407001</v>
      </c>
      <c r="H154">
        <v>45.54819591684236</v>
      </c>
      <c r="I154">
        <v>354714.69993921422</v>
      </c>
      <c r="J154">
        <v>607591.76547391491</v>
      </c>
      <c r="K154">
        <v>279784.50645469333</v>
      </c>
      <c r="L154">
        <v>358.03671745932053</v>
      </c>
      <c r="M154">
        <v>10466467.64619269</v>
      </c>
    </row>
    <row r="155" spans="1:13">
      <c r="A155">
        <v>2028</v>
      </c>
      <c r="B155" t="s">
        <v>73</v>
      </c>
      <c r="C155" t="s">
        <v>80</v>
      </c>
      <c r="D155" t="s">
        <v>85</v>
      </c>
      <c r="E155" t="s">
        <v>82</v>
      </c>
      <c r="F155" t="s">
        <v>87</v>
      </c>
      <c r="G155">
        <v>45183526.59407001</v>
      </c>
      <c r="H155">
        <v>45.54819591684236</v>
      </c>
      <c r="I155">
        <v>354714.69993921422</v>
      </c>
      <c r="J155">
        <v>607591.76547391491</v>
      </c>
      <c r="K155">
        <v>279784.50645469333</v>
      </c>
      <c r="L155">
        <v>358.03671745932053</v>
      </c>
      <c r="M155">
        <v>10466467.64619269</v>
      </c>
    </row>
    <row r="156" spans="1:13">
      <c r="A156">
        <v>2028</v>
      </c>
      <c r="B156" t="s">
        <v>73</v>
      </c>
      <c r="C156" t="s">
        <v>80</v>
      </c>
      <c r="D156" t="s">
        <v>85</v>
      </c>
      <c r="E156" t="s">
        <v>88</v>
      </c>
      <c r="F156" t="s">
        <v>89</v>
      </c>
      <c r="G156">
        <v>44230833.233326167</v>
      </c>
      <c r="H156">
        <v>41.417875104753222</v>
      </c>
      <c r="I156">
        <v>329770.74179731932</v>
      </c>
      <c r="J156">
        <v>562386.47056170308</v>
      </c>
      <c r="K156">
        <v>258602.53471932979</v>
      </c>
      <c r="L156">
        <v>333.15088905969088</v>
      </c>
      <c r="M156">
        <v>10520707.25579842</v>
      </c>
    </row>
    <row r="157" spans="1:13">
      <c r="A157">
        <v>2028</v>
      </c>
      <c r="B157" t="s">
        <v>73</v>
      </c>
      <c r="C157" t="s">
        <v>90</v>
      </c>
      <c r="D157" t="s">
        <v>81</v>
      </c>
      <c r="E157" t="s">
        <v>82</v>
      </c>
      <c r="F157" t="s">
        <v>83</v>
      </c>
      <c r="G157">
        <v>44284159.228597417</v>
      </c>
      <c r="H157">
        <v>51.424884843377519</v>
      </c>
      <c r="I157">
        <v>509889.85962870688</v>
      </c>
      <c r="J157">
        <v>846029.56230231421</v>
      </c>
      <c r="K157">
        <v>445405.9932461995</v>
      </c>
      <c r="L157">
        <v>657.40703569111758</v>
      </c>
      <c r="M157">
        <v>10516862.47513172</v>
      </c>
    </row>
    <row r="158" spans="1:13">
      <c r="A158">
        <v>2028</v>
      </c>
      <c r="B158" t="s">
        <v>73</v>
      </c>
      <c r="C158" t="s">
        <v>90</v>
      </c>
      <c r="D158" t="s">
        <v>81</v>
      </c>
      <c r="E158" t="s">
        <v>82</v>
      </c>
      <c r="F158" t="s">
        <v>84</v>
      </c>
      <c r="G158">
        <v>44091920.158711068</v>
      </c>
      <c r="H158">
        <v>46.063162318640288</v>
      </c>
      <c r="I158">
        <v>384779.91735047061</v>
      </c>
      <c r="J158">
        <v>652574.51666735462</v>
      </c>
      <c r="K158">
        <v>313792.50765480893</v>
      </c>
      <c r="L158">
        <v>422.37615242587412</v>
      </c>
      <c r="M158">
        <v>10275217.680226739</v>
      </c>
    </row>
    <row r="159" spans="1:13">
      <c r="A159">
        <v>2028</v>
      </c>
      <c r="B159" t="s">
        <v>73</v>
      </c>
      <c r="C159" t="s">
        <v>90</v>
      </c>
      <c r="D159" t="s">
        <v>85</v>
      </c>
      <c r="E159" t="s">
        <v>82</v>
      </c>
      <c r="F159" t="s">
        <v>86</v>
      </c>
      <c r="G159">
        <v>44025230.499605522</v>
      </c>
      <c r="H159">
        <v>44.203127063555769</v>
      </c>
      <c r="I159">
        <v>341378.02508068859</v>
      </c>
      <c r="J159">
        <v>585463.02339353145</v>
      </c>
      <c r="K159">
        <v>268134.47106020869</v>
      </c>
      <c r="L159">
        <v>340.84158459061831</v>
      </c>
      <c r="M159">
        <v>10191388.680188561</v>
      </c>
    </row>
    <row r="160" spans="1:13">
      <c r="A160">
        <v>2028</v>
      </c>
      <c r="B160" t="s">
        <v>73</v>
      </c>
      <c r="C160" t="s">
        <v>90</v>
      </c>
      <c r="D160" t="s">
        <v>85</v>
      </c>
      <c r="E160" t="s">
        <v>82</v>
      </c>
      <c r="F160" t="s">
        <v>87</v>
      </c>
      <c r="G160">
        <v>44025230.499605522</v>
      </c>
      <c r="H160">
        <v>44.203127063555769</v>
      </c>
      <c r="I160">
        <v>341378.02508068859</v>
      </c>
      <c r="J160">
        <v>585463.02339353145</v>
      </c>
      <c r="K160">
        <v>268134.47106020869</v>
      </c>
      <c r="L160">
        <v>340.84158459061831</v>
      </c>
      <c r="M160">
        <v>10191388.680188561</v>
      </c>
    </row>
    <row r="161" spans="1:13">
      <c r="A161">
        <v>2028</v>
      </c>
      <c r="B161" t="s">
        <v>73</v>
      </c>
      <c r="C161" t="s">
        <v>90</v>
      </c>
      <c r="D161" t="s">
        <v>85</v>
      </c>
      <c r="E161" t="s">
        <v>88</v>
      </c>
      <c r="F161" t="s">
        <v>89</v>
      </c>
      <c r="G161">
        <v>43072537.138861693</v>
      </c>
      <c r="H161">
        <v>40.072806251466638</v>
      </c>
      <c r="I161">
        <v>316434.06693879381</v>
      </c>
      <c r="J161">
        <v>540257.7284813195</v>
      </c>
      <c r="K161">
        <v>246952.4993248453</v>
      </c>
      <c r="L161">
        <v>315.95575619098878</v>
      </c>
      <c r="M161">
        <v>10245628.289794279</v>
      </c>
    </row>
    <row r="162" spans="1:13">
      <c r="A162">
        <v>2028</v>
      </c>
      <c r="B162" t="s">
        <v>73</v>
      </c>
      <c r="C162" t="s">
        <v>91</v>
      </c>
      <c r="D162" t="s">
        <v>81</v>
      </c>
      <c r="E162" t="s">
        <v>82</v>
      </c>
      <c r="F162" t="s">
        <v>83</v>
      </c>
      <c r="G162">
        <v>44531294.748567179</v>
      </c>
      <c r="H162">
        <v>51.711870435438762</v>
      </c>
      <c r="I162">
        <v>512735.38944753382</v>
      </c>
      <c r="J162">
        <v>850750.9787056396</v>
      </c>
      <c r="K162">
        <v>447891.65953536471</v>
      </c>
      <c r="L162">
        <v>661.07581099197932</v>
      </c>
      <c r="M162">
        <v>10575553.671295689</v>
      </c>
    </row>
    <row r="163" spans="1:13">
      <c r="A163">
        <v>2028</v>
      </c>
      <c r="B163" t="s">
        <v>73</v>
      </c>
      <c r="C163" t="s">
        <v>91</v>
      </c>
      <c r="D163" t="s">
        <v>81</v>
      </c>
      <c r="E163" t="s">
        <v>82</v>
      </c>
      <c r="F163" t="s">
        <v>84</v>
      </c>
      <c r="G163">
        <v>44339055.678680837</v>
      </c>
      <c r="H163">
        <v>46.35014791070153</v>
      </c>
      <c r="I163">
        <v>387625.44716929737</v>
      </c>
      <c r="J163">
        <v>657295.93307068001</v>
      </c>
      <c r="K163">
        <v>316278.17394397408</v>
      </c>
      <c r="L163">
        <v>426.04492772673581</v>
      </c>
      <c r="M163">
        <v>10333908.87639071</v>
      </c>
    </row>
    <row r="164" spans="1:13">
      <c r="A164">
        <v>2028</v>
      </c>
      <c r="B164" t="s">
        <v>73</v>
      </c>
      <c r="C164" t="s">
        <v>91</v>
      </c>
      <c r="D164" t="s">
        <v>85</v>
      </c>
      <c r="E164" t="s">
        <v>82</v>
      </c>
      <c r="F164" t="s">
        <v>86</v>
      </c>
      <c r="G164">
        <v>44272366.019575283</v>
      </c>
      <c r="H164">
        <v>44.490112655617011</v>
      </c>
      <c r="I164">
        <v>344223.55489951553</v>
      </c>
      <c r="J164">
        <v>590184.43979685684</v>
      </c>
      <c r="K164">
        <v>270620.13734937389</v>
      </c>
      <c r="L164">
        <v>344.51035989147999</v>
      </c>
      <c r="M164">
        <v>10250079.87635253</v>
      </c>
    </row>
    <row r="165" spans="1:13">
      <c r="A165">
        <v>2028</v>
      </c>
      <c r="B165" t="s">
        <v>73</v>
      </c>
      <c r="C165" t="s">
        <v>91</v>
      </c>
      <c r="D165" t="s">
        <v>85</v>
      </c>
      <c r="E165" t="s">
        <v>82</v>
      </c>
      <c r="F165" t="s">
        <v>87</v>
      </c>
      <c r="G165">
        <v>44272366.019575283</v>
      </c>
      <c r="H165">
        <v>44.490112655617011</v>
      </c>
      <c r="I165">
        <v>344223.55489951553</v>
      </c>
      <c r="J165">
        <v>590184.43979685684</v>
      </c>
      <c r="K165">
        <v>270620.13734937389</v>
      </c>
      <c r="L165">
        <v>344.51035989147999</v>
      </c>
      <c r="M165">
        <v>10250079.87635253</v>
      </c>
    </row>
    <row r="166" spans="1:13">
      <c r="A166">
        <v>2028</v>
      </c>
      <c r="B166" t="s">
        <v>73</v>
      </c>
      <c r="C166" t="s">
        <v>91</v>
      </c>
      <c r="D166" t="s">
        <v>85</v>
      </c>
      <c r="E166" t="s">
        <v>88</v>
      </c>
      <c r="F166" t="s">
        <v>89</v>
      </c>
      <c r="G166">
        <v>43319672.658831447</v>
      </c>
      <c r="H166">
        <v>40.359791843527887</v>
      </c>
      <c r="I166">
        <v>319279.59675762069</v>
      </c>
      <c r="J166">
        <v>544979.14488464501</v>
      </c>
      <c r="K166">
        <v>249438.1656140105</v>
      </c>
      <c r="L166">
        <v>319.62453149185052</v>
      </c>
      <c r="M166">
        <v>10304319.48595826</v>
      </c>
    </row>
    <row r="167" spans="1:13">
      <c r="A167">
        <v>2028</v>
      </c>
      <c r="B167" t="s">
        <v>74</v>
      </c>
      <c r="C167" t="s">
        <v>80</v>
      </c>
      <c r="D167" t="s">
        <v>81</v>
      </c>
      <c r="E167" t="s">
        <v>82</v>
      </c>
      <c r="F167" t="s">
        <v>83</v>
      </c>
      <c r="G167">
        <v>219629.3036517505</v>
      </c>
      <c r="H167">
        <v>2.0867451924831268</v>
      </c>
      <c r="I167">
        <v>124510.2951571553</v>
      </c>
      <c r="J167">
        <v>277742.39356582519</v>
      </c>
      <c r="K167">
        <v>101964.949398745</v>
      </c>
      <c r="L167">
        <v>3765220.79625323</v>
      </c>
      <c r="M167">
        <v>1382290.053153421</v>
      </c>
    </row>
    <row r="168" spans="1:13">
      <c r="A168">
        <v>2028</v>
      </c>
      <c r="B168" t="s">
        <v>74</v>
      </c>
      <c r="C168" t="s">
        <v>80</v>
      </c>
      <c r="D168" t="s">
        <v>81</v>
      </c>
      <c r="E168" t="s">
        <v>82</v>
      </c>
      <c r="F168" t="s">
        <v>84</v>
      </c>
      <c r="G168">
        <v>192892.7453074056</v>
      </c>
      <c r="H168">
        <v>1.843533479394744</v>
      </c>
      <c r="I168">
        <v>22967.73485666914</v>
      </c>
      <c r="J168">
        <v>41517.083089126019</v>
      </c>
      <c r="K168">
        <v>13464.59615420175</v>
      </c>
      <c r="L168">
        <v>562827.23944302159</v>
      </c>
      <c r="M168">
        <v>182533.0904730481</v>
      </c>
    </row>
    <row r="169" spans="1:13">
      <c r="A169">
        <v>2028</v>
      </c>
      <c r="B169" t="s">
        <v>74</v>
      </c>
      <c r="C169" t="s">
        <v>80</v>
      </c>
      <c r="D169" t="s">
        <v>85</v>
      </c>
      <c r="E169" t="s">
        <v>82</v>
      </c>
      <c r="F169" t="s">
        <v>86</v>
      </c>
      <c r="G169">
        <v>192892.7453074056</v>
      </c>
      <c r="H169">
        <v>1.843533479394744</v>
      </c>
      <c r="I169">
        <v>22967.73485666914</v>
      </c>
      <c r="J169">
        <v>41517.083089126019</v>
      </c>
      <c r="K169">
        <v>13464.59615420175</v>
      </c>
      <c r="L169">
        <v>562827.23944302159</v>
      </c>
      <c r="M169">
        <v>182533.0904730481</v>
      </c>
    </row>
    <row r="170" spans="1:13">
      <c r="A170">
        <v>2028</v>
      </c>
      <c r="B170" t="s">
        <v>74</v>
      </c>
      <c r="C170" t="s">
        <v>80</v>
      </c>
      <c r="D170" t="s">
        <v>85</v>
      </c>
      <c r="E170" t="s">
        <v>82</v>
      </c>
      <c r="F170" t="s">
        <v>87</v>
      </c>
      <c r="G170">
        <v>192892.7453074056</v>
      </c>
      <c r="H170">
        <v>1.843533479394744</v>
      </c>
      <c r="I170">
        <v>22967.73485666914</v>
      </c>
      <c r="J170">
        <v>41517.083089126019</v>
      </c>
      <c r="K170">
        <v>13464.59615420175</v>
      </c>
      <c r="L170">
        <v>562827.23944302159</v>
      </c>
      <c r="M170">
        <v>182533.0904730481</v>
      </c>
    </row>
    <row r="171" spans="1:13">
      <c r="A171">
        <v>2028</v>
      </c>
      <c r="B171" t="s">
        <v>74</v>
      </c>
      <c r="C171" t="s">
        <v>80</v>
      </c>
      <c r="D171" t="s">
        <v>85</v>
      </c>
      <c r="E171" t="s">
        <v>88</v>
      </c>
      <c r="F171" t="s">
        <v>89</v>
      </c>
      <c r="G171">
        <v>192892.7453074056</v>
      </c>
      <c r="H171">
        <v>1.843533479394744</v>
      </c>
      <c r="I171">
        <v>22967.73485666914</v>
      </c>
      <c r="J171">
        <v>41517.083089126019</v>
      </c>
      <c r="K171">
        <v>13464.59615420175</v>
      </c>
      <c r="L171">
        <v>562827.23944302159</v>
      </c>
      <c r="M171">
        <v>182533.0904730481</v>
      </c>
    </row>
    <row r="172" spans="1:13">
      <c r="A172">
        <v>2028</v>
      </c>
      <c r="B172" t="s">
        <v>74</v>
      </c>
      <c r="C172" t="s">
        <v>90</v>
      </c>
      <c r="D172" t="s">
        <v>81</v>
      </c>
      <c r="E172" t="s">
        <v>82</v>
      </c>
      <c r="F172" t="s">
        <v>83</v>
      </c>
      <c r="G172">
        <v>140542.4901884624</v>
      </c>
      <c r="H172">
        <v>1.3353243891598681</v>
      </c>
      <c r="I172">
        <v>79675.10092930893</v>
      </c>
      <c r="J172">
        <v>177729.50591574641</v>
      </c>
      <c r="K172">
        <v>65248.159795483487</v>
      </c>
      <c r="L172">
        <v>2409393.910631727</v>
      </c>
      <c r="M172">
        <v>884538.09670572856</v>
      </c>
    </row>
    <row r="173" spans="1:13">
      <c r="A173">
        <v>2028</v>
      </c>
      <c r="B173" t="s">
        <v>74</v>
      </c>
      <c r="C173" t="s">
        <v>90</v>
      </c>
      <c r="D173" t="s">
        <v>81</v>
      </c>
      <c r="E173" t="s">
        <v>82</v>
      </c>
      <c r="F173" t="s">
        <v>84</v>
      </c>
      <c r="G173">
        <v>123433.5597028404</v>
      </c>
      <c r="H173">
        <v>1.1796913327684391</v>
      </c>
      <c r="I173">
        <v>14697.231184882919</v>
      </c>
      <c r="J173">
        <v>26567.102593737</v>
      </c>
      <c r="K173">
        <v>8616.0992246010137</v>
      </c>
      <c r="L173">
        <v>360157.50385770423</v>
      </c>
      <c r="M173">
        <v>116804.3364448085</v>
      </c>
    </row>
    <row r="174" spans="1:13">
      <c r="A174">
        <v>2028</v>
      </c>
      <c r="B174" t="s">
        <v>74</v>
      </c>
      <c r="C174" t="s">
        <v>90</v>
      </c>
      <c r="D174" t="s">
        <v>85</v>
      </c>
      <c r="E174" t="s">
        <v>82</v>
      </c>
      <c r="F174" t="s">
        <v>86</v>
      </c>
      <c r="G174">
        <v>123433.5597028404</v>
      </c>
      <c r="H174">
        <v>1.1796913327684391</v>
      </c>
      <c r="I174">
        <v>14697.231184882919</v>
      </c>
      <c r="J174">
        <v>26567.102593737</v>
      </c>
      <c r="K174">
        <v>8616.0992246010137</v>
      </c>
      <c r="L174">
        <v>360157.50385770423</v>
      </c>
      <c r="M174">
        <v>116804.3364448085</v>
      </c>
    </row>
    <row r="175" spans="1:13">
      <c r="A175">
        <v>2028</v>
      </c>
      <c r="B175" t="s">
        <v>74</v>
      </c>
      <c r="C175" t="s">
        <v>90</v>
      </c>
      <c r="D175" t="s">
        <v>85</v>
      </c>
      <c r="E175" t="s">
        <v>82</v>
      </c>
      <c r="F175" t="s">
        <v>87</v>
      </c>
      <c r="G175">
        <v>123433.5597028404</v>
      </c>
      <c r="H175">
        <v>1.1796913327684391</v>
      </c>
      <c r="I175">
        <v>14697.231184882919</v>
      </c>
      <c r="J175">
        <v>26567.102593737</v>
      </c>
      <c r="K175">
        <v>8616.0992246010137</v>
      </c>
      <c r="L175">
        <v>360157.50385770423</v>
      </c>
      <c r="M175">
        <v>116804.3364448085</v>
      </c>
    </row>
    <row r="176" spans="1:13">
      <c r="A176">
        <v>2028</v>
      </c>
      <c r="B176" t="s">
        <v>74</v>
      </c>
      <c r="C176" t="s">
        <v>90</v>
      </c>
      <c r="D176" t="s">
        <v>85</v>
      </c>
      <c r="E176" t="s">
        <v>88</v>
      </c>
      <c r="F176" t="s">
        <v>89</v>
      </c>
      <c r="G176">
        <v>123433.5597028404</v>
      </c>
      <c r="H176">
        <v>1.1796913327684391</v>
      </c>
      <c r="I176">
        <v>14697.231184882919</v>
      </c>
      <c r="J176">
        <v>26567.102593737</v>
      </c>
      <c r="K176">
        <v>8616.0992246010137</v>
      </c>
      <c r="L176">
        <v>360157.50385770423</v>
      </c>
      <c r="M176">
        <v>116804.3364448085</v>
      </c>
    </row>
    <row r="177" spans="1:13">
      <c r="A177">
        <v>2028</v>
      </c>
      <c r="B177" t="s">
        <v>74</v>
      </c>
      <c r="C177" t="s">
        <v>91</v>
      </c>
      <c r="D177" t="s">
        <v>81</v>
      </c>
      <c r="E177" t="s">
        <v>82</v>
      </c>
      <c r="F177" t="s">
        <v>83</v>
      </c>
      <c r="G177">
        <v>210206.10869182221</v>
      </c>
      <c r="H177">
        <v>1.997213392975894</v>
      </c>
      <c r="I177">
        <v>119168.1811210225</v>
      </c>
      <c r="J177">
        <v>265825.85656601831</v>
      </c>
      <c r="K177">
        <v>97590.143390221085</v>
      </c>
      <c r="L177">
        <v>3603674.003360196</v>
      </c>
      <c r="M177">
        <v>1322982.9003943889</v>
      </c>
    </row>
    <row r="178" spans="1:13">
      <c r="A178">
        <v>2028</v>
      </c>
      <c r="B178" t="s">
        <v>74</v>
      </c>
      <c r="C178" t="s">
        <v>91</v>
      </c>
      <c r="D178" t="s">
        <v>81</v>
      </c>
      <c r="E178" t="s">
        <v>82</v>
      </c>
      <c r="F178" t="s">
        <v>84</v>
      </c>
      <c r="G178">
        <v>184616.6823451079</v>
      </c>
      <c r="H178">
        <v>1.7644366780906839</v>
      </c>
      <c r="I178">
        <v>21982.304225401869</v>
      </c>
      <c r="J178">
        <v>39735.792698401507</v>
      </c>
      <c r="K178">
        <v>12886.897675409829</v>
      </c>
      <c r="L178">
        <v>538679.13753746066</v>
      </c>
      <c r="M178">
        <v>174701.50848664291</v>
      </c>
    </row>
    <row r="179" spans="1:13">
      <c r="A179">
        <v>2028</v>
      </c>
      <c r="B179" t="s">
        <v>74</v>
      </c>
      <c r="C179" t="s">
        <v>91</v>
      </c>
      <c r="D179" t="s">
        <v>85</v>
      </c>
      <c r="E179" t="s">
        <v>82</v>
      </c>
      <c r="F179" t="s">
        <v>86</v>
      </c>
      <c r="G179">
        <v>184616.6823451079</v>
      </c>
      <c r="H179">
        <v>1.7644366780906839</v>
      </c>
      <c r="I179">
        <v>21982.304225401869</v>
      </c>
      <c r="J179">
        <v>39735.792698401507</v>
      </c>
      <c r="K179">
        <v>12886.897675409829</v>
      </c>
      <c r="L179">
        <v>538679.13753746066</v>
      </c>
      <c r="M179">
        <v>174701.50848664291</v>
      </c>
    </row>
    <row r="180" spans="1:13">
      <c r="A180">
        <v>2028</v>
      </c>
      <c r="B180" t="s">
        <v>74</v>
      </c>
      <c r="C180" t="s">
        <v>91</v>
      </c>
      <c r="D180" t="s">
        <v>85</v>
      </c>
      <c r="E180" t="s">
        <v>82</v>
      </c>
      <c r="F180" t="s">
        <v>87</v>
      </c>
      <c r="G180">
        <v>184616.6823451079</v>
      </c>
      <c r="H180">
        <v>1.7644366780906839</v>
      </c>
      <c r="I180">
        <v>21982.304225401869</v>
      </c>
      <c r="J180">
        <v>39735.792698401507</v>
      </c>
      <c r="K180">
        <v>12886.897675409829</v>
      </c>
      <c r="L180">
        <v>538679.13753746066</v>
      </c>
      <c r="M180">
        <v>174701.50848664291</v>
      </c>
    </row>
    <row r="181" spans="1:13">
      <c r="A181">
        <v>2028</v>
      </c>
      <c r="B181" t="s">
        <v>74</v>
      </c>
      <c r="C181" t="s">
        <v>91</v>
      </c>
      <c r="D181" t="s">
        <v>85</v>
      </c>
      <c r="E181" t="s">
        <v>88</v>
      </c>
      <c r="F181" t="s">
        <v>89</v>
      </c>
      <c r="G181">
        <v>184616.6823451079</v>
      </c>
      <c r="H181">
        <v>1.7644366780906839</v>
      </c>
      <c r="I181">
        <v>21982.304225401869</v>
      </c>
      <c r="J181">
        <v>39735.792698401507</v>
      </c>
      <c r="K181">
        <v>12886.897675409829</v>
      </c>
      <c r="L181">
        <v>538679.13753746066</v>
      </c>
      <c r="M181">
        <v>174701.50848664291</v>
      </c>
    </row>
    <row r="182" spans="1:13">
      <c r="A182">
        <v>2029</v>
      </c>
      <c r="B182" t="s">
        <v>72</v>
      </c>
      <c r="C182" t="s">
        <v>80</v>
      </c>
      <c r="D182" t="s">
        <v>81</v>
      </c>
      <c r="E182" t="s">
        <v>82</v>
      </c>
      <c r="F182" t="s">
        <v>83</v>
      </c>
      <c r="G182">
        <v>406797.05460739159</v>
      </c>
      <c r="H182">
        <v>3.7577335042006941</v>
      </c>
      <c r="I182">
        <v>50359.558833112598</v>
      </c>
      <c r="J182">
        <v>92967.545572799907</v>
      </c>
      <c r="K182">
        <v>40535.65514447126</v>
      </c>
      <c r="L182">
        <v>52.765723567598307</v>
      </c>
      <c r="M182">
        <v>738936.21568888566</v>
      </c>
    </row>
    <row r="183" spans="1:13">
      <c r="A183">
        <v>2029</v>
      </c>
      <c r="B183" t="s">
        <v>72</v>
      </c>
      <c r="C183" t="s">
        <v>80</v>
      </c>
      <c r="D183" t="s">
        <v>81</v>
      </c>
      <c r="E183" t="s">
        <v>82</v>
      </c>
      <c r="F183" t="s">
        <v>84</v>
      </c>
      <c r="G183">
        <v>405828.78852311871</v>
      </c>
      <c r="H183">
        <v>3.748940659288424</v>
      </c>
      <c r="I183">
        <v>48978.306149259457</v>
      </c>
      <c r="J183">
        <v>90402.810319785538</v>
      </c>
      <c r="K183">
        <v>39327.587688269043</v>
      </c>
      <c r="L183">
        <v>50.949655014338198</v>
      </c>
      <c r="M183">
        <v>732963.77286384592</v>
      </c>
    </row>
    <row r="184" spans="1:13">
      <c r="A184">
        <v>2029</v>
      </c>
      <c r="B184" t="s">
        <v>72</v>
      </c>
      <c r="C184" t="s">
        <v>80</v>
      </c>
      <c r="D184" t="s">
        <v>85</v>
      </c>
      <c r="E184" t="s">
        <v>82</v>
      </c>
      <c r="F184" t="s">
        <v>86</v>
      </c>
      <c r="G184">
        <v>405112.01093942177</v>
      </c>
      <c r="H184">
        <v>3.7424315868005968</v>
      </c>
      <c r="I184">
        <v>47955.807295599268</v>
      </c>
      <c r="J184">
        <v>88504.215741975524</v>
      </c>
      <c r="K184">
        <v>38433.292528845261</v>
      </c>
      <c r="L184">
        <v>49.605275354060034</v>
      </c>
      <c r="M184">
        <v>728542.55724302388</v>
      </c>
    </row>
    <row r="185" spans="1:13">
      <c r="A185">
        <v>2029</v>
      </c>
      <c r="B185" t="s">
        <v>72</v>
      </c>
      <c r="C185" t="s">
        <v>80</v>
      </c>
      <c r="D185" t="s">
        <v>85</v>
      </c>
      <c r="E185" t="s">
        <v>82</v>
      </c>
      <c r="F185" t="s">
        <v>87</v>
      </c>
      <c r="G185">
        <v>405112.01093942177</v>
      </c>
      <c r="H185">
        <v>3.7424315868005968</v>
      </c>
      <c r="I185">
        <v>47955.807295599268</v>
      </c>
      <c r="J185">
        <v>88504.215741975524</v>
      </c>
      <c r="K185">
        <v>38433.292528845261</v>
      </c>
      <c r="L185">
        <v>49.605275354060034</v>
      </c>
      <c r="M185">
        <v>728542.55724302388</v>
      </c>
    </row>
    <row r="186" spans="1:13">
      <c r="A186">
        <v>2029</v>
      </c>
      <c r="B186" t="s">
        <v>72</v>
      </c>
      <c r="C186" t="s">
        <v>80</v>
      </c>
      <c r="D186" t="s">
        <v>85</v>
      </c>
      <c r="E186" t="s">
        <v>88</v>
      </c>
      <c r="F186" t="s">
        <v>89</v>
      </c>
      <c r="G186">
        <v>405057.20477862819</v>
      </c>
      <c r="H186">
        <v>3.7419385112301642</v>
      </c>
      <c r="I186">
        <v>47885.718856465639</v>
      </c>
      <c r="J186">
        <v>88370.261458512497</v>
      </c>
      <c r="K186">
        <v>38371.558865021841</v>
      </c>
      <c r="L186">
        <v>49.597627352584972</v>
      </c>
      <c r="M186">
        <v>728522.66594445019</v>
      </c>
    </row>
    <row r="187" spans="1:13">
      <c r="A187">
        <v>2029</v>
      </c>
      <c r="B187" t="s">
        <v>72</v>
      </c>
      <c r="C187" t="s">
        <v>90</v>
      </c>
      <c r="D187" t="s">
        <v>81</v>
      </c>
      <c r="E187" t="s">
        <v>82</v>
      </c>
      <c r="F187" t="s">
        <v>83</v>
      </c>
      <c r="G187">
        <v>212549.74051734281</v>
      </c>
      <c r="H187">
        <v>1.9633998629169771</v>
      </c>
      <c r="I187">
        <v>26312.656498647739</v>
      </c>
      <c r="J187">
        <v>48575.149363123761</v>
      </c>
      <c r="K187">
        <v>21179.70837073338</v>
      </c>
      <c r="L187">
        <v>27.56986739573869</v>
      </c>
      <c r="M187">
        <v>386091.04742688581</v>
      </c>
    </row>
    <row r="188" spans="1:13">
      <c r="A188">
        <v>2029</v>
      </c>
      <c r="B188" t="s">
        <v>72</v>
      </c>
      <c r="C188" t="s">
        <v>90</v>
      </c>
      <c r="D188" t="s">
        <v>81</v>
      </c>
      <c r="E188" t="s">
        <v>82</v>
      </c>
      <c r="F188" t="s">
        <v>84</v>
      </c>
      <c r="G188">
        <v>211581.47443306979</v>
      </c>
      <c r="H188">
        <v>1.954607018004707</v>
      </c>
      <c r="I188">
        <v>24931.40381479459</v>
      </c>
      <c r="J188">
        <v>46010.41411010937</v>
      </c>
      <c r="K188">
        <v>19971.640914531152</v>
      </c>
      <c r="L188">
        <v>25.75379884247857</v>
      </c>
      <c r="M188">
        <v>380118.60460184608</v>
      </c>
    </row>
    <row r="189" spans="1:13">
      <c r="A189">
        <v>2029</v>
      </c>
      <c r="B189" t="s">
        <v>72</v>
      </c>
      <c r="C189" t="s">
        <v>90</v>
      </c>
      <c r="D189" t="s">
        <v>85</v>
      </c>
      <c r="E189" t="s">
        <v>82</v>
      </c>
      <c r="F189" t="s">
        <v>86</v>
      </c>
      <c r="G189">
        <v>210864.69684937299</v>
      </c>
      <c r="H189">
        <v>1.9480979455168801</v>
      </c>
      <c r="I189">
        <v>23908.904961134409</v>
      </c>
      <c r="J189">
        <v>44111.819532299363</v>
      </c>
      <c r="K189">
        <v>19077.345755107381</v>
      </c>
      <c r="L189">
        <v>24.409419182200409</v>
      </c>
      <c r="M189">
        <v>375697.38898102398</v>
      </c>
    </row>
    <row r="190" spans="1:13">
      <c r="A190">
        <v>2029</v>
      </c>
      <c r="B190" t="s">
        <v>72</v>
      </c>
      <c r="C190" t="s">
        <v>90</v>
      </c>
      <c r="D190" t="s">
        <v>85</v>
      </c>
      <c r="E190" t="s">
        <v>82</v>
      </c>
      <c r="F190" t="s">
        <v>87</v>
      </c>
      <c r="G190">
        <v>210864.69684937299</v>
      </c>
      <c r="H190">
        <v>1.9480979455168801</v>
      </c>
      <c r="I190">
        <v>23908.904961134409</v>
      </c>
      <c r="J190">
        <v>44111.819532299363</v>
      </c>
      <c r="K190">
        <v>19077.345755107381</v>
      </c>
      <c r="L190">
        <v>24.409419182200409</v>
      </c>
      <c r="M190">
        <v>375697.38898102398</v>
      </c>
    </row>
    <row r="191" spans="1:13">
      <c r="A191">
        <v>2029</v>
      </c>
      <c r="B191" t="s">
        <v>72</v>
      </c>
      <c r="C191" t="s">
        <v>90</v>
      </c>
      <c r="D191" t="s">
        <v>85</v>
      </c>
      <c r="E191" t="s">
        <v>88</v>
      </c>
      <c r="F191" t="s">
        <v>89</v>
      </c>
      <c r="G191">
        <v>210809.89068857941</v>
      </c>
      <c r="H191">
        <v>1.947604869946447</v>
      </c>
      <c r="I191">
        <v>23838.816522000769</v>
      </c>
      <c r="J191">
        <v>43977.865248836337</v>
      </c>
      <c r="K191">
        <v>19015.612091283969</v>
      </c>
      <c r="L191">
        <v>24.401771180725351</v>
      </c>
      <c r="M191">
        <v>375677.49768245028</v>
      </c>
    </row>
    <row r="192" spans="1:13">
      <c r="A192">
        <v>2029</v>
      </c>
      <c r="B192" t="s">
        <v>72</v>
      </c>
      <c r="C192" t="s">
        <v>91</v>
      </c>
      <c r="D192" t="s">
        <v>81</v>
      </c>
      <c r="E192" t="s">
        <v>82</v>
      </c>
      <c r="F192" t="s">
        <v>83</v>
      </c>
      <c r="G192">
        <v>388347.30975806649</v>
      </c>
      <c r="H192">
        <v>3.587306448303806</v>
      </c>
      <c r="I192">
        <v>48075.567342337883</v>
      </c>
      <c r="J192">
        <v>88751.124938334993</v>
      </c>
      <c r="K192">
        <v>38697.213871985863</v>
      </c>
      <c r="L192">
        <v>50.372603643090088</v>
      </c>
      <c r="M192">
        <v>705422.73646140343</v>
      </c>
    </row>
    <row r="193" spans="1:13">
      <c r="A193">
        <v>2029</v>
      </c>
      <c r="B193" t="s">
        <v>72</v>
      </c>
      <c r="C193" t="s">
        <v>91</v>
      </c>
      <c r="D193" t="s">
        <v>81</v>
      </c>
      <c r="E193" t="s">
        <v>82</v>
      </c>
      <c r="F193" t="s">
        <v>84</v>
      </c>
      <c r="G193">
        <v>387379.04367379373</v>
      </c>
      <c r="H193">
        <v>3.5785136033915381</v>
      </c>
      <c r="I193">
        <v>46694.314658484749</v>
      </c>
      <c r="J193">
        <v>86186.389685320639</v>
      </c>
      <c r="K193">
        <v>37489.146415783653</v>
      </c>
      <c r="L193">
        <v>48.556535089829993</v>
      </c>
      <c r="M193">
        <v>699450.29363636393</v>
      </c>
    </row>
    <row r="194" spans="1:13">
      <c r="A194">
        <v>2029</v>
      </c>
      <c r="B194" t="s">
        <v>72</v>
      </c>
      <c r="C194" t="s">
        <v>91</v>
      </c>
      <c r="D194" t="s">
        <v>85</v>
      </c>
      <c r="E194" t="s">
        <v>82</v>
      </c>
      <c r="F194" t="s">
        <v>86</v>
      </c>
      <c r="G194">
        <v>386662.26609009679</v>
      </c>
      <c r="H194">
        <v>3.5720045309037101</v>
      </c>
      <c r="I194">
        <v>45671.815804824553</v>
      </c>
      <c r="J194">
        <v>84287.79510751061</v>
      </c>
      <c r="K194">
        <v>36594.851256359863</v>
      </c>
      <c r="L194">
        <v>47.212155429551807</v>
      </c>
      <c r="M194">
        <v>695029.07801554166</v>
      </c>
    </row>
    <row r="195" spans="1:13">
      <c r="A195">
        <v>2029</v>
      </c>
      <c r="B195" t="s">
        <v>72</v>
      </c>
      <c r="C195" t="s">
        <v>91</v>
      </c>
      <c r="D195" t="s">
        <v>85</v>
      </c>
      <c r="E195" t="s">
        <v>82</v>
      </c>
      <c r="F195" t="s">
        <v>87</v>
      </c>
      <c r="G195">
        <v>386662.26609009679</v>
      </c>
      <c r="H195">
        <v>3.5720045309037101</v>
      </c>
      <c r="I195">
        <v>45671.815804824553</v>
      </c>
      <c r="J195">
        <v>84287.79510751061</v>
      </c>
      <c r="K195">
        <v>36594.851256359863</v>
      </c>
      <c r="L195">
        <v>47.212155429551807</v>
      </c>
      <c r="M195">
        <v>695029.07801554166</v>
      </c>
    </row>
    <row r="196" spans="1:13">
      <c r="A196">
        <v>2029</v>
      </c>
      <c r="B196" t="s">
        <v>72</v>
      </c>
      <c r="C196" t="s">
        <v>91</v>
      </c>
      <c r="D196" t="s">
        <v>85</v>
      </c>
      <c r="E196" t="s">
        <v>88</v>
      </c>
      <c r="F196" t="s">
        <v>89</v>
      </c>
      <c r="G196">
        <v>386607.45992930332</v>
      </c>
      <c r="H196">
        <v>3.571511455333277</v>
      </c>
      <c r="I196">
        <v>45601.727365690931</v>
      </c>
      <c r="J196">
        <v>84153.840824047598</v>
      </c>
      <c r="K196">
        <v>36533.117592536437</v>
      </c>
      <c r="L196">
        <v>47.204507428076759</v>
      </c>
      <c r="M196">
        <v>695009.18671696808</v>
      </c>
    </row>
    <row r="197" spans="1:13">
      <c r="A197">
        <v>2029</v>
      </c>
      <c r="B197" t="s">
        <v>73</v>
      </c>
      <c r="C197" t="s">
        <v>80</v>
      </c>
      <c r="D197" t="s">
        <v>81</v>
      </c>
      <c r="E197" t="s">
        <v>82</v>
      </c>
      <c r="F197" t="s">
        <v>83</v>
      </c>
      <c r="G197">
        <v>47364849.672184117</v>
      </c>
      <c r="H197">
        <v>55.002330007950818</v>
      </c>
      <c r="I197">
        <v>545361.07202615356</v>
      </c>
      <c r="J197">
        <v>904884.81061181531</v>
      </c>
      <c r="K197">
        <v>476391.29387766583</v>
      </c>
      <c r="L197">
        <v>703.14048999349563</v>
      </c>
      <c r="M197">
        <v>11248482.95270266</v>
      </c>
    </row>
    <row r="198" spans="1:13">
      <c r="A198">
        <v>2029</v>
      </c>
      <c r="B198" t="s">
        <v>73</v>
      </c>
      <c r="C198" t="s">
        <v>80</v>
      </c>
      <c r="D198" t="s">
        <v>81</v>
      </c>
      <c r="E198" t="s">
        <v>82</v>
      </c>
      <c r="F198" t="s">
        <v>84</v>
      </c>
      <c r="G198">
        <v>47219663.566000767</v>
      </c>
      <c r="H198">
        <v>50.952957441477103</v>
      </c>
      <c r="I198">
        <v>450873.38346762827</v>
      </c>
      <c r="J198">
        <v>758780.35424990777</v>
      </c>
      <c r="K198">
        <v>376991.88716221269</v>
      </c>
      <c r="L198">
        <v>525.63641241816299</v>
      </c>
      <c r="M198">
        <v>11065983.802699121</v>
      </c>
    </row>
    <row r="199" spans="1:13">
      <c r="A199">
        <v>2029</v>
      </c>
      <c r="B199" t="s">
        <v>73</v>
      </c>
      <c r="C199" t="s">
        <v>80</v>
      </c>
      <c r="D199" t="s">
        <v>85</v>
      </c>
      <c r="E199" t="s">
        <v>82</v>
      </c>
      <c r="F199" t="s">
        <v>86</v>
      </c>
      <c r="G199">
        <v>47092675.181343257</v>
      </c>
      <c r="H199">
        <v>47.411135881475097</v>
      </c>
      <c r="I199">
        <v>368228.84360431659</v>
      </c>
      <c r="J199">
        <v>630988.72602598206</v>
      </c>
      <c r="K199">
        <v>290051.26710887568</v>
      </c>
      <c r="L199">
        <v>370.3808120444852</v>
      </c>
      <c r="M199">
        <v>10906359.215543021</v>
      </c>
    </row>
    <row r="200" spans="1:13">
      <c r="A200">
        <v>2029</v>
      </c>
      <c r="B200" t="s">
        <v>73</v>
      </c>
      <c r="C200" t="s">
        <v>80</v>
      </c>
      <c r="D200" t="s">
        <v>85</v>
      </c>
      <c r="E200" t="s">
        <v>82</v>
      </c>
      <c r="F200" t="s">
        <v>87</v>
      </c>
      <c r="G200">
        <v>47092675.181343257</v>
      </c>
      <c r="H200">
        <v>47.411135881475097</v>
      </c>
      <c r="I200">
        <v>368228.84360431659</v>
      </c>
      <c r="J200">
        <v>630988.72602598206</v>
      </c>
      <c r="K200">
        <v>290051.26710887568</v>
      </c>
      <c r="L200">
        <v>370.3808120444852</v>
      </c>
      <c r="M200">
        <v>10906359.215543021</v>
      </c>
    </row>
    <row r="201" spans="1:13">
      <c r="A201">
        <v>2029</v>
      </c>
      <c r="B201" t="s">
        <v>73</v>
      </c>
      <c r="C201" t="s">
        <v>80</v>
      </c>
      <c r="D201" t="s">
        <v>85</v>
      </c>
      <c r="E201" t="s">
        <v>88</v>
      </c>
      <c r="F201" t="s">
        <v>89</v>
      </c>
      <c r="G201">
        <v>46091245.825097322</v>
      </c>
      <c r="H201">
        <v>43.069524317487527</v>
      </c>
      <c r="I201">
        <v>342008.85197473282</v>
      </c>
      <c r="J201">
        <v>583470.90838579298</v>
      </c>
      <c r="K201">
        <v>267785.71011748147</v>
      </c>
      <c r="L201">
        <v>344.22192384311262</v>
      </c>
      <c r="M201">
        <v>10963373.507411379</v>
      </c>
    </row>
    <row r="202" spans="1:13">
      <c r="A202">
        <v>2029</v>
      </c>
      <c r="B202" t="s">
        <v>73</v>
      </c>
      <c r="C202" t="s">
        <v>90</v>
      </c>
      <c r="D202" t="s">
        <v>81</v>
      </c>
      <c r="E202" t="s">
        <v>82</v>
      </c>
      <c r="F202" t="s">
        <v>83</v>
      </c>
      <c r="G202">
        <v>45337084.555743493</v>
      </c>
      <c r="H202">
        <v>52.647592119305578</v>
      </c>
      <c r="I202">
        <v>522013.2905938662</v>
      </c>
      <c r="J202">
        <v>866145.24179538141</v>
      </c>
      <c r="K202">
        <v>455996.21917169762</v>
      </c>
      <c r="L202">
        <v>673.03791883716588</v>
      </c>
      <c r="M202">
        <v>10766917.371850351</v>
      </c>
    </row>
    <row r="203" spans="1:13">
      <c r="A203">
        <v>2029</v>
      </c>
      <c r="B203" t="s">
        <v>73</v>
      </c>
      <c r="C203" t="s">
        <v>90</v>
      </c>
      <c r="D203" t="s">
        <v>81</v>
      </c>
      <c r="E203" t="s">
        <v>82</v>
      </c>
      <c r="F203" t="s">
        <v>84</v>
      </c>
      <c r="G203">
        <v>45191898.449560143</v>
      </c>
      <c r="H203">
        <v>48.59821955283185</v>
      </c>
      <c r="I203">
        <v>427525.60203534091</v>
      </c>
      <c r="J203">
        <v>720040.78543347365</v>
      </c>
      <c r="K203">
        <v>356596.81245624449</v>
      </c>
      <c r="L203">
        <v>495.53384126183317</v>
      </c>
      <c r="M203">
        <v>10584418.22184681</v>
      </c>
    </row>
    <row r="204" spans="1:13">
      <c r="A204">
        <v>2029</v>
      </c>
      <c r="B204" t="s">
        <v>73</v>
      </c>
      <c r="C204" t="s">
        <v>90</v>
      </c>
      <c r="D204" t="s">
        <v>85</v>
      </c>
      <c r="E204" t="s">
        <v>82</v>
      </c>
      <c r="F204" t="s">
        <v>86</v>
      </c>
      <c r="G204">
        <v>45064910.064902619</v>
      </c>
      <c r="H204">
        <v>45.056397992829858</v>
      </c>
      <c r="I204">
        <v>344881.06217202928</v>
      </c>
      <c r="J204">
        <v>592249.15720954794</v>
      </c>
      <c r="K204">
        <v>269656.19240290747</v>
      </c>
      <c r="L204">
        <v>340.27824088815538</v>
      </c>
      <c r="M204">
        <v>10424793.634690709</v>
      </c>
    </row>
    <row r="205" spans="1:13">
      <c r="A205">
        <v>2029</v>
      </c>
      <c r="B205" t="s">
        <v>73</v>
      </c>
      <c r="C205" t="s">
        <v>90</v>
      </c>
      <c r="D205" t="s">
        <v>85</v>
      </c>
      <c r="E205" t="s">
        <v>82</v>
      </c>
      <c r="F205" t="s">
        <v>87</v>
      </c>
      <c r="G205">
        <v>45064910.064902619</v>
      </c>
      <c r="H205">
        <v>45.056397992829858</v>
      </c>
      <c r="I205">
        <v>344881.06217202928</v>
      </c>
      <c r="J205">
        <v>592249.15720954794</v>
      </c>
      <c r="K205">
        <v>269656.19240290747</v>
      </c>
      <c r="L205">
        <v>340.27824088815538</v>
      </c>
      <c r="M205">
        <v>10424793.634690709</v>
      </c>
    </row>
    <row r="206" spans="1:13">
      <c r="A206">
        <v>2029</v>
      </c>
      <c r="B206" t="s">
        <v>73</v>
      </c>
      <c r="C206" t="s">
        <v>90</v>
      </c>
      <c r="D206" t="s">
        <v>85</v>
      </c>
      <c r="E206" t="s">
        <v>88</v>
      </c>
      <c r="F206" t="s">
        <v>89</v>
      </c>
      <c r="G206">
        <v>44063480.708656684</v>
      </c>
      <c r="H206">
        <v>40.714786428842267</v>
      </c>
      <c r="I206">
        <v>318661.07054244541</v>
      </c>
      <c r="J206">
        <v>544731.33956935909</v>
      </c>
      <c r="K206">
        <v>247390.6354115133</v>
      </c>
      <c r="L206">
        <v>314.1193526867828</v>
      </c>
      <c r="M206">
        <v>10481807.92655907</v>
      </c>
    </row>
    <row r="207" spans="1:13">
      <c r="A207">
        <v>2029</v>
      </c>
      <c r="B207" t="s">
        <v>73</v>
      </c>
      <c r="C207" t="s">
        <v>91</v>
      </c>
      <c r="D207" t="s">
        <v>81</v>
      </c>
      <c r="E207" t="s">
        <v>82</v>
      </c>
      <c r="F207" t="s">
        <v>83</v>
      </c>
      <c r="G207">
        <v>46138119.095843218</v>
      </c>
      <c r="H207">
        <v>53.577791759487397</v>
      </c>
      <c r="I207">
        <v>531236.43937491917</v>
      </c>
      <c r="J207">
        <v>881448.65758004796</v>
      </c>
      <c r="K207">
        <v>464052.95076991722</v>
      </c>
      <c r="L207">
        <v>684.92943380925306</v>
      </c>
      <c r="M207">
        <v>10957151.76362399</v>
      </c>
    </row>
    <row r="208" spans="1:13">
      <c r="A208">
        <v>2029</v>
      </c>
      <c r="B208" t="s">
        <v>73</v>
      </c>
      <c r="C208" t="s">
        <v>91</v>
      </c>
      <c r="D208" t="s">
        <v>81</v>
      </c>
      <c r="E208" t="s">
        <v>82</v>
      </c>
      <c r="F208" t="s">
        <v>84</v>
      </c>
      <c r="G208">
        <v>45992932.989659861</v>
      </c>
      <c r="H208">
        <v>49.528419193013683</v>
      </c>
      <c r="I208">
        <v>436748.75081639388</v>
      </c>
      <c r="J208">
        <v>735344.2012181402</v>
      </c>
      <c r="K208">
        <v>364653.54405446409</v>
      </c>
      <c r="L208">
        <v>507.42535623392041</v>
      </c>
      <c r="M208">
        <v>10774652.613620451</v>
      </c>
    </row>
    <row r="209" spans="1:13">
      <c r="A209">
        <v>2029</v>
      </c>
      <c r="B209" t="s">
        <v>73</v>
      </c>
      <c r="C209" t="s">
        <v>91</v>
      </c>
      <c r="D209" t="s">
        <v>85</v>
      </c>
      <c r="E209" t="s">
        <v>82</v>
      </c>
      <c r="F209" t="s">
        <v>86</v>
      </c>
      <c r="G209">
        <v>45865944.605002344</v>
      </c>
      <c r="H209">
        <v>45.986597633011677</v>
      </c>
      <c r="I209">
        <v>354104.21095308231</v>
      </c>
      <c r="J209">
        <v>607552.57299421448</v>
      </c>
      <c r="K209">
        <v>277712.92400112707</v>
      </c>
      <c r="L209">
        <v>352.16975586024262</v>
      </c>
      <c r="M209">
        <v>10615028.026464351</v>
      </c>
    </row>
    <row r="210" spans="1:13">
      <c r="A210">
        <v>2029</v>
      </c>
      <c r="B210" t="s">
        <v>73</v>
      </c>
      <c r="C210" t="s">
        <v>91</v>
      </c>
      <c r="D210" t="s">
        <v>85</v>
      </c>
      <c r="E210" t="s">
        <v>82</v>
      </c>
      <c r="F210" t="s">
        <v>87</v>
      </c>
      <c r="G210">
        <v>45865944.605002344</v>
      </c>
      <c r="H210">
        <v>45.986597633011677</v>
      </c>
      <c r="I210">
        <v>354104.21095308231</v>
      </c>
      <c r="J210">
        <v>607552.57299421448</v>
      </c>
      <c r="K210">
        <v>277712.92400112707</v>
      </c>
      <c r="L210">
        <v>352.16975586024262</v>
      </c>
      <c r="M210">
        <v>10615028.026464351</v>
      </c>
    </row>
    <row r="211" spans="1:13">
      <c r="A211">
        <v>2029</v>
      </c>
      <c r="B211" t="s">
        <v>73</v>
      </c>
      <c r="C211" t="s">
        <v>91</v>
      </c>
      <c r="D211" t="s">
        <v>85</v>
      </c>
      <c r="E211" t="s">
        <v>88</v>
      </c>
      <c r="F211" t="s">
        <v>89</v>
      </c>
      <c r="G211">
        <v>44864515.248756409</v>
      </c>
      <c r="H211">
        <v>41.6449860690241</v>
      </c>
      <c r="I211">
        <v>327884.21932349837</v>
      </c>
      <c r="J211">
        <v>560034.75535402563</v>
      </c>
      <c r="K211">
        <v>255447.3670097329</v>
      </c>
      <c r="L211">
        <v>326.01086765886993</v>
      </c>
      <c r="M211">
        <v>10672042.318332709</v>
      </c>
    </row>
    <row r="212" spans="1:13">
      <c r="A212">
        <v>2029</v>
      </c>
      <c r="B212" t="s">
        <v>74</v>
      </c>
      <c r="C212" t="s">
        <v>80</v>
      </c>
      <c r="D212" t="s">
        <v>81</v>
      </c>
      <c r="E212" t="s">
        <v>82</v>
      </c>
      <c r="F212" t="s">
        <v>83</v>
      </c>
      <c r="G212">
        <v>275108.76255764178</v>
      </c>
      <c r="H212">
        <v>2.613867449069633</v>
      </c>
      <c r="I212">
        <v>155962.21750393341</v>
      </c>
      <c r="J212">
        <v>347901.50919409283</v>
      </c>
      <c r="K212">
        <v>127721.8048180873</v>
      </c>
      <c r="L212">
        <v>4716334.3724660072</v>
      </c>
      <c r="M212">
        <v>1731463.4235773741</v>
      </c>
    </row>
    <row r="213" spans="1:13">
      <c r="A213">
        <v>2029</v>
      </c>
      <c r="B213" t="s">
        <v>74</v>
      </c>
      <c r="C213" t="s">
        <v>80</v>
      </c>
      <c r="D213" t="s">
        <v>81</v>
      </c>
      <c r="E213" t="s">
        <v>82</v>
      </c>
      <c r="F213" t="s">
        <v>84</v>
      </c>
      <c r="G213">
        <v>241618.4160562208</v>
      </c>
      <c r="H213">
        <v>2.3092192426838278</v>
      </c>
      <c r="I213">
        <v>28769.49937968763</v>
      </c>
      <c r="J213">
        <v>52004.505608972817</v>
      </c>
      <c r="K213">
        <v>16865.820383396291</v>
      </c>
      <c r="L213">
        <v>705000.21082077082</v>
      </c>
      <c r="M213">
        <v>228641.860675781</v>
      </c>
    </row>
    <row r="214" spans="1:13">
      <c r="A214">
        <v>2029</v>
      </c>
      <c r="B214" t="s">
        <v>74</v>
      </c>
      <c r="C214" t="s">
        <v>80</v>
      </c>
      <c r="D214" t="s">
        <v>85</v>
      </c>
      <c r="E214" t="s">
        <v>82</v>
      </c>
      <c r="F214" t="s">
        <v>86</v>
      </c>
      <c r="G214">
        <v>241618.4160562208</v>
      </c>
      <c r="H214">
        <v>2.3092192426838278</v>
      </c>
      <c r="I214">
        <v>28769.49937968763</v>
      </c>
      <c r="J214">
        <v>52004.505608972817</v>
      </c>
      <c r="K214">
        <v>16865.820383396291</v>
      </c>
      <c r="L214">
        <v>705000.21082077082</v>
      </c>
      <c r="M214">
        <v>228641.860675781</v>
      </c>
    </row>
    <row r="215" spans="1:13">
      <c r="A215">
        <v>2029</v>
      </c>
      <c r="B215" t="s">
        <v>74</v>
      </c>
      <c r="C215" t="s">
        <v>80</v>
      </c>
      <c r="D215" t="s">
        <v>85</v>
      </c>
      <c r="E215" t="s">
        <v>82</v>
      </c>
      <c r="F215" t="s">
        <v>87</v>
      </c>
      <c r="G215">
        <v>241618.4160562208</v>
      </c>
      <c r="H215">
        <v>2.3092192426838278</v>
      </c>
      <c r="I215">
        <v>28769.49937968763</v>
      </c>
      <c r="J215">
        <v>52004.505608972817</v>
      </c>
      <c r="K215">
        <v>16865.820383396291</v>
      </c>
      <c r="L215">
        <v>705000.21082077082</v>
      </c>
      <c r="M215">
        <v>228641.860675781</v>
      </c>
    </row>
    <row r="216" spans="1:13">
      <c r="A216">
        <v>2029</v>
      </c>
      <c r="B216" t="s">
        <v>74</v>
      </c>
      <c r="C216" t="s">
        <v>80</v>
      </c>
      <c r="D216" t="s">
        <v>85</v>
      </c>
      <c r="E216" t="s">
        <v>88</v>
      </c>
      <c r="F216" t="s">
        <v>89</v>
      </c>
      <c r="G216">
        <v>241618.4160562208</v>
      </c>
      <c r="H216">
        <v>2.3092192426838278</v>
      </c>
      <c r="I216">
        <v>28769.49937968763</v>
      </c>
      <c r="J216">
        <v>52004.505608972817</v>
      </c>
      <c r="K216">
        <v>16865.820383396291</v>
      </c>
      <c r="L216">
        <v>705000.21082077082</v>
      </c>
      <c r="M216">
        <v>228641.860675781</v>
      </c>
    </row>
    <row r="217" spans="1:13">
      <c r="A217">
        <v>2029</v>
      </c>
      <c r="B217" t="s">
        <v>74</v>
      </c>
      <c r="C217" t="s">
        <v>90</v>
      </c>
      <c r="D217" t="s">
        <v>81</v>
      </c>
      <c r="E217" t="s">
        <v>82</v>
      </c>
      <c r="F217" t="s">
        <v>83</v>
      </c>
      <c r="G217">
        <v>158832.2117754973</v>
      </c>
      <c r="H217">
        <v>1.509098962766479</v>
      </c>
      <c r="I217">
        <v>90043.747531926158</v>
      </c>
      <c r="J217">
        <v>200858.61922974349</v>
      </c>
      <c r="K217">
        <v>73739.333355347771</v>
      </c>
      <c r="L217">
        <v>2722944.2380797402</v>
      </c>
      <c r="M217">
        <v>999648.87566075823</v>
      </c>
    </row>
    <row r="218" spans="1:13">
      <c r="A218">
        <v>2029</v>
      </c>
      <c r="B218" t="s">
        <v>74</v>
      </c>
      <c r="C218" t="s">
        <v>90</v>
      </c>
      <c r="D218" t="s">
        <v>81</v>
      </c>
      <c r="E218" t="s">
        <v>82</v>
      </c>
      <c r="F218" t="s">
        <v>84</v>
      </c>
      <c r="G218">
        <v>139496.7832762544</v>
      </c>
      <c r="H218">
        <v>1.3332123498362309</v>
      </c>
      <c r="I218">
        <v>16609.878855429619</v>
      </c>
      <c r="J218">
        <v>30024.454951462139</v>
      </c>
      <c r="K218">
        <v>9737.369068140164</v>
      </c>
      <c r="L218">
        <v>407027.17625503888</v>
      </c>
      <c r="M218">
        <v>132004.85545417841</v>
      </c>
    </row>
    <row r="219" spans="1:13">
      <c r="A219">
        <v>2029</v>
      </c>
      <c r="B219" t="s">
        <v>74</v>
      </c>
      <c r="C219" t="s">
        <v>90</v>
      </c>
      <c r="D219" t="s">
        <v>85</v>
      </c>
      <c r="E219" t="s">
        <v>82</v>
      </c>
      <c r="F219" t="s">
        <v>86</v>
      </c>
      <c r="G219">
        <v>139496.7832762544</v>
      </c>
      <c r="H219">
        <v>1.3332123498362309</v>
      </c>
      <c r="I219">
        <v>16609.878855429619</v>
      </c>
      <c r="J219">
        <v>30024.454951462139</v>
      </c>
      <c r="K219">
        <v>9737.369068140164</v>
      </c>
      <c r="L219">
        <v>407027.17625503888</v>
      </c>
      <c r="M219">
        <v>132004.85545417841</v>
      </c>
    </row>
    <row r="220" spans="1:13">
      <c r="A220">
        <v>2029</v>
      </c>
      <c r="B220" t="s">
        <v>74</v>
      </c>
      <c r="C220" t="s">
        <v>90</v>
      </c>
      <c r="D220" t="s">
        <v>85</v>
      </c>
      <c r="E220" t="s">
        <v>82</v>
      </c>
      <c r="F220" t="s">
        <v>87</v>
      </c>
      <c r="G220">
        <v>139496.7832762544</v>
      </c>
      <c r="H220">
        <v>1.3332123498362309</v>
      </c>
      <c r="I220">
        <v>16609.878855429619</v>
      </c>
      <c r="J220">
        <v>30024.454951462139</v>
      </c>
      <c r="K220">
        <v>9737.369068140164</v>
      </c>
      <c r="L220">
        <v>407027.17625503888</v>
      </c>
      <c r="M220">
        <v>132004.85545417841</v>
      </c>
    </row>
    <row r="221" spans="1:13">
      <c r="A221">
        <v>2029</v>
      </c>
      <c r="B221" t="s">
        <v>74</v>
      </c>
      <c r="C221" t="s">
        <v>90</v>
      </c>
      <c r="D221" t="s">
        <v>85</v>
      </c>
      <c r="E221" t="s">
        <v>88</v>
      </c>
      <c r="F221" t="s">
        <v>89</v>
      </c>
      <c r="G221">
        <v>139496.7832762544</v>
      </c>
      <c r="H221">
        <v>1.3332123498362309</v>
      </c>
      <c r="I221">
        <v>16609.878855429619</v>
      </c>
      <c r="J221">
        <v>30024.454951462139</v>
      </c>
      <c r="K221">
        <v>9737.369068140164</v>
      </c>
      <c r="L221">
        <v>407027.17625503888</v>
      </c>
      <c r="M221">
        <v>132004.85545417841</v>
      </c>
    </row>
    <row r="222" spans="1:13">
      <c r="A222">
        <v>2029</v>
      </c>
      <c r="B222" t="s">
        <v>74</v>
      </c>
      <c r="C222" t="s">
        <v>91</v>
      </c>
      <c r="D222" t="s">
        <v>81</v>
      </c>
      <c r="E222" t="s">
        <v>82</v>
      </c>
      <c r="F222" t="s">
        <v>83</v>
      </c>
      <c r="G222">
        <v>261099.2530986582</v>
      </c>
      <c r="H222">
        <v>2.4807600903223901</v>
      </c>
      <c r="I222">
        <v>148020.07076512271</v>
      </c>
      <c r="J222">
        <v>330185.1360821019</v>
      </c>
      <c r="K222">
        <v>121217.759595818</v>
      </c>
      <c r="L222">
        <v>4476161.9752347562</v>
      </c>
      <c r="M222">
        <v>1643291.193129393</v>
      </c>
    </row>
    <row r="223" spans="1:13">
      <c r="A223">
        <v>2029</v>
      </c>
      <c r="B223" t="s">
        <v>74</v>
      </c>
      <c r="C223" t="s">
        <v>91</v>
      </c>
      <c r="D223" t="s">
        <v>81</v>
      </c>
      <c r="E223" t="s">
        <v>82</v>
      </c>
      <c r="F223" t="s">
        <v>84</v>
      </c>
      <c r="G223">
        <v>229314.353278522</v>
      </c>
      <c r="H223">
        <v>2.1916256461640971</v>
      </c>
      <c r="I223">
        <v>27304.45490075901</v>
      </c>
      <c r="J223">
        <v>49356.252581823173</v>
      </c>
      <c r="K223">
        <v>16006.953264813679</v>
      </c>
      <c r="L223">
        <v>669099.11108749872</v>
      </c>
      <c r="M223">
        <v>216998.6099116916</v>
      </c>
    </row>
    <row r="224" spans="1:13">
      <c r="A224">
        <v>2029</v>
      </c>
      <c r="B224" t="s">
        <v>74</v>
      </c>
      <c r="C224" t="s">
        <v>91</v>
      </c>
      <c r="D224" t="s">
        <v>85</v>
      </c>
      <c r="E224" t="s">
        <v>82</v>
      </c>
      <c r="F224" t="s">
        <v>86</v>
      </c>
      <c r="G224">
        <v>229314.353278522</v>
      </c>
      <c r="H224">
        <v>2.1916256461640971</v>
      </c>
      <c r="I224">
        <v>27304.45490075901</v>
      </c>
      <c r="J224">
        <v>49356.252581823173</v>
      </c>
      <c r="K224">
        <v>16006.953264813679</v>
      </c>
      <c r="L224">
        <v>669099.11108749872</v>
      </c>
      <c r="M224">
        <v>216998.6099116916</v>
      </c>
    </row>
    <row r="225" spans="1:13">
      <c r="A225">
        <v>2029</v>
      </c>
      <c r="B225" t="s">
        <v>74</v>
      </c>
      <c r="C225" t="s">
        <v>91</v>
      </c>
      <c r="D225" t="s">
        <v>85</v>
      </c>
      <c r="E225" t="s">
        <v>82</v>
      </c>
      <c r="F225" t="s">
        <v>87</v>
      </c>
      <c r="G225">
        <v>229314.353278522</v>
      </c>
      <c r="H225">
        <v>2.1916256461640971</v>
      </c>
      <c r="I225">
        <v>27304.45490075901</v>
      </c>
      <c r="J225">
        <v>49356.252581823173</v>
      </c>
      <c r="K225">
        <v>16006.953264813679</v>
      </c>
      <c r="L225">
        <v>669099.11108749872</v>
      </c>
      <c r="M225">
        <v>216998.6099116916</v>
      </c>
    </row>
    <row r="226" spans="1:13">
      <c r="A226">
        <v>2029</v>
      </c>
      <c r="B226" t="s">
        <v>74</v>
      </c>
      <c r="C226" t="s">
        <v>91</v>
      </c>
      <c r="D226" t="s">
        <v>85</v>
      </c>
      <c r="E226" t="s">
        <v>88</v>
      </c>
      <c r="F226" t="s">
        <v>89</v>
      </c>
      <c r="G226">
        <v>229314.353278522</v>
      </c>
      <c r="H226">
        <v>2.1916256461640971</v>
      </c>
      <c r="I226">
        <v>27304.45490075901</v>
      </c>
      <c r="J226">
        <v>49356.252581823173</v>
      </c>
      <c r="K226">
        <v>16006.953264813679</v>
      </c>
      <c r="L226">
        <v>669099.11108749872</v>
      </c>
      <c r="M226">
        <v>216998.6099116916</v>
      </c>
    </row>
    <row r="227" spans="1:13">
      <c r="A227">
        <v>2030</v>
      </c>
      <c r="B227" t="s">
        <v>72</v>
      </c>
      <c r="C227" t="s">
        <v>80</v>
      </c>
      <c r="D227" t="s">
        <v>81</v>
      </c>
      <c r="E227" t="s">
        <v>82</v>
      </c>
      <c r="F227" t="s">
        <v>83</v>
      </c>
      <c r="G227">
        <v>524791.15219255257</v>
      </c>
      <c r="H227">
        <v>4.8476882341374932</v>
      </c>
      <c r="I227">
        <v>64966.672213111902</v>
      </c>
      <c r="J227">
        <v>119933.3790770687</v>
      </c>
      <c r="K227">
        <v>52293.282183859032</v>
      </c>
      <c r="L227">
        <v>68.07076047794591</v>
      </c>
      <c r="M227">
        <v>953269.40949077508</v>
      </c>
    </row>
    <row r="228" spans="1:13">
      <c r="A228">
        <v>2030</v>
      </c>
      <c r="B228" t="s">
        <v>72</v>
      </c>
      <c r="C228" t="s">
        <v>80</v>
      </c>
      <c r="D228" t="s">
        <v>81</v>
      </c>
      <c r="E228" t="s">
        <v>82</v>
      </c>
      <c r="F228" t="s">
        <v>84</v>
      </c>
      <c r="G228">
        <v>523822.88610827958</v>
      </c>
      <c r="H228">
        <v>4.8388953892252244</v>
      </c>
      <c r="I228">
        <v>63585.419529258768</v>
      </c>
      <c r="J228">
        <v>117368.64382405431</v>
      </c>
      <c r="K228">
        <v>51085.214727656807</v>
      </c>
      <c r="L228">
        <v>66.254691924685801</v>
      </c>
      <c r="M228">
        <v>947296.96666573535</v>
      </c>
    </row>
    <row r="229" spans="1:13">
      <c r="A229">
        <v>2030</v>
      </c>
      <c r="B229" t="s">
        <v>72</v>
      </c>
      <c r="C229" t="s">
        <v>80</v>
      </c>
      <c r="D229" t="s">
        <v>85</v>
      </c>
      <c r="E229" t="s">
        <v>82</v>
      </c>
      <c r="F229" t="s">
        <v>86</v>
      </c>
      <c r="G229">
        <v>522854.44668487471</v>
      </c>
      <c r="H229">
        <v>4.83010097021661</v>
      </c>
      <c r="I229">
        <v>62203.919573353953</v>
      </c>
      <c r="J229">
        <v>114803.4494317706</v>
      </c>
      <c r="K229">
        <v>49876.931003046957</v>
      </c>
      <c r="L229">
        <v>64.438298258575301</v>
      </c>
      <c r="M229">
        <v>941323.45465313282</v>
      </c>
    </row>
    <row r="230" spans="1:13">
      <c r="A230">
        <v>2030</v>
      </c>
      <c r="B230" t="s">
        <v>72</v>
      </c>
      <c r="C230" t="s">
        <v>80</v>
      </c>
      <c r="D230" t="s">
        <v>85</v>
      </c>
      <c r="E230" t="s">
        <v>82</v>
      </c>
      <c r="F230" t="s">
        <v>87</v>
      </c>
      <c r="G230">
        <v>522854.44668487471</v>
      </c>
      <c r="H230">
        <v>4.83010097021661</v>
      </c>
      <c r="I230">
        <v>62203.919573353953</v>
      </c>
      <c r="J230">
        <v>114803.4494317706</v>
      </c>
      <c r="K230">
        <v>49876.931003046957</v>
      </c>
      <c r="L230">
        <v>64.438298258575301</v>
      </c>
      <c r="M230">
        <v>941323.45465313282</v>
      </c>
    </row>
    <row r="231" spans="1:13">
      <c r="A231">
        <v>2030</v>
      </c>
      <c r="B231" t="s">
        <v>72</v>
      </c>
      <c r="C231" t="s">
        <v>80</v>
      </c>
      <c r="D231" t="s">
        <v>85</v>
      </c>
      <c r="E231" t="s">
        <v>88</v>
      </c>
      <c r="F231" t="s">
        <v>89</v>
      </c>
      <c r="G231">
        <v>522791.45520549582</v>
      </c>
      <c r="H231">
        <v>4.8295342536435566</v>
      </c>
      <c r="I231">
        <v>62123.363402214381</v>
      </c>
      <c r="J231">
        <v>114649.48903092679</v>
      </c>
      <c r="K231">
        <v>49805.977395725931</v>
      </c>
      <c r="L231">
        <v>64.429508025502415</v>
      </c>
      <c r="M231">
        <v>941300.59258241358</v>
      </c>
    </row>
    <row r="232" spans="1:13">
      <c r="A232">
        <v>2030</v>
      </c>
      <c r="B232" t="s">
        <v>72</v>
      </c>
      <c r="C232" t="s">
        <v>90</v>
      </c>
      <c r="D232" t="s">
        <v>81</v>
      </c>
      <c r="E232" t="s">
        <v>82</v>
      </c>
      <c r="F232" t="s">
        <v>83</v>
      </c>
      <c r="G232">
        <v>253307.03415804409</v>
      </c>
      <c r="H232">
        <v>2.3398899237951771</v>
      </c>
      <c r="I232">
        <v>31358.217433100112</v>
      </c>
      <c r="J232">
        <v>57889.635569575847</v>
      </c>
      <c r="K232">
        <v>25241.005228538608</v>
      </c>
      <c r="L232">
        <v>32.856503730124793</v>
      </c>
      <c r="M232">
        <v>460125.60589645762</v>
      </c>
    </row>
    <row r="233" spans="1:13">
      <c r="A233">
        <v>2030</v>
      </c>
      <c r="B233" t="s">
        <v>72</v>
      </c>
      <c r="C233" t="s">
        <v>90</v>
      </c>
      <c r="D233" t="s">
        <v>81</v>
      </c>
      <c r="E233" t="s">
        <v>82</v>
      </c>
      <c r="F233" t="s">
        <v>84</v>
      </c>
      <c r="G233">
        <v>252338.76807377121</v>
      </c>
      <c r="H233">
        <v>2.331097078882908</v>
      </c>
      <c r="I233">
        <v>29976.96474924697</v>
      </c>
      <c r="J233">
        <v>55324.90031656147</v>
      </c>
      <c r="K233">
        <v>24032.93777233638</v>
      </c>
      <c r="L233">
        <v>31.040435176864669</v>
      </c>
      <c r="M233">
        <v>454153.16307141789</v>
      </c>
    </row>
    <row r="234" spans="1:13">
      <c r="A234">
        <v>2030</v>
      </c>
      <c r="B234" t="s">
        <v>72</v>
      </c>
      <c r="C234" t="s">
        <v>90</v>
      </c>
      <c r="D234" t="s">
        <v>85</v>
      </c>
      <c r="E234" t="s">
        <v>82</v>
      </c>
      <c r="F234" t="s">
        <v>86</v>
      </c>
      <c r="G234">
        <v>251370.32865036631</v>
      </c>
      <c r="H234">
        <v>2.322302659874294</v>
      </c>
      <c r="I234">
        <v>28595.464793342169</v>
      </c>
      <c r="J234">
        <v>52759.705924277783</v>
      </c>
      <c r="K234">
        <v>22824.654047726541</v>
      </c>
      <c r="L234">
        <v>29.22404151075418</v>
      </c>
      <c r="M234">
        <v>448179.65105881542</v>
      </c>
    </row>
    <row r="235" spans="1:13">
      <c r="A235">
        <v>2030</v>
      </c>
      <c r="B235" t="s">
        <v>72</v>
      </c>
      <c r="C235" t="s">
        <v>90</v>
      </c>
      <c r="D235" t="s">
        <v>85</v>
      </c>
      <c r="E235" t="s">
        <v>82</v>
      </c>
      <c r="F235" t="s">
        <v>87</v>
      </c>
      <c r="G235">
        <v>251370.32865036631</v>
      </c>
      <c r="H235">
        <v>2.322302659874294</v>
      </c>
      <c r="I235">
        <v>28595.464793342169</v>
      </c>
      <c r="J235">
        <v>52759.705924277783</v>
      </c>
      <c r="K235">
        <v>22824.654047726541</v>
      </c>
      <c r="L235">
        <v>29.22404151075418</v>
      </c>
      <c r="M235">
        <v>448179.65105881542</v>
      </c>
    </row>
    <row r="236" spans="1:13">
      <c r="A236">
        <v>2030</v>
      </c>
      <c r="B236" t="s">
        <v>72</v>
      </c>
      <c r="C236" t="s">
        <v>90</v>
      </c>
      <c r="D236" t="s">
        <v>85</v>
      </c>
      <c r="E236" t="s">
        <v>88</v>
      </c>
      <c r="F236" t="s">
        <v>89</v>
      </c>
      <c r="G236">
        <v>251307.33717098739</v>
      </c>
      <c r="H236">
        <v>2.3217359433012401</v>
      </c>
      <c r="I236">
        <v>28514.908622202591</v>
      </c>
      <c r="J236">
        <v>52605.745523434023</v>
      </c>
      <c r="K236">
        <v>22753.700440405501</v>
      </c>
      <c r="L236">
        <v>29.215251277681279</v>
      </c>
      <c r="M236">
        <v>448156.78898809612</v>
      </c>
    </row>
    <row r="237" spans="1:13">
      <c r="A237">
        <v>2030</v>
      </c>
      <c r="B237" t="s">
        <v>72</v>
      </c>
      <c r="C237" t="s">
        <v>91</v>
      </c>
      <c r="D237" t="s">
        <v>81</v>
      </c>
      <c r="E237" t="s">
        <v>82</v>
      </c>
      <c r="F237" t="s">
        <v>83</v>
      </c>
      <c r="G237">
        <v>497022.3345712155</v>
      </c>
      <c r="H237">
        <v>4.591177487154714</v>
      </c>
      <c r="I237">
        <v>61529.023417750432</v>
      </c>
      <c r="J237">
        <v>113587.2200071462</v>
      </c>
      <c r="K237">
        <v>49526.233597544648</v>
      </c>
      <c r="L237">
        <v>64.468861846156017</v>
      </c>
      <c r="M237">
        <v>902828.07818106504</v>
      </c>
    </row>
    <row r="238" spans="1:13">
      <c r="A238">
        <v>2030</v>
      </c>
      <c r="B238" t="s">
        <v>72</v>
      </c>
      <c r="C238" t="s">
        <v>91</v>
      </c>
      <c r="D238" t="s">
        <v>81</v>
      </c>
      <c r="E238" t="s">
        <v>82</v>
      </c>
      <c r="F238" t="s">
        <v>84</v>
      </c>
      <c r="G238">
        <v>496054.06848694262</v>
      </c>
      <c r="H238">
        <v>4.5823846422424444</v>
      </c>
      <c r="I238">
        <v>60147.77073389729</v>
      </c>
      <c r="J238">
        <v>111022.4847541319</v>
      </c>
      <c r="K238">
        <v>48318.166141342437</v>
      </c>
      <c r="L238">
        <v>62.652793292895907</v>
      </c>
      <c r="M238">
        <v>896855.63535602542</v>
      </c>
    </row>
    <row r="239" spans="1:13">
      <c r="A239">
        <v>2030</v>
      </c>
      <c r="B239" t="s">
        <v>72</v>
      </c>
      <c r="C239" t="s">
        <v>91</v>
      </c>
      <c r="D239" t="s">
        <v>85</v>
      </c>
      <c r="E239" t="s">
        <v>82</v>
      </c>
      <c r="F239" t="s">
        <v>86</v>
      </c>
      <c r="G239">
        <v>495085.62906353769</v>
      </c>
      <c r="H239">
        <v>4.5735902232338299</v>
      </c>
      <c r="I239">
        <v>58766.270777992482</v>
      </c>
      <c r="J239">
        <v>108457.29036184819</v>
      </c>
      <c r="K239">
        <v>47109.88241673258</v>
      </c>
      <c r="L239">
        <v>60.836399626785408</v>
      </c>
      <c r="M239">
        <v>890882.12334342289</v>
      </c>
    </row>
    <row r="240" spans="1:13">
      <c r="A240">
        <v>2030</v>
      </c>
      <c r="B240" t="s">
        <v>72</v>
      </c>
      <c r="C240" t="s">
        <v>91</v>
      </c>
      <c r="D240" t="s">
        <v>85</v>
      </c>
      <c r="E240" t="s">
        <v>82</v>
      </c>
      <c r="F240" t="s">
        <v>87</v>
      </c>
      <c r="G240">
        <v>495085.62906353769</v>
      </c>
      <c r="H240">
        <v>4.5735902232338299</v>
      </c>
      <c r="I240">
        <v>58766.270777992482</v>
      </c>
      <c r="J240">
        <v>108457.29036184819</v>
      </c>
      <c r="K240">
        <v>47109.88241673258</v>
      </c>
      <c r="L240">
        <v>60.836399626785408</v>
      </c>
      <c r="M240">
        <v>890882.12334342289</v>
      </c>
    </row>
    <row r="241" spans="1:13">
      <c r="A241">
        <v>2030</v>
      </c>
      <c r="B241" t="s">
        <v>72</v>
      </c>
      <c r="C241" t="s">
        <v>91</v>
      </c>
      <c r="D241" t="s">
        <v>85</v>
      </c>
      <c r="E241" t="s">
        <v>88</v>
      </c>
      <c r="F241" t="s">
        <v>89</v>
      </c>
      <c r="G241">
        <v>495022.63758415869</v>
      </c>
      <c r="H241">
        <v>4.5730235066607774</v>
      </c>
      <c r="I241">
        <v>58685.714606852911</v>
      </c>
      <c r="J241">
        <v>108303.32996100441</v>
      </c>
      <c r="K241">
        <v>47038.928809411547</v>
      </c>
      <c r="L241">
        <v>60.827609393712507</v>
      </c>
      <c r="M241">
        <v>890859.26127270353</v>
      </c>
    </row>
    <row r="242" spans="1:13">
      <c r="A242">
        <v>2030</v>
      </c>
      <c r="B242" t="s">
        <v>73</v>
      </c>
      <c r="C242" t="s">
        <v>80</v>
      </c>
      <c r="D242" t="s">
        <v>81</v>
      </c>
      <c r="E242" t="s">
        <v>82</v>
      </c>
      <c r="F242" t="s">
        <v>83</v>
      </c>
      <c r="G242">
        <v>49576996.671597779</v>
      </c>
      <c r="H242">
        <v>57.571180962402458</v>
      </c>
      <c r="I242">
        <v>570831.83499551564</v>
      </c>
      <c r="J242">
        <v>947146.9149458122</v>
      </c>
      <c r="K242">
        <v>498640.86457391048</v>
      </c>
      <c r="L242">
        <v>735.98024639240225</v>
      </c>
      <c r="M242">
        <v>11773836.627083469</v>
      </c>
    </row>
    <row r="243" spans="1:13">
      <c r="A243">
        <v>2030</v>
      </c>
      <c r="B243" t="s">
        <v>73</v>
      </c>
      <c r="C243" t="s">
        <v>80</v>
      </c>
      <c r="D243" t="s">
        <v>81</v>
      </c>
      <c r="E243" t="s">
        <v>82</v>
      </c>
      <c r="F243" t="s">
        <v>84</v>
      </c>
      <c r="G243">
        <v>49438696.436158083</v>
      </c>
      <c r="H243">
        <v>53.713861594534478</v>
      </c>
      <c r="I243">
        <v>480825.49818189332</v>
      </c>
      <c r="J243">
        <v>807971.88473924948</v>
      </c>
      <c r="K243">
        <v>403955.76203418832</v>
      </c>
      <c r="L243">
        <v>566.89481276851836</v>
      </c>
      <c r="M243">
        <v>11599993.02677945</v>
      </c>
    </row>
    <row r="244" spans="1:13">
      <c r="A244">
        <v>2030</v>
      </c>
      <c r="B244" t="s">
        <v>73</v>
      </c>
      <c r="C244" t="s">
        <v>80</v>
      </c>
      <c r="D244" t="s">
        <v>85</v>
      </c>
      <c r="E244" t="s">
        <v>82</v>
      </c>
      <c r="F244" t="s">
        <v>86</v>
      </c>
      <c r="G244">
        <v>49290898.818520978</v>
      </c>
      <c r="H244">
        <v>49.591651598117707</v>
      </c>
      <c r="I244">
        <v>384638.22770471667</v>
      </c>
      <c r="J244">
        <v>659239.39824923396</v>
      </c>
      <c r="K244">
        <v>302768.42466919241</v>
      </c>
      <c r="L244">
        <v>386.197909489263</v>
      </c>
      <c r="M244">
        <v>11414211.20301971</v>
      </c>
    </row>
    <row r="245" spans="1:13">
      <c r="A245">
        <v>2030</v>
      </c>
      <c r="B245" t="s">
        <v>73</v>
      </c>
      <c r="C245" t="s">
        <v>80</v>
      </c>
      <c r="D245" t="s">
        <v>85</v>
      </c>
      <c r="E245" t="s">
        <v>82</v>
      </c>
      <c r="F245" t="s">
        <v>87</v>
      </c>
      <c r="G245">
        <v>49290898.818520978</v>
      </c>
      <c r="H245">
        <v>49.591651598117707</v>
      </c>
      <c r="I245">
        <v>384638.22770471667</v>
      </c>
      <c r="J245">
        <v>659239.39824923396</v>
      </c>
      <c r="K245">
        <v>302768.42466919241</v>
      </c>
      <c r="L245">
        <v>386.197909489263</v>
      </c>
      <c r="M245">
        <v>11414211.20301971</v>
      </c>
    </row>
    <row r="246" spans="1:13">
      <c r="A246">
        <v>2030</v>
      </c>
      <c r="B246" t="s">
        <v>73</v>
      </c>
      <c r="C246" t="s">
        <v>80</v>
      </c>
      <c r="D246" t="s">
        <v>85</v>
      </c>
      <c r="E246" t="s">
        <v>88</v>
      </c>
      <c r="F246" t="s">
        <v>89</v>
      </c>
      <c r="G246">
        <v>48238240.327473909</v>
      </c>
      <c r="H246">
        <v>45.027940489435927</v>
      </c>
      <c r="I246">
        <v>357076.92579967662</v>
      </c>
      <c r="J246">
        <v>609290.75843455852</v>
      </c>
      <c r="K246">
        <v>279363.8505185548</v>
      </c>
      <c r="L246">
        <v>358.70083682030167</v>
      </c>
      <c r="M246">
        <v>11474142.118837129</v>
      </c>
    </row>
    <row r="247" spans="1:13">
      <c r="A247">
        <v>2030</v>
      </c>
      <c r="B247" t="s">
        <v>73</v>
      </c>
      <c r="C247" t="s">
        <v>90</v>
      </c>
      <c r="D247" t="s">
        <v>81</v>
      </c>
      <c r="E247" t="s">
        <v>82</v>
      </c>
      <c r="F247" t="s">
        <v>83</v>
      </c>
      <c r="G247">
        <v>46540533.136981256</v>
      </c>
      <c r="H247">
        <v>54.045094200932837</v>
      </c>
      <c r="I247">
        <v>535869.85327557172</v>
      </c>
      <c r="J247">
        <v>889136.60245737701</v>
      </c>
      <c r="K247">
        <v>468100.39411786629</v>
      </c>
      <c r="L247">
        <v>690.90334923439229</v>
      </c>
      <c r="M247">
        <v>11052719.415859731</v>
      </c>
    </row>
    <row r="248" spans="1:13">
      <c r="A248">
        <v>2030</v>
      </c>
      <c r="B248" t="s">
        <v>73</v>
      </c>
      <c r="C248" t="s">
        <v>90</v>
      </c>
      <c r="D248" t="s">
        <v>81</v>
      </c>
      <c r="E248" t="s">
        <v>82</v>
      </c>
      <c r="F248" t="s">
        <v>84</v>
      </c>
      <c r="G248">
        <v>46402232.901541553</v>
      </c>
      <c r="H248">
        <v>50.187774833064857</v>
      </c>
      <c r="I248">
        <v>445863.51646194939</v>
      </c>
      <c r="J248">
        <v>749961.57225081418</v>
      </c>
      <c r="K248">
        <v>373415.29157814413</v>
      </c>
      <c r="L248">
        <v>521.81791561050841</v>
      </c>
      <c r="M248">
        <v>10878875.81555571</v>
      </c>
    </row>
    <row r="249" spans="1:13">
      <c r="A249">
        <v>2030</v>
      </c>
      <c r="B249" t="s">
        <v>73</v>
      </c>
      <c r="C249" t="s">
        <v>90</v>
      </c>
      <c r="D249" t="s">
        <v>85</v>
      </c>
      <c r="E249" t="s">
        <v>82</v>
      </c>
      <c r="F249" t="s">
        <v>86</v>
      </c>
      <c r="G249">
        <v>46254435.283904448</v>
      </c>
      <c r="H249">
        <v>46.065564836648093</v>
      </c>
      <c r="I249">
        <v>349676.2459847728</v>
      </c>
      <c r="J249">
        <v>601229.08576079877</v>
      </c>
      <c r="K249">
        <v>272227.95421314822</v>
      </c>
      <c r="L249">
        <v>341.12101233125298</v>
      </c>
      <c r="M249">
        <v>10693093.99179597</v>
      </c>
    </row>
    <row r="250" spans="1:13">
      <c r="A250">
        <v>2030</v>
      </c>
      <c r="B250" t="s">
        <v>73</v>
      </c>
      <c r="C250" t="s">
        <v>90</v>
      </c>
      <c r="D250" t="s">
        <v>85</v>
      </c>
      <c r="E250" t="s">
        <v>82</v>
      </c>
      <c r="F250" t="s">
        <v>87</v>
      </c>
      <c r="G250">
        <v>46254435.283904448</v>
      </c>
      <c r="H250">
        <v>46.065564836648093</v>
      </c>
      <c r="I250">
        <v>349676.2459847728</v>
      </c>
      <c r="J250">
        <v>601229.08576079877</v>
      </c>
      <c r="K250">
        <v>272227.95421314822</v>
      </c>
      <c r="L250">
        <v>341.12101233125298</v>
      </c>
      <c r="M250">
        <v>10693093.99179597</v>
      </c>
    </row>
    <row r="251" spans="1:13">
      <c r="A251">
        <v>2030</v>
      </c>
      <c r="B251" t="s">
        <v>73</v>
      </c>
      <c r="C251" t="s">
        <v>90</v>
      </c>
      <c r="D251" t="s">
        <v>85</v>
      </c>
      <c r="E251" t="s">
        <v>88</v>
      </c>
      <c r="F251" t="s">
        <v>89</v>
      </c>
      <c r="G251">
        <v>45201776.792857379</v>
      </c>
      <c r="H251">
        <v>41.501853727966321</v>
      </c>
      <c r="I251">
        <v>322114.9440797327</v>
      </c>
      <c r="J251">
        <v>551280.44594612345</v>
      </c>
      <c r="K251">
        <v>248823.38006251049</v>
      </c>
      <c r="L251">
        <v>313.62393966229178</v>
      </c>
      <c r="M251">
        <v>10753024.90761338</v>
      </c>
    </row>
    <row r="252" spans="1:13">
      <c r="A252">
        <v>2030</v>
      </c>
      <c r="B252" t="s">
        <v>73</v>
      </c>
      <c r="C252" t="s">
        <v>91</v>
      </c>
      <c r="D252" t="s">
        <v>81</v>
      </c>
      <c r="E252" t="s">
        <v>82</v>
      </c>
      <c r="F252" t="s">
        <v>83</v>
      </c>
      <c r="G252">
        <v>48142051.74587658</v>
      </c>
      <c r="H252">
        <v>55.904854247676226</v>
      </c>
      <c r="I252">
        <v>554309.81268559629</v>
      </c>
      <c r="J252">
        <v>919732.9175123492</v>
      </c>
      <c r="K252">
        <v>484208.32072464819</v>
      </c>
      <c r="L252">
        <v>714.67820732401231</v>
      </c>
      <c r="M252">
        <v>11433057.47024554</v>
      </c>
    </row>
    <row r="253" spans="1:13">
      <c r="A253">
        <v>2030</v>
      </c>
      <c r="B253" t="s">
        <v>73</v>
      </c>
      <c r="C253" t="s">
        <v>91</v>
      </c>
      <c r="D253" t="s">
        <v>81</v>
      </c>
      <c r="E253" t="s">
        <v>82</v>
      </c>
      <c r="F253" t="s">
        <v>84</v>
      </c>
      <c r="G253">
        <v>48003751.510436878</v>
      </c>
      <c r="H253">
        <v>52.047534879808254</v>
      </c>
      <c r="I253">
        <v>464303.4758719739</v>
      </c>
      <c r="J253">
        <v>780557.88730578648</v>
      </c>
      <c r="K253">
        <v>389523.21818492602</v>
      </c>
      <c r="L253">
        <v>545.59277370012842</v>
      </c>
      <c r="M253">
        <v>11259213.869941531</v>
      </c>
    </row>
    <row r="254" spans="1:13">
      <c r="A254">
        <v>2030</v>
      </c>
      <c r="B254" t="s">
        <v>73</v>
      </c>
      <c r="C254" t="s">
        <v>91</v>
      </c>
      <c r="D254" t="s">
        <v>85</v>
      </c>
      <c r="E254" t="s">
        <v>82</v>
      </c>
      <c r="F254" t="s">
        <v>86</v>
      </c>
      <c r="G254">
        <v>47855953.892799772</v>
      </c>
      <c r="H254">
        <v>47.92532488339149</v>
      </c>
      <c r="I254">
        <v>368116.20539479738</v>
      </c>
      <c r="J254">
        <v>631825.40081577096</v>
      </c>
      <c r="K254">
        <v>288335.88081993011</v>
      </c>
      <c r="L254">
        <v>364.89587042087288</v>
      </c>
      <c r="M254">
        <v>11073432.046181779</v>
      </c>
    </row>
    <row r="255" spans="1:13">
      <c r="A255">
        <v>2030</v>
      </c>
      <c r="B255" t="s">
        <v>73</v>
      </c>
      <c r="C255" t="s">
        <v>91</v>
      </c>
      <c r="D255" t="s">
        <v>85</v>
      </c>
      <c r="E255" t="s">
        <v>82</v>
      </c>
      <c r="F255" t="s">
        <v>87</v>
      </c>
      <c r="G255">
        <v>47855953.892799772</v>
      </c>
      <c r="H255">
        <v>47.92532488339149</v>
      </c>
      <c r="I255">
        <v>368116.20539479738</v>
      </c>
      <c r="J255">
        <v>631825.40081577096</v>
      </c>
      <c r="K255">
        <v>288335.88081993011</v>
      </c>
      <c r="L255">
        <v>364.89587042087288</v>
      </c>
      <c r="M255">
        <v>11073432.046181779</v>
      </c>
    </row>
    <row r="256" spans="1:13">
      <c r="A256">
        <v>2030</v>
      </c>
      <c r="B256" t="s">
        <v>73</v>
      </c>
      <c r="C256" t="s">
        <v>91</v>
      </c>
      <c r="D256" t="s">
        <v>85</v>
      </c>
      <c r="E256" t="s">
        <v>88</v>
      </c>
      <c r="F256" t="s">
        <v>89</v>
      </c>
      <c r="G256">
        <v>46803295.40175271</v>
      </c>
      <c r="H256">
        <v>43.36161377470971</v>
      </c>
      <c r="I256">
        <v>340554.90348975721</v>
      </c>
      <c r="J256">
        <v>581876.76100109552</v>
      </c>
      <c r="K256">
        <v>264931.30666929239</v>
      </c>
      <c r="L256">
        <v>337.39879775191167</v>
      </c>
      <c r="M256">
        <v>11133362.9619992</v>
      </c>
    </row>
    <row r="257" spans="1:13">
      <c r="A257">
        <v>2030</v>
      </c>
      <c r="B257" t="s">
        <v>74</v>
      </c>
      <c r="C257" t="s">
        <v>80</v>
      </c>
      <c r="D257" t="s">
        <v>81</v>
      </c>
      <c r="E257" t="s">
        <v>82</v>
      </c>
      <c r="F257" t="s">
        <v>83</v>
      </c>
      <c r="G257">
        <v>335918.28601020132</v>
      </c>
      <c r="H257">
        <v>3.1916317938631891</v>
      </c>
      <c r="I257">
        <v>190435.81272804589</v>
      </c>
      <c r="J257">
        <v>424801.00445494038</v>
      </c>
      <c r="K257">
        <v>155953.19233654701</v>
      </c>
      <c r="L257">
        <v>5758824.0516978456</v>
      </c>
      <c r="M257">
        <v>2114182.8421971891</v>
      </c>
    </row>
    <row r="258" spans="1:13">
      <c r="A258">
        <v>2030</v>
      </c>
      <c r="B258" t="s">
        <v>74</v>
      </c>
      <c r="C258" t="s">
        <v>80</v>
      </c>
      <c r="D258" t="s">
        <v>81</v>
      </c>
      <c r="E258" t="s">
        <v>82</v>
      </c>
      <c r="F258" t="s">
        <v>84</v>
      </c>
      <c r="G258">
        <v>295025.29630658199</v>
      </c>
      <c r="H258">
        <v>2.819644720918685</v>
      </c>
      <c r="I258">
        <v>35128.655413043547</v>
      </c>
      <c r="J258">
        <v>63499.483718966687</v>
      </c>
      <c r="K258">
        <v>20593.809599791759</v>
      </c>
      <c r="L258">
        <v>860832.13145973126</v>
      </c>
      <c r="M258">
        <v>279180.4275310901</v>
      </c>
    </row>
    <row r="259" spans="1:13">
      <c r="A259">
        <v>2030</v>
      </c>
      <c r="B259" t="s">
        <v>74</v>
      </c>
      <c r="C259" t="s">
        <v>80</v>
      </c>
      <c r="D259" t="s">
        <v>85</v>
      </c>
      <c r="E259" t="s">
        <v>82</v>
      </c>
      <c r="F259" t="s">
        <v>86</v>
      </c>
      <c r="G259">
        <v>295025.29630658199</v>
      </c>
      <c r="H259">
        <v>2.819644720918685</v>
      </c>
      <c r="I259">
        <v>35128.655413043547</v>
      </c>
      <c r="J259">
        <v>63499.483718966687</v>
      </c>
      <c r="K259">
        <v>20593.809599791759</v>
      </c>
      <c r="L259">
        <v>860832.13145973126</v>
      </c>
      <c r="M259">
        <v>279180.4275310901</v>
      </c>
    </row>
    <row r="260" spans="1:13">
      <c r="A260">
        <v>2030</v>
      </c>
      <c r="B260" t="s">
        <v>74</v>
      </c>
      <c r="C260" t="s">
        <v>80</v>
      </c>
      <c r="D260" t="s">
        <v>85</v>
      </c>
      <c r="E260" t="s">
        <v>82</v>
      </c>
      <c r="F260" t="s">
        <v>87</v>
      </c>
      <c r="G260">
        <v>295025.29630658199</v>
      </c>
      <c r="H260">
        <v>2.819644720918685</v>
      </c>
      <c r="I260">
        <v>35128.655413043547</v>
      </c>
      <c r="J260">
        <v>63499.483718966687</v>
      </c>
      <c r="K260">
        <v>20593.809599791759</v>
      </c>
      <c r="L260">
        <v>860832.13145973126</v>
      </c>
      <c r="M260">
        <v>279180.4275310901</v>
      </c>
    </row>
    <row r="261" spans="1:13">
      <c r="A261">
        <v>2030</v>
      </c>
      <c r="B261" t="s">
        <v>74</v>
      </c>
      <c r="C261" t="s">
        <v>80</v>
      </c>
      <c r="D261" t="s">
        <v>85</v>
      </c>
      <c r="E261" t="s">
        <v>88</v>
      </c>
      <c r="F261" t="s">
        <v>89</v>
      </c>
      <c r="G261">
        <v>295025.29630658199</v>
      </c>
      <c r="H261">
        <v>2.819644720918685</v>
      </c>
      <c r="I261">
        <v>35128.655413043547</v>
      </c>
      <c r="J261">
        <v>63499.483718966687</v>
      </c>
      <c r="K261">
        <v>20593.809599791759</v>
      </c>
      <c r="L261">
        <v>860832.13145973126</v>
      </c>
      <c r="M261">
        <v>279180.4275310901</v>
      </c>
    </row>
    <row r="262" spans="1:13">
      <c r="A262">
        <v>2030</v>
      </c>
      <c r="B262" t="s">
        <v>74</v>
      </c>
      <c r="C262" t="s">
        <v>90</v>
      </c>
      <c r="D262" t="s">
        <v>81</v>
      </c>
      <c r="E262" t="s">
        <v>82</v>
      </c>
      <c r="F262" t="s">
        <v>83</v>
      </c>
      <c r="G262">
        <v>177211.6819213214</v>
      </c>
      <c r="H262">
        <v>1.683726256709001</v>
      </c>
      <c r="I262">
        <v>100463.27359078611</v>
      </c>
      <c r="J262">
        <v>224101.22823453741</v>
      </c>
      <c r="K262">
        <v>82272.173519364573</v>
      </c>
      <c r="L262">
        <v>3038033.1723273378</v>
      </c>
      <c r="M262">
        <v>1115324.508840777</v>
      </c>
    </row>
    <row r="263" spans="1:13">
      <c r="A263">
        <v>2030</v>
      </c>
      <c r="B263" t="s">
        <v>74</v>
      </c>
      <c r="C263" t="s">
        <v>90</v>
      </c>
      <c r="D263" t="s">
        <v>81</v>
      </c>
      <c r="E263" t="s">
        <v>82</v>
      </c>
      <c r="F263" t="s">
        <v>84</v>
      </c>
      <c r="G263">
        <v>155638.82987375651</v>
      </c>
      <c r="H263">
        <v>1.48748670204694</v>
      </c>
      <c r="I263">
        <v>18531.911981686309</v>
      </c>
      <c r="J263">
        <v>33498.772706383483</v>
      </c>
      <c r="K263">
        <v>10864.141037668091</v>
      </c>
      <c r="L263">
        <v>454126.84042827709</v>
      </c>
      <c r="M263">
        <v>147279.9641541265</v>
      </c>
    </row>
    <row r="264" spans="1:13">
      <c r="A264">
        <v>2030</v>
      </c>
      <c r="B264" t="s">
        <v>74</v>
      </c>
      <c r="C264" t="s">
        <v>90</v>
      </c>
      <c r="D264" t="s">
        <v>85</v>
      </c>
      <c r="E264" t="s">
        <v>82</v>
      </c>
      <c r="F264" t="s">
        <v>86</v>
      </c>
      <c r="G264">
        <v>155638.82987375651</v>
      </c>
      <c r="H264">
        <v>1.48748670204694</v>
      </c>
      <c r="I264">
        <v>18531.911981686309</v>
      </c>
      <c r="J264">
        <v>33498.772706383483</v>
      </c>
      <c r="K264">
        <v>10864.141037668091</v>
      </c>
      <c r="L264">
        <v>454126.84042827709</v>
      </c>
      <c r="M264">
        <v>147279.9641541265</v>
      </c>
    </row>
    <row r="265" spans="1:13">
      <c r="A265">
        <v>2030</v>
      </c>
      <c r="B265" t="s">
        <v>74</v>
      </c>
      <c r="C265" t="s">
        <v>90</v>
      </c>
      <c r="D265" t="s">
        <v>85</v>
      </c>
      <c r="E265" t="s">
        <v>82</v>
      </c>
      <c r="F265" t="s">
        <v>87</v>
      </c>
      <c r="G265">
        <v>155638.82987375651</v>
      </c>
      <c r="H265">
        <v>1.48748670204694</v>
      </c>
      <c r="I265">
        <v>18531.911981686309</v>
      </c>
      <c r="J265">
        <v>33498.772706383483</v>
      </c>
      <c r="K265">
        <v>10864.141037668091</v>
      </c>
      <c r="L265">
        <v>454126.84042827709</v>
      </c>
      <c r="M265">
        <v>147279.9641541265</v>
      </c>
    </row>
    <row r="266" spans="1:13">
      <c r="A266">
        <v>2030</v>
      </c>
      <c r="B266" t="s">
        <v>74</v>
      </c>
      <c r="C266" t="s">
        <v>90</v>
      </c>
      <c r="D266" t="s">
        <v>85</v>
      </c>
      <c r="E266" t="s">
        <v>88</v>
      </c>
      <c r="F266" t="s">
        <v>89</v>
      </c>
      <c r="G266">
        <v>155638.82987375651</v>
      </c>
      <c r="H266">
        <v>1.48748670204694</v>
      </c>
      <c r="I266">
        <v>18531.911981686309</v>
      </c>
      <c r="J266">
        <v>33498.772706383483</v>
      </c>
      <c r="K266">
        <v>10864.141037668091</v>
      </c>
      <c r="L266">
        <v>454126.84042827709</v>
      </c>
      <c r="M266">
        <v>147279.9641541265</v>
      </c>
    </row>
    <row r="267" spans="1:13">
      <c r="A267">
        <v>2030</v>
      </c>
      <c r="B267" t="s">
        <v>74</v>
      </c>
      <c r="C267" t="s">
        <v>91</v>
      </c>
      <c r="D267" t="s">
        <v>81</v>
      </c>
      <c r="E267" t="s">
        <v>82</v>
      </c>
      <c r="F267" t="s">
        <v>83</v>
      </c>
      <c r="G267">
        <v>316529.6176341651</v>
      </c>
      <c r="H267">
        <v>3.0074158907499311</v>
      </c>
      <c r="I267">
        <v>179444.1609672576</v>
      </c>
      <c r="J267">
        <v>400282.16715373512</v>
      </c>
      <c r="K267">
        <v>146951.8224965446</v>
      </c>
      <c r="L267">
        <v>5426433.9008058524</v>
      </c>
      <c r="M267">
        <v>1992155.5762792451</v>
      </c>
    </row>
    <row r="268" spans="1:13">
      <c r="A268">
        <v>2030</v>
      </c>
      <c r="B268" t="s">
        <v>74</v>
      </c>
      <c r="C268" t="s">
        <v>91</v>
      </c>
      <c r="D268" t="s">
        <v>81</v>
      </c>
      <c r="E268" t="s">
        <v>82</v>
      </c>
      <c r="F268" t="s">
        <v>84</v>
      </c>
      <c r="G268">
        <v>277996.90615679289</v>
      </c>
      <c r="H268">
        <v>2.6568993191084558</v>
      </c>
      <c r="I268">
        <v>33101.085379899043</v>
      </c>
      <c r="J268">
        <v>59834.394668592213</v>
      </c>
      <c r="K268">
        <v>19405.167714075938</v>
      </c>
      <c r="L268">
        <v>811146.27207248064</v>
      </c>
      <c r="M268">
        <v>263066.57796734251</v>
      </c>
    </row>
    <row r="269" spans="1:13">
      <c r="A269">
        <v>2030</v>
      </c>
      <c r="B269" t="s">
        <v>74</v>
      </c>
      <c r="C269" t="s">
        <v>91</v>
      </c>
      <c r="D269" t="s">
        <v>85</v>
      </c>
      <c r="E269" t="s">
        <v>82</v>
      </c>
      <c r="F269" t="s">
        <v>86</v>
      </c>
      <c r="G269">
        <v>277996.90615679289</v>
      </c>
      <c r="H269">
        <v>2.6568993191084558</v>
      </c>
      <c r="I269">
        <v>33101.085379899043</v>
      </c>
      <c r="J269">
        <v>59834.394668592213</v>
      </c>
      <c r="K269">
        <v>19405.167714075938</v>
      </c>
      <c r="L269">
        <v>811146.27207248064</v>
      </c>
      <c r="M269">
        <v>263066.57796734251</v>
      </c>
    </row>
    <row r="270" spans="1:13">
      <c r="A270">
        <v>2030</v>
      </c>
      <c r="B270" t="s">
        <v>74</v>
      </c>
      <c r="C270" t="s">
        <v>91</v>
      </c>
      <c r="D270" t="s">
        <v>85</v>
      </c>
      <c r="E270" t="s">
        <v>82</v>
      </c>
      <c r="F270" t="s">
        <v>87</v>
      </c>
      <c r="G270">
        <v>277996.90615679289</v>
      </c>
      <c r="H270">
        <v>2.6568993191084558</v>
      </c>
      <c r="I270">
        <v>33101.085379899043</v>
      </c>
      <c r="J270">
        <v>59834.394668592213</v>
      </c>
      <c r="K270">
        <v>19405.167714075938</v>
      </c>
      <c r="L270">
        <v>811146.27207248064</v>
      </c>
      <c r="M270">
        <v>263066.57796734251</v>
      </c>
    </row>
    <row r="271" spans="1:13">
      <c r="A271">
        <v>2030</v>
      </c>
      <c r="B271" t="s">
        <v>74</v>
      </c>
      <c r="C271" t="s">
        <v>91</v>
      </c>
      <c r="D271" t="s">
        <v>85</v>
      </c>
      <c r="E271" t="s">
        <v>88</v>
      </c>
      <c r="F271" t="s">
        <v>89</v>
      </c>
      <c r="G271">
        <v>277996.90615679289</v>
      </c>
      <c r="H271">
        <v>2.6568993191084558</v>
      </c>
      <c r="I271">
        <v>33101.085379899043</v>
      </c>
      <c r="J271">
        <v>59834.394668592213</v>
      </c>
      <c r="K271">
        <v>19405.167714075938</v>
      </c>
      <c r="L271">
        <v>811146.27207248064</v>
      </c>
      <c r="M271">
        <v>263066.57796734251</v>
      </c>
    </row>
    <row r="272" spans="1:13">
      <c r="A272">
        <v>2031</v>
      </c>
      <c r="B272" t="s">
        <v>72</v>
      </c>
      <c r="C272" t="s">
        <v>80</v>
      </c>
      <c r="D272" t="s">
        <v>81</v>
      </c>
      <c r="E272" t="s">
        <v>82</v>
      </c>
      <c r="F272" t="s">
        <v>83</v>
      </c>
      <c r="G272">
        <v>666638.68282928993</v>
      </c>
      <c r="H272">
        <v>6.1579858686084128</v>
      </c>
      <c r="I272">
        <v>82526.728225136729</v>
      </c>
      <c r="J272">
        <v>152350.56749940681</v>
      </c>
      <c r="K272">
        <v>66427.805823748567</v>
      </c>
      <c r="L272">
        <v>86.469830740507547</v>
      </c>
      <c r="M272">
        <v>1210931.740882738</v>
      </c>
    </row>
    <row r="273" spans="1:13">
      <c r="A273">
        <v>2031</v>
      </c>
      <c r="B273" t="s">
        <v>72</v>
      </c>
      <c r="C273" t="s">
        <v>80</v>
      </c>
      <c r="D273" t="s">
        <v>81</v>
      </c>
      <c r="E273" t="s">
        <v>82</v>
      </c>
      <c r="F273" t="s">
        <v>84</v>
      </c>
      <c r="G273">
        <v>665709.03704467462</v>
      </c>
      <c r="H273">
        <v>6.1495437354590257</v>
      </c>
      <c r="I273">
        <v>81200.568240924462</v>
      </c>
      <c r="J273">
        <v>149888.12937899129</v>
      </c>
      <c r="K273">
        <v>65267.92339428945</v>
      </c>
      <c r="L273">
        <v>84.726197969998552</v>
      </c>
      <c r="M273">
        <v>1205197.515150435</v>
      </c>
    </row>
    <row r="274" spans="1:13">
      <c r="A274">
        <v>2031</v>
      </c>
      <c r="B274" t="s">
        <v>72</v>
      </c>
      <c r="C274" t="s">
        <v>80</v>
      </c>
      <c r="D274" t="s">
        <v>85</v>
      </c>
      <c r="E274" t="s">
        <v>82</v>
      </c>
      <c r="F274" t="s">
        <v>86</v>
      </c>
      <c r="G274">
        <v>664412.72970132821</v>
      </c>
      <c r="H274">
        <v>6.1377719408936517</v>
      </c>
      <c r="I274">
        <v>79351.357547522697</v>
      </c>
      <c r="J274">
        <v>146454.48113268471</v>
      </c>
      <c r="K274">
        <v>63650.571779718863</v>
      </c>
      <c r="L274">
        <v>82.294859064454485</v>
      </c>
      <c r="M274">
        <v>1197201.653664045</v>
      </c>
    </row>
    <row r="275" spans="1:13">
      <c r="A275">
        <v>2031</v>
      </c>
      <c r="B275" t="s">
        <v>72</v>
      </c>
      <c r="C275" t="s">
        <v>80</v>
      </c>
      <c r="D275" t="s">
        <v>85</v>
      </c>
      <c r="E275" t="s">
        <v>82</v>
      </c>
      <c r="F275" t="s">
        <v>87</v>
      </c>
      <c r="G275">
        <v>664412.72970132821</v>
      </c>
      <c r="H275">
        <v>6.1377719408936517</v>
      </c>
      <c r="I275">
        <v>79351.357547522697</v>
      </c>
      <c r="J275">
        <v>146454.48113268471</v>
      </c>
      <c r="K275">
        <v>63650.571779718863</v>
      </c>
      <c r="L275">
        <v>82.294859064454485</v>
      </c>
      <c r="M275">
        <v>1197201.653664045</v>
      </c>
    </row>
    <row r="276" spans="1:13">
      <c r="A276">
        <v>2031</v>
      </c>
      <c r="B276" t="s">
        <v>72</v>
      </c>
      <c r="C276" t="s">
        <v>80</v>
      </c>
      <c r="D276" t="s">
        <v>85</v>
      </c>
      <c r="E276" t="s">
        <v>88</v>
      </c>
      <c r="F276" t="s">
        <v>89</v>
      </c>
      <c r="G276">
        <v>664340.33042327454</v>
      </c>
      <c r="H276">
        <v>6.1371205850094173</v>
      </c>
      <c r="I276">
        <v>79258.770285074235</v>
      </c>
      <c r="J276">
        <v>146277.5266940869</v>
      </c>
      <c r="K276">
        <v>63569.021227231497</v>
      </c>
      <c r="L276">
        <v>82.28475600710965</v>
      </c>
      <c r="M276">
        <v>1197175.377135359</v>
      </c>
    </row>
    <row r="277" spans="1:13">
      <c r="A277">
        <v>2031</v>
      </c>
      <c r="B277" t="s">
        <v>72</v>
      </c>
      <c r="C277" t="s">
        <v>90</v>
      </c>
      <c r="D277" t="s">
        <v>81</v>
      </c>
      <c r="E277" t="s">
        <v>82</v>
      </c>
      <c r="F277" t="s">
        <v>83</v>
      </c>
      <c r="G277">
        <v>297140.19533735397</v>
      </c>
      <c r="H277">
        <v>2.744792900581698</v>
      </c>
      <c r="I277">
        <v>36784.556277616037</v>
      </c>
      <c r="J277">
        <v>67907.066530255499</v>
      </c>
      <c r="K277">
        <v>29608.799649202159</v>
      </c>
      <c r="L277">
        <v>38.542111429801118</v>
      </c>
      <c r="M277">
        <v>539747.3973442358</v>
      </c>
    </row>
    <row r="278" spans="1:13">
      <c r="A278">
        <v>2031</v>
      </c>
      <c r="B278" t="s">
        <v>72</v>
      </c>
      <c r="C278" t="s">
        <v>90</v>
      </c>
      <c r="D278" t="s">
        <v>81</v>
      </c>
      <c r="E278" t="s">
        <v>82</v>
      </c>
      <c r="F278" t="s">
        <v>84</v>
      </c>
      <c r="G278">
        <v>296210.54955273872</v>
      </c>
      <c r="H278">
        <v>2.7363507674323122</v>
      </c>
      <c r="I278">
        <v>35458.396293403792</v>
      </c>
      <c r="J278">
        <v>65444.628409839992</v>
      </c>
      <c r="K278">
        <v>28448.917219743042</v>
      </c>
      <c r="L278">
        <v>36.798478659292137</v>
      </c>
      <c r="M278">
        <v>534013.1716119328</v>
      </c>
    </row>
    <row r="279" spans="1:13">
      <c r="A279">
        <v>2031</v>
      </c>
      <c r="B279" t="s">
        <v>72</v>
      </c>
      <c r="C279" t="s">
        <v>90</v>
      </c>
      <c r="D279" t="s">
        <v>85</v>
      </c>
      <c r="E279" t="s">
        <v>82</v>
      </c>
      <c r="F279" t="s">
        <v>86</v>
      </c>
      <c r="G279">
        <v>294914.24220939231</v>
      </c>
      <c r="H279">
        <v>2.724578972866937</v>
      </c>
      <c r="I279">
        <v>33609.185600002013</v>
      </c>
      <c r="J279">
        <v>62010.980163533313</v>
      </c>
      <c r="K279">
        <v>26831.56560517244</v>
      </c>
      <c r="L279">
        <v>34.367139753748063</v>
      </c>
      <c r="M279">
        <v>526017.31012554292</v>
      </c>
    </row>
    <row r="280" spans="1:13">
      <c r="A280">
        <v>2031</v>
      </c>
      <c r="B280" t="s">
        <v>72</v>
      </c>
      <c r="C280" t="s">
        <v>90</v>
      </c>
      <c r="D280" t="s">
        <v>85</v>
      </c>
      <c r="E280" t="s">
        <v>82</v>
      </c>
      <c r="F280" t="s">
        <v>87</v>
      </c>
      <c r="G280">
        <v>294914.24220939231</v>
      </c>
      <c r="H280">
        <v>2.724578972866937</v>
      </c>
      <c r="I280">
        <v>33609.185600002013</v>
      </c>
      <c r="J280">
        <v>62010.980163533313</v>
      </c>
      <c r="K280">
        <v>26831.56560517244</v>
      </c>
      <c r="L280">
        <v>34.367139753748063</v>
      </c>
      <c r="M280">
        <v>526017.31012554292</v>
      </c>
    </row>
    <row r="281" spans="1:13">
      <c r="A281">
        <v>2031</v>
      </c>
      <c r="B281" t="s">
        <v>72</v>
      </c>
      <c r="C281" t="s">
        <v>90</v>
      </c>
      <c r="D281" t="s">
        <v>85</v>
      </c>
      <c r="E281" t="s">
        <v>88</v>
      </c>
      <c r="F281" t="s">
        <v>89</v>
      </c>
      <c r="G281">
        <v>294841.84293133859</v>
      </c>
      <c r="H281">
        <v>2.7239276169827011</v>
      </c>
      <c r="I281">
        <v>33516.598337553543</v>
      </c>
      <c r="J281">
        <v>61834.025724935513</v>
      </c>
      <c r="K281">
        <v>26750.015052685088</v>
      </c>
      <c r="L281">
        <v>34.357036696403227</v>
      </c>
      <c r="M281">
        <v>525991.03359685664</v>
      </c>
    </row>
    <row r="282" spans="1:13">
      <c r="A282">
        <v>2031</v>
      </c>
      <c r="B282" t="s">
        <v>72</v>
      </c>
      <c r="C282" t="s">
        <v>91</v>
      </c>
      <c r="D282" t="s">
        <v>81</v>
      </c>
      <c r="E282" t="s">
        <v>82</v>
      </c>
      <c r="F282" t="s">
        <v>83</v>
      </c>
      <c r="G282">
        <v>630770.38667778939</v>
      </c>
      <c r="H282">
        <v>5.8266572695919603</v>
      </c>
      <c r="I282">
        <v>78086.402146502005</v>
      </c>
      <c r="J282">
        <v>144153.39050582811</v>
      </c>
      <c r="K282">
        <v>62853.677479038153</v>
      </c>
      <c r="L282">
        <v>81.817347203237517</v>
      </c>
      <c r="M282">
        <v>1145777.918549933</v>
      </c>
    </row>
    <row r="283" spans="1:13">
      <c r="A283">
        <v>2031</v>
      </c>
      <c r="B283" t="s">
        <v>72</v>
      </c>
      <c r="C283" t="s">
        <v>91</v>
      </c>
      <c r="D283" t="s">
        <v>81</v>
      </c>
      <c r="E283" t="s">
        <v>82</v>
      </c>
      <c r="F283" t="s">
        <v>84</v>
      </c>
      <c r="G283">
        <v>629840.7408931742</v>
      </c>
      <c r="H283">
        <v>5.818215136442574</v>
      </c>
      <c r="I283">
        <v>76760.242162289738</v>
      </c>
      <c r="J283">
        <v>141690.95238541259</v>
      </c>
      <c r="K283">
        <v>61693.795049579043</v>
      </c>
      <c r="L283">
        <v>80.073714432728522</v>
      </c>
      <c r="M283">
        <v>1140043.69281763</v>
      </c>
    </row>
    <row r="284" spans="1:13">
      <c r="A284">
        <v>2031</v>
      </c>
      <c r="B284" t="s">
        <v>72</v>
      </c>
      <c r="C284" t="s">
        <v>91</v>
      </c>
      <c r="D284" t="s">
        <v>85</v>
      </c>
      <c r="E284" t="s">
        <v>82</v>
      </c>
      <c r="F284" t="s">
        <v>86</v>
      </c>
      <c r="G284">
        <v>628544.43354982766</v>
      </c>
      <c r="H284">
        <v>5.8064433418771992</v>
      </c>
      <c r="I284">
        <v>74911.031468887959</v>
      </c>
      <c r="J284">
        <v>138257.30413910589</v>
      </c>
      <c r="K284">
        <v>60076.443435008427</v>
      </c>
      <c r="L284">
        <v>77.642375527184456</v>
      </c>
      <c r="M284">
        <v>1132047.83133124</v>
      </c>
    </row>
    <row r="285" spans="1:13">
      <c r="A285">
        <v>2031</v>
      </c>
      <c r="B285" t="s">
        <v>72</v>
      </c>
      <c r="C285" t="s">
        <v>91</v>
      </c>
      <c r="D285" t="s">
        <v>85</v>
      </c>
      <c r="E285" t="s">
        <v>82</v>
      </c>
      <c r="F285" t="s">
        <v>87</v>
      </c>
      <c r="G285">
        <v>628544.43354982766</v>
      </c>
      <c r="H285">
        <v>5.8064433418771992</v>
      </c>
      <c r="I285">
        <v>74911.031468887959</v>
      </c>
      <c r="J285">
        <v>138257.30413910589</v>
      </c>
      <c r="K285">
        <v>60076.443435008427</v>
      </c>
      <c r="L285">
        <v>77.642375527184456</v>
      </c>
      <c r="M285">
        <v>1132047.83133124</v>
      </c>
    </row>
    <row r="286" spans="1:13">
      <c r="A286">
        <v>2031</v>
      </c>
      <c r="B286" t="s">
        <v>72</v>
      </c>
      <c r="C286" t="s">
        <v>91</v>
      </c>
      <c r="D286" t="s">
        <v>85</v>
      </c>
      <c r="E286" t="s">
        <v>88</v>
      </c>
      <c r="F286" t="s">
        <v>89</v>
      </c>
      <c r="G286">
        <v>628472.034271774</v>
      </c>
      <c r="H286">
        <v>5.8057919859929648</v>
      </c>
      <c r="I286">
        <v>74818.444206439497</v>
      </c>
      <c r="J286">
        <v>138080.34970050809</v>
      </c>
      <c r="K286">
        <v>59994.892882521082</v>
      </c>
      <c r="L286">
        <v>77.63227246983962</v>
      </c>
      <c r="M286">
        <v>1132021.554802554</v>
      </c>
    </row>
    <row r="287" spans="1:13">
      <c r="A287">
        <v>2031</v>
      </c>
      <c r="B287" t="s">
        <v>73</v>
      </c>
      <c r="C287" t="s">
        <v>80</v>
      </c>
      <c r="D287" t="s">
        <v>81</v>
      </c>
      <c r="E287" t="s">
        <v>82</v>
      </c>
      <c r="F287" t="s">
        <v>83</v>
      </c>
      <c r="G287">
        <v>53337512.069361791</v>
      </c>
      <c r="H287">
        <v>61.938071395694926</v>
      </c>
      <c r="I287">
        <v>614130.5833899359</v>
      </c>
      <c r="J287">
        <v>1018989.92272605</v>
      </c>
      <c r="K287">
        <v>536463.78195645555</v>
      </c>
      <c r="L287">
        <v>791.80583557324815</v>
      </c>
      <c r="M287">
        <v>12666905.931385851</v>
      </c>
    </row>
    <row r="288" spans="1:13">
      <c r="A288">
        <v>2031</v>
      </c>
      <c r="B288" t="s">
        <v>73</v>
      </c>
      <c r="C288" t="s">
        <v>80</v>
      </c>
      <c r="D288" t="s">
        <v>81</v>
      </c>
      <c r="E288" t="s">
        <v>82</v>
      </c>
      <c r="F288" t="s">
        <v>84</v>
      </c>
      <c r="G288">
        <v>53207796.972641222</v>
      </c>
      <c r="H288">
        <v>58.320199355966928</v>
      </c>
      <c r="I288">
        <v>529711.48859864112</v>
      </c>
      <c r="J288">
        <v>888454.33508272574</v>
      </c>
      <c r="K288">
        <v>447656.36095035472</v>
      </c>
      <c r="L288">
        <v>633.21656559240978</v>
      </c>
      <c r="M288">
        <v>12503853.863137441</v>
      </c>
    </row>
    <row r="289" spans="1:13">
      <c r="A289">
        <v>2031</v>
      </c>
      <c r="B289" t="s">
        <v>73</v>
      </c>
      <c r="C289" t="s">
        <v>80</v>
      </c>
      <c r="D289" t="s">
        <v>85</v>
      </c>
      <c r="E289" t="s">
        <v>82</v>
      </c>
      <c r="F289" t="s">
        <v>86</v>
      </c>
      <c r="G289">
        <v>53036778.590326793</v>
      </c>
      <c r="H289">
        <v>53.550341110493662</v>
      </c>
      <c r="I289">
        <v>418412.05320016749</v>
      </c>
      <c r="J289">
        <v>716354.20489265304</v>
      </c>
      <c r="K289">
        <v>330571.28864994872</v>
      </c>
      <c r="L289">
        <v>424.13002832544561</v>
      </c>
      <c r="M289">
        <v>12288883.50386662</v>
      </c>
    </row>
    <row r="290" spans="1:13">
      <c r="A290">
        <v>2031</v>
      </c>
      <c r="B290" t="s">
        <v>73</v>
      </c>
      <c r="C290" t="s">
        <v>80</v>
      </c>
      <c r="D290" t="s">
        <v>85</v>
      </c>
      <c r="E290" t="s">
        <v>82</v>
      </c>
      <c r="F290" t="s">
        <v>87</v>
      </c>
      <c r="G290">
        <v>53036778.590326793</v>
      </c>
      <c r="H290">
        <v>53.550341110493662</v>
      </c>
      <c r="I290">
        <v>418412.05320016749</v>
      </c>
      <c r="J290">
        <v>716354.20489265304</v>
      </c>
      <c r="K290">
        <v>330571.28864994872</v>
      </c>
      <c r="L290">
        <v>424.13002832544561</v>
      </c>
      <c r="M290">
        <v>12288883.50386662</v>
      </c>
    </row>
    <row r="291" spans="1:13">
      <c r="A291">
        <v>2031</v>
      </c>
      <c r="B291" t="s">
        <v>73</v>
      </c>
      <c r="C291" t="s">
        <v>80</v>
      </c>
      <c r="D291" t="s">
        <v>85</v>
      </c>
      <c r="E291" t="s">
        <v>88</v>
      </c>
      <c r="F291" t="s">
        <v>89</v>
      </c>
      <c r="G291">
        <v>51930270.28610912</v>
      </c>
      <c r="H291">
        <v>48.753168729559519</v>
      </c>
      <c r="I291">
        <v>389440.82493159373</v>
      </c>
      <c r="J291">
        <v>663850.3917287651</v>
      </c>
      <c r="K291">
        <v>305969.42976160318</v>
      </c>
      <c r="L291">
        <v>395.22631500469129</v>
      </c>
      <c r="M291">
        <v>12351880.246490501</v>
      </c>
    </row>
    <row r="292" spans="1:13">
      <c r="A292">
        <v>2031</v>
      </c>
      <c r="B292" t="s">
        <v>73</v>
      </c>
      <c r="C292" t="s">
        <v>90</v>
      </c>
      <c r="D292" t="s">
        <v>81</v>
      </c>
      <c r="E292" t="s">
        <v>82</v>
      </c>
      <c r="F292" t="s">
        <v>83</v>
      </c>
      <c r="G292">
        <v>47657781.048815757</v>
      </c>
      <c r="H292">
        <v>55.342495940254821</v>
      </c>
      <c r="I292">
        <v>548733.89745884459</v>
      </c>
      <c r="J292">
        <v>910481.1368980835</v>
      </c>
      <c r="K292">
        <v>479337.57067357562</v>
      </c>
      <c r="L292">
        <v>707.48911377515628</v>
      </c>
      <c r="M292">
        <v>11318050.018135309</v>
      </c>
    </row>
    <row r="293" spans="1:13">
      <c r="A293">
        <v>2031</v>
      </c>
      <c r="B293" t="s">
        <v>73</v>
      </c>
      <c r="C293" t="s">
        <v>90</v>
      </c>
      <c r="D293" t="s">
        <v>81</v>
      </c>
      <c r="E293" t="s">
        <v>82</v>
      </c>
      <c r="F293" t="s">
        <v>84</v>
      </c>
      <c r="G293">
        <v>47528065.952095203</v>
      </c>
      <c r="H293">
        <v>51.724623900526836</v>
      </c>
      <c r="I293">
        <v>464314.80266754993</v>
      </c>
      <c r="J293">
        <v>779945.54925475956</v>
      </c>
      <c r="K293">
        <v>390530.14966747479</v>
      </c>
      <c r="L293">
        <v>548.89984379431803</v>
      </c>
      <c r="M293">
        <v>11154997.949886899</v>
      </c>
    </row>
    <row r="294" spans="1:13">
      <c r="A294">
        <v>2031</v>
      </c>
      <c r="B294" t="s">
        <v>73</v>
      </c>
      <c r="C294" t="s">
        <v>90</v>
      </c>
      <c r="D294" t="s">
        <v>85</v>
      </c>
      <c r="E294" t="s">
        <v>82</v>
      </c>
      <c r="F294" t="s">
        <v>86</v>
      </c>
      <c r="G294">
        <v>47357047.569780752</v>
      </c>
      <c r="H294">
        <v>46.954765655053549</v>
      </c>
      <c r="I294">
        <v>353015.36726907612</v>
      </c>
      <c r="J294">
        <v>607845.41906468663</v>
      </c>
      <c r="K294">
        <v>273445.07736706868</v>
      </c>
      <c r="L294">
        <v>339.81330652735369</v>
      </c>
      <c r="M294">
        <v>10940027.59061607</v>
      </c>
    </row>
    <row r="295" spans="1:13">
      <c r="A295">
        <v>2031</v>
      </c>
      <c r="B295" t="s">
        <v>73</v>
      </c>
      <c r="C295" t="s">
        <v>90</v>
      </c>
      <c r="D295" t="s">
        <v>85</v>
      </c>
      <c r="E295" t="s">
        <v>82</v>
      </c>
      <c r="F295" t="s">
        <v>87</v>
      </c>
      <c r="G295">
        <v>47357047.569780752</v>
      </c>
      <c r="H295">
        <v>46.954765655053549</v>
      </c>
      <c r="I295">
        <v>353015.36726907612</v>
      </c>
      <c r="J295">
        <v>607845.41906468663</v>
      </c>
      <c r="K295">
        <v>273445.07736706868</v>
      </c>
      <c r="L295">
        <v>339.81330652735369</v>
      </c>
      <c r="M295">
        <v>10940027.59061607</v>
      </c>
    </row>
    <row r="296" spans="1:13">
      <c r="A296">
        <v>2031</v>
      </c>
      <c r="B296" t="s">
        <v>73</v>
      </c>
      <c r="C296" t="s">
        <v>90</v>
      </c>
      <c r="D296" t="s">
        <v>85</v>
      </c>
      <c r="E296" t="s">
        <v>88</v>
      </c>
      <c r="F296" t="s">
        <v>89</v>
      </c>
      <c r="G296">
        <v>46250539.265563093</v>
      </c>
      <c r="H296">
        <v>42.157593274119407</v>
      </c>
      <c r="I296">
        <v>324044.1390005023</v>
      </c>
      <c r="J296">
        <v>555341.60590079869</v>
      </c>
      <c r="K296">
        <v>248843.21847872331</v>
      </c>
      <c r="L296">
        <v>310.90959320659948</v>
      </c>
      <c r="M296">
        <v>11003024.33323996</v>
      </c>
    </row>
    <row r="297" spans="1:13">
      <c r="A297">
        <v>2031</v>
      </c>
      <c r="B297" t="s">
        <v>73</v>
      </c>
      <c r="C297" t="s">
        <v>91</v>
      </c>
      <c r="D297" t="s">
        <v>81</v>
      </c>
      <c r="E297" t="s">
        <v>82</v>
      </c>
      <c r="F297" t="s">
        <v>83</v>
      </c>
      <c r="G297">
        <v>51595252.662812456</v>
      </c>
      <c r="H297">
        <v>59.91487639979146</v>
      </c>
      <c r="I297">
        <v>594070.12791969732</v>
      </c>
      <c r="J297">
        <v>985704.81606903649</v>
      </c>
      <c r="K297">
        <v>518940.29737451248</v>
      </c>
      <c r="L297">
        <v>765.94165271833435</v>
      </c>
      <c r="M297">
        <v>12253143.92497406</v>
      </c>
    </row>
    <row r="298" spans="1:13">
      <c r="A298">
        <v>2031</v>
      </c>
      <c r="B298" t="s">
        <v>73</v>
      </c>
      <c r="C298" t="s">
        <v>91</v>
      </c>
      <c r="D298" t="s">
        <v>81</v>
      </c>
      <c r="E298" t="s">
        <v>82</v>
      </c>
      <c r="F298" t="s">
        <v>84</v>
      </c>
      <c r="G298">
        <v>51465537.566091903</v>
      </c>
      <c r="H298">
        <v>56.297004360063482</v>
      </c>
      <c r="I298">
        <v>509651.03312840272</v>
      </c>
      <c r="J298">
        <v>855169.22842571267</v>
      </c>
      <c r="K298">
        <v>430132.87636841158</v>
      </c>
      <c r="L298">
        <v>607.35238273749599</v>
      </c>
      <c r="M298">
        <v>12090091.856725641</v>
      </c>
    </row>
    <row r="299" spans="1:13">
      <c r="A299">
        <v>2031</v>
      </c>
      <c r="B299" t="s">
        <v>73</v>
      </c>
      <c r="C299" t="s">
        <v>91</v>
      </c>
      <c r="D299" t="s">
        <v>85</v>
      </c>
      <c r="E299" t="s">
        <v>82</v>
      </c>
      <c r="F299" t="s">
        <v>86</v>
      </c>
      <c r="G299">
        <v>51294519.183777437</v>
      </c>
      <c r="H299">
        <v>51.527146114590181</v>
      </c>
      <c r="I299">
        <v>398351.59772992879</v>
      </c>
      <c r="J299">
        <v>683069.09823563974</v>
      </c>
      <c r="K299">
        <v>313047.80406800559</v>
      </c>
      <c r="L299">
        <v>398.26584547053181</v>
      </c>
      <c r="M299">
        <v>11875121.49745482</v>
      </c>
    </row>
    <row r="300" spans="1:13">
      <c r="A300">
        <v>2031</v>
      </c>
      <c r="B300" t="s">
        <v>73</v>
      </c>
      <c r="C300" t="s">
        <v>91</v>
      </c>
      <c r="D300" t="s">
        <v>85</v>
      </c>
      <c r="E300" t="s">
        <v>82</v>
      </c>
      <c r="F300" t="s">
        <v>87</v>
      </c>
      <c r="G300">
        <v>51294519.183777437</v>
      </c>
      <c r="H300">
        <v>51.527146114590181</v>
      </c>
      <c r="I300">
        <v>398351.59772992879</v>
      </c>
      <c r="J300">
        <v>683069.09823563974</v>
      </c>
      <c r="K300">
        <v>313047.80406800559</v>
      </c>
      <c r="L300">
        <v>398.26584547053181</v>
      </c>
      <c r="M300">
        <v>11875121.49745482</v>
      </c>
    </row>
    <row r="301" spans="1:13">
      <c r="A301">
        <v>2031</v>
      </c>
      <c r="B301" t="s">
        <v>73</v>
      </c>
      <c r="C301" t="s">
        <v>91</v>
      </c>
      <c r="D301" t="s">
        <v>85</v>
      </c>
      <c r="E301" t="s">
        <v>88</v>
      </c>
      <c r="F301" t="s">
        <v>89</v>
      </c>
      <c r="G301">
        <v>50188010.879559793</v>
      </c>
      <c r="H301">
        <v>46.729973733656053</v>
      </c>
      <c r="I301">
        <v>369380.36946135509</v>
      </c>
      <c r="J301">
        <v>630565.2850717518</v>
      </c>
      <c r="K301">
        <v>288445.94517966011</v>
      </c>
      <c r="L301">
        <v>369.36213214977761</v>
      </c>
      <c r="M301">
        <v>11938118.24007871</v>
      </c>
    </row>
    <row r="302" spans="1:13">
      <c r="A302">
        <v>2031</v>
      </c>
      <c r="B302" t="s">
        <v>74</v>
      </c>
      <c r="C302" t="s">
        <v>80</v>
      </c>
      <c r="D302" t="s">
        <v>81</v>
      </c>
      <c r="E302" t="s">
        <v>82</v>
      </c>
      <c r="F302" t="s">
        <v>83</v>
      </c>
      <c r="G302">
        <v>400209.43446814967</v>
      </c>
      <c r="H302">
        <v>3.8024758057194989</v>
      </c>
      <c r="I302">
        <v>226883.17989351499</v>
      </c>
      <c r="J302">
        <v>506103.34963798552</v>
      </c>
      <c r="K302">
        <v>185800.95668449751</v>
      </c>
      <c r="L302">
        <v>6861001.0616140813</v>
      </c>
      <c r="M302">
        <v>2518814.7084446228</v>
      </c>
    </row>
    <row r="303" spans="1:13">
      <c r="A303">
        <v>2031</v>
      </c>
      <c r="B303" t="s">
        <v>74</v>
      </c>
      <c r="C303" t="s">
        <v>80</v>
      </c>
      <c r="D303" t="s">
        <v>81</v>
      </c>
      <c r="E303" t="s">
        <v>82</v>
      </c>
      <c r="F303" t="s">
        <v>84</v>
      </c>
      <c r="G303">
        <v>357903.96138211503</v>
      </c>
      <c r="H303">
        <v>3.4170644863929911</v>
      </c>
      <c r="I303">
        <v>46408.598590720147</v>
      </c>
      <c r="J303">
        <v>83910.585750974453</v>
      </c>
      <c r="K303">
        <v>28404.709841986969</v>
      </c>
      <c r="L303">
        <v>1137535.6798762539</v>
      </c>
      <c r="M303">
        <v>385069.06646658859</v>
      </c>
    </row>
    <row r="304" spans="1:13">
      <c r="A304">
        <v>2031</v>
      </c>
      <c r="B304" t="s">
        <v>74</v>
      </c>
      <c r="C304" t="s">
        <v>80</v>
      </c>
      <c r="D304" t="s">
        <v>85</v>
      </c>
      <c r="E304" t="s">
        <v>82</v>
      </c>
      <c r="F304" t="s">
        <v>86</v>
      </c>
      <c r="G304">
        <v>351489.96617906599</v>
      </c>
      <c r="H304">
        <v>3.3592944062762391</v>
      </c>
      <c r="I304">
        <v>41851.902388111514</v>
      </c>
      <c r="J304">
        <v>75652.602214740371</v>
      </c>
      <c r="K304">
        <v>24535.243351495079</v>
      </c>
      <c r="L304">
        <v>1025586.146545915</v>
      </c>
      <c r="M304">
        <v>332612.5598693986</v>
      </c>
    </row>
    <row r="305" spans="1:13">
      <c r="A305">
        <v>2031</v>
      </c>
      <c r="B305" t="s">
        <v>74</v>
      </c>
      <c r="C305" t="s">
        <v>80</v>
      </c>
      <c r="D305" t="s">
        <v>85</v>
      </c>
      <c r="E305" t="s">
        <v>82</v>
      </c>
      <c r="F305" t="s">
        <v>87</v>
      </c>
      <c r="G305">
        <v>351489.96617906599</v>
      </c>
      <c r="H305">
        <v>3.3592944062762391</v>
      </c>
      <c r="I305">
        <v>41851.902388111514</v>
      </c>
      <c r="J305">
        <v>75652.602214740371</v>
      </c>
      <c r="K305">
        <v>24535.243351495079</v>
      </c>
      <c r="L305">
        <v>1025586.146545915</v>
      </c>
      <c r="M305">
        <v>332612.5598693986</v>
      </c>
    </row>
    <row r="306" spans="1:13">
      <c r="A306">
        <v>2031</v>
      </c>
      <c r="B306" t="s">
        <v>74</v>
      </c>
      <c r="C306" t="s">
        <v>80</v>
      </c>
      <c r="D306" t="s">
        <v>85</v>
      </c>
      <c r="E306" t="s">
        <v>88</v>
      </c>
      <c r="F306" t="s">
        <v>89</v>
      </c>
      <c r="G306">
        <v>351489.96617906599</v>
      </c>
      <c r="H306">
        <v>3.3592944062762391</v>
      </c>
      <c r="I306">
        <v>41851.902388111514</v>
      </c>
      <c r="J306">
        <v>75652.602214740371</v>
      </c>
      <c r="K306">
        <v>24535.243351495079</v>
      </c>
      <c r="L306">
        <v>1025586.146545915</v>
      </c>
      <c r="M306">
        <v>332612.5598693986</v>
      </c>
    </row>
    <row r="307" spans="1:13">
      <c r="A307">
        <v>2031</v>
      </c>
      <c r="B307" t="s">
        <v>74</v>
      </c>
      <c r="C307" t="s">
        <v>90</v>
      </c>
      <c r="D307" t="s">
        <v>81</v>
      </c>
      <c r="E307" t="s">
        <v>82</v>
      </c>
      <c r="F307" t="s">
        <v>83</v>
      </c>
      <c r="G307">
        <v>193645.2557716211</v>
      </c>
      <c r="H307">
        <v>1.8398651719504959</v>
      </c>
      <c r="I307">
        <v>109779.6493956839</v>
      </c>
      <c r="J307">
        <v>244883.0640830918</v>
      </c>
      <c r="K307">
        <v>89901.613208083407</v>
      </c>
      <c r="L307">
        <v>3319762.5817873059</v>
      </c>
      <c r="M307">
        <v>1218753.173838279</v>
      </c>
    </row>
    <row r="308" spans="1:13">
      <c r="A308">
        <v>2031</v>
      </c>
      <c r="B308" t="s">
        <v>74</v>
      </c>
      <c r="C308" t="s">
        <v>90</v>
      </c>
      <c r="D308" t="s">
        <v>81</v>
      </c>
      <c r="E308" t="s">
        <v>82</v>
      </c>
      <c r="F308" t="s">
        <v>84</v>
      </c>
      <c r="G308">
        <v>170071.86372894101</v>
      </c>
      <c r="H308">
        <v>1.625427509923703</v>
      </c>
      <c r="I308">
        <v>20250.45299905281</v>
      </c>
      <c r="J308">
        <v>36605.252760047042</v>
      </c>
      <c r="K308">
        <v>11871.61787061105</v>
      </c>
      <c r="L308">
        <v>496239.90480794222</v>
      </c>
      <c r="M308">
        <v>160937.84574158819</v>
      </c>
    </row>
    <row r="309" spans="1:13">
      <c r="A309">
        <v>2031</v>
      </c>
      <c r="B309" t="s">
        <v>74</v>
      </c>
      <c r="C309" t="s">
        <v>90</v>
      </c>
      <c r="D309" t="s">
        <v>85</v>
      </c>
      <c r="E309" t="s">
        <v>82</v>
      </c>
      <c r="F309" t="s">
        <v>86</v>
      </c>
      <c r="G309">
        <v>170071.86372894101</v>
      </c>
      <c r="H309">
        <v>1.625427509923703</v>
      </c>
      <c r="I309">
        <v>20250.45299905281</v>
      </c>
      <c r="J309">
        <v>36605.252760047042</v>
      </c>
      <c r="K309">
        <v>11871.61787061105</v>
      </c>
      <c r="L309">
        <v>496239.90480794222</v>
      </c>
      <c r="M309">
        <v>160937.84574158819</v>
      </c>
    </row>
    <row r="310" spans="1:13">
      <c r="A310">
        <v>2031</v>
      </c>
      <c r="B310" t="s">
        <v>74</v>
      </c>
      <c r="C310" t="s">
        <v>90</v>
      </c>
      <c r="D310" t="s">
        <v>85</v>
      </c>
      <c r="E310" t="s">
        <v>82</v>
      </c>
      <c r="F310" t="s">
        <v>87</v>
      </c>
      <c r="G310">
        <v>170071.86372894101</v>
      </c>
      <c r="H310">
        <v>1.625427509923703</v>
      </c>
      <c r="I310">
        <v>20250.45299905281</v>
      </c>
      <c r="J310">
        <v>36605.252760047042</v>
      </c>
      <c r="K310">
        <v>11871.61787061105</v>
      </c>
      <c r="L310">
        <v>496239.90480794222</v>
      </c>
      <c r="M310">
        <v>160937.84574158819</v>
      </c>
    </row>
    <row r="311" spans="1:13">
      <c r="A311">
        <v>2031</v>
      </c>
      <c r="B311" t="s">
        <v>74</v>
      </c>
      <c r="C311" t="s">
        <v>90</v>
      </c>
      <c r="D311" t="s">
        <v>85</v>
      </c>
      <c r="E311" t="s">
        <v>88</v>
      </c>
      <c r="F311" t="s">
        <v>89</v>
      </c>
      <c r="G311">
        <v>170071.86372894101</v>
      </c>
      <c r="H311">
        <v>1.625427509923703</v>
      </c>
      <c r="I311">
        <v>20250.45299905281</v>
      </c>
      <c r="J311">
        <v>36605.252760047042</v>
      </c>
      <c r="K311">
        <v>11871.61787061105</v>
      </c>
      <c r="L311">
        <v>496239.90480794222</v>
      </c>
      <c r="M311">
        <v>160937.84574158819</v>
      </c>
    </row>
    <row r="312" spans="1:13">
      <c r="A312">
        <v>2031</v>
      </c>
      <c r="B312" t="s">
        <v>74</v>
      </c>
      <c r="C312" t="s">
        <v>91</v>
      </c>
      <c r="D312" t="s">
        <v>81</v>
      </c>
      <c r="E312" t="s">
        <v>82</v>
      </c>
      <c r="F312" t="s">
        <v>83</v>
      </c>
      <c r="G312">
        <v>379053.52113754931</v>
      </c>
      <c r="H312">
        <v>3.6014689286717032</v>
      </c>
      <c r="I312">
        <v>214889.65731107761</v>
      </c>
      <c r="J312">
        <v>479349.66099619522</v>
      </c>
      <c r="K312">
        <v>175979.12691783131</v>
      </c>
      <c r="L312">
        <v>6498314.0999397254</v>
      </c>
      <c r="M312">
        <v>2385664.8596947752</v>
      </c>
    </row>
    <row r="313" spans="1:13">
      <c r="A313">
        <v>2031</v>
      </c>
      <c r="B313" t="s">
        <v>74</v>
      </c>
      <c r="C313" t="s">
        <v>91</v>
      </c>
      <c r="D313" t="s">
        <v>81</v>
      </c>
      <c r="E313" t="s">
        <v>82</v>
      </c>
      <c r="F313" t="s">
        <v>84</v>
      </c>
      <c r="G313">
        <v>337278.18737352581</v>
      </c>
      <c r="H313">
        <v>3.221063572188827</v>
      </c>
      <c r="I313">
        <v>42743.194150362557</v>
      </c>
      <c r="J313">
        <v>77278.150443044491</v>
      </c>
      <c r="K313">
        <v>25873.842078184709</v>
      </c>
      <c r="L313">
        <v>1047622.926440925</v>
      </c>
      <c r="M313">
        <v>350759.30260773888</v>
      </c>
    </row>
    <row r="314" spans="1:13">
      <c r="A314">
        <v>2031</v>
      </c>
      <c r="B314" t="s">
        <v>74</v>
      </c>
      <c r="C314" t="s">
        <v>91</v>
      </c>
      <c r="D314" t="s">
        <v>85</v>
      </c>
      <c r="E314" t="s">
        <v>82</v>
      </c>
      <c r="F314" t="s">
        <v>86</v>
      </c>
      <c r="G314">
        <v>332909.46651907661</v>
      </c>
      <c r="H314">
        <v>3.1817150311033449</v>
      </c>
      <c r="I314">
        <v>39639.522710405283</v>
      </c>
      <c r="J314">
        <v>71653.446378205947</v>
      </c>
      <c r="K314">
        <v>23238.258729982539</v>
      </c>
      <c r="L314">
        <v>971371.50350976607</v>
      </c>
      <c r="M314">
        <v>315029.95965254592</v>
      </c>
    </row>
    <row r="315" spans="1:13">
      <c r="A315">
        <v>2031</v>
      </c>
      <c r="B315" t="s">
        <v>74</v>
      </c>
      <c r="C315" t="s">
        <v>91</v>
      </c>
      <c r="D315" t="s">
        <v>85</v>
      </c>
      <c r="E315" t="s">
        <v>82</v>
      </c>
      <c r="F315" t="s">
        <v>87</v>
      </c>
      <c r="G315">
        <v>332909.46651907661</v>
      </c>
      <c r="H315">
        <v>3.1817150311033449</v>
      </c>
      <c r="I315">
        <v>39639.522710405283</v>
      </c>
      <c r="J315">
        <v>71653.446378205947</v>
      </c>
      <c r="K315">
        <v>23238.258729982539</v>
      </c>
      <c r="L315">
        <v>971371.50350976607</v>
      </c>
      <c r="M315">
        <v>315029.95965254592</v>
      </c>
    </row>
    <row r="316" spans="1:13">
      <c r="A316">
        <v>2031</v>
      </c>
      <c r="B316" t="s">
        <v>74</v>
      </c>
      <c r="C316" t="s">
        <v>91</v>
      </c>
      <c r="D316" t="s">
        <v>85</v>
      </c>
      <c r="E316" t="s">
        <v>88</v>
      </c>
      <c r="F316" t="s">
        <v>89</v>
      </c>
      <c r="G316">
        <v>332909.46651907661</v>
      </c>
      <c r="H316">
        <v>3.1817150311033449</v>
      </c>
      <c r="I316">
        <v>39639.522710405283</v>
      </c>
      <c r="J316">
        <v>71653.446378205947</v>
      </c>
      <c r="K316">
        <v>23238.258729982539</v>
      </c>
      <c r="L316">
        <v>971371.50350976607</v>
      </c>
      <c r="M316">
        <v>315029.95965254592</v>
      </c>
    </row>
    <row r="317" spans="1:13">
      <c r="A317">
        <v>2032</v>
      </c>
      <c r="B317" t="s">
        <v>72</v>
      </c>
      <c r="C317" t="s">
        <v>80</v>
      </c>
      <c r="D317" t="s">
        <v>81</v>
      </c>
      <c r="E317" t="s">
        <v>82</v>
      </c>
      <c r="F317" t="s">
        <v>83</v>
      </c>
      <c r="G317">
        <v>825341.23435656412</v>
      </c>
      <c r="H317">
        <v>7.6239795092254434</v>
      </c>
      <c r="I317">
        <v>102173.3564149998</v>
      </c>
      <c r="J317">
        <v>188619.72560791639</v>
      </c>
      <c r="K317">
        <v>82241.863045637743</v>
      </c>
      <c r="L317">
        <v>107.05516897861909</v>
      </c>
      <c r="M317">
        <v>1499210.777118423</v>
      </c>
    </row>
    <row r="318" spans="1:13">
      <c r="A318">
        <v>2032</v>
      </c>
      <c r="B318" t="s">
        <v>72</v>
      </c>
      <c r="C318" t="s">
        <v>80</v>
      </c>
      <c r="D318" t="s">
        <v>81</v>
      </c>
      <c r="E318" t="s">
        <v>82</v>
      </c>
      <c r="F318" t="s">
        <v>84</v>
      </c>
      <c r="G318">
        <v>824490.58463943028</v>
      </c>
      <c r="H318">
        <v>7.6162547410455899</v>
      </c>
      <c r="I318">
        <v>100959.8860436893</v>
      </c>
      <c r="J318">
        <v>186366.53162236221</v>
      </c>
      <c r="K318">
        <v>81180.540898153165</v>
      </c>
      <c r="L318">
        <v>105.4597003091919</v>
      </c>
      <c r="M318">
        <v>1493963.813621263</v>
      </c>
    </row>
    <row r="319" spans="1:13">
      <c r="A319">
        <v>2032</v>
      </c>
      <c r="B319" t="s">
        <v>72</v>
      </c>
      <c r="C319" t="s">
        <v>80</v>
      </c>
      <c r="D319" t="s">
        <v>85</v>
      </c>
      <c r="E319" t="s">
        <v>82</v>
      </c>
      <c r="F319" t="s">
        <v>86</v>
      </c>
      <c r="G319">
        <v>822782.83437874634</v>
      </c>
      <c r="H319">
        <v>7.6007466245939446</v>
      </c>
      <c r="I319">
        <v>98523.743056514519</v>
      </c>
      <c r="J319">
        <v>181843.05675521391</v>
      </c>
      <c r="K319">
        <v>79049.848161143396</v>
      </c>
      <c r="L319">
        <v>102.25666387569041</v>
      </c>
      <c r="M319">
        <v>1483430.096746278</v>
      </c>
    </row>
    <row r="320" spans="1:13">
      <c r="A320">
        <v>2032</v>
      </c>
      <c r="B320" t="s">
        <v>72</v>
      </c>
      <c r="C320" t="s">
        <v>80</v>
      </c>
      <c r="D320" t="s">
        <v>85</v>
      </c>
      <c r="E320" t="s">
        <v>82</v>
      </c>
      <c r="F320" t="s">
        <v>87</v>
      </c>
      <c r="G320">
        <v>822782.83437874634</v>
      </c>
      <c r="H320">
        <v>7.6007466245939446</v>
      </c>
      <c r="I320">
        <v>98523.743056514519</v>
      </c>
      <c r="J320">
        <v>181843.05675521391</v>
      </c>
      <c r="K320">
        <v>79049.848161143396</v>
      </c>
      <c r="L320">
        <v>102.25666387569041</v>
      </c>
      <c r="M320">
        <v>1483430.096746278</v>
      </c>
    </row>
    <row r="321" spans="1:13">
      <c r="A321">
        <v>2032</v>
      </c>
      <c r="B321" t="s">
        <v>72</v>
      </c>
      <c r="C321" t="s">
        <v>80</v>
      </c>
      <c r="D321" t="s">
        <v>85</v>
      </c>
      <c r="E321" t="s">
        <v>88</v>
      </c>
      <c r="F321" t="s">
        <v>89</v>
      </c>
      <c r="G321">
        <v>822699.62224411522</v>
      </c>
      <c r="H321">
        <v>7.5999979884888793</v>
      </c>
      <c r="I321">
        <v>98417.327855215452</v>
      </c>
      <c r="J321">
        <v>181639.67411157399</v>
      </c>
      <c r="K321">
        <v>78956.118006157732</v>
      </c>
      <c r="L321">
        <v>102.2450519233262</v>
      </c>
      <c r="M321">
        <v>1483399.8958091759</v>
      </c>
    </row>
    <row r="322" spans="1:13">
      <c r="A322">
        <v>2032</v>
      </c>
      <c r="B322" t="s">
        <v>72</v>
      </c>
      <c r="C322" t="s">
        <v>90</v>
      </c>
      <c r="D322" t="s">
        <v>81</v>
      </c>
      <c r="E322" t="s">
        <v>82</v>
      </c>
      <c r="F322" t="s">
        <v>83</v>
      </c>
      <c r="G322">
        <v>346148.45611668332</v>
      </c>
      <c r="H322">
        <v>3.1975001692978569</v>
      </c>
      <c r="I322">
        <v>42851.548071367128</v>
      </c>
      <c r="J322">
        <v>79107.191176790177</v>
      </c>
      <c r="K322">
        <v>34492.271482837983</v>
      </c>
      <c r="L322">
        <v>44.898982285974412</v>
      </c>
      <c r="M322">
        <v>628769.6219341422</v>
      </c>
    </row>
    <row r="323" spans="1:13">
      <c r="A323">
        <v>2032</v>
      </c>
      <c r="B323" t="s">
        <v>72</v>
      </c>
      <c r="C323" t="s">
        <v>90</v>
      </c>
      <c r="D323" t="s">
        <v>81</v>
      </c>
      <c r="E323" t="s">
        <v>82</v>
      </c>
      <c r="F323" t="s">
        <v>84</v>
      </c>
      <c r="G323">
        <v>345297.80639954942</v>
      </c>
      <c r="H323">
        <v>3.189775401118002</v>
      </c>
      <c r="I323">
        <v>41638.07770005663</v>
      </c>
      <c r="J323">
        <v>76853.997191235947</v>
      </c>
      <c r="K323">
        <v>33430.949335353391</v>
      </c>
      <c r="L323">
        <v>43.303513616547242</v>
      </c>
      <c r="M323">
        <v>623522.65843698219</v>
      </c>
    </row>
    <row r="324" spans="1:13">
      <c r="A324">
        <v>2032</v>
      </c>
      <c r="B324" t="s">
        <v>72</v>
      </c>
      <c r="C324" t="s">
        <v>90</v>
      </c>
      <c r="D324" t="s">
        <v>85</v>
      </c>
      <c r="E324" t="s">
        <v>82</v>
      </c>
      <c r="F324" t="s">
        <v>86</v>
      </c>
      <c r="G324">
        <v>343590.05613886542</v>
      </c>
      <c r="H324">
        <v>3.1742672846663589</v>
      </c>
      <c r="I324">
        <v>39201.934712881863</v>
      </c>
      <c r="J324">
        <v>72330.522324087593</v>
      </c>
      <c r="K324">
        <v>31300.256598343629</v>
      </c>
      <c r="L324">
        <v>40.100477183045783</v>
      </c>
      <c r="M324">
        <v>612988.94156199694</v>
      </c>
    </row>
    <row r="325" spans="1:13">
      <c r="A325">
        <v>2032</v>
      </c>
      <c r="B325" t="s">
        <v>72</v>
      </c>
      <c r="C325" t="s">
        <v>90</v>
      </c>
      <c r="D325" t="s">
        <v>85</v>
      </c>
      <c r="E325" t="s">
        <v>82</v>
      </c>
      <c r="F325" t="s">
        <v>87</v>
      </c>
      <c r="G325">
        <v>343590.05613886542</v>
      </c>
      <c r="H325">
        <v>3.1742672846663589</v>
      </c>
      <c r="I325">
        <v>39201.934712881863</v>
      </c>
      <c r="J325">
        <v>72330.522324087593</v>
      </c>
      <c r="K325">
        <v>31300.256598343629</v>
      </c>
      <c r="L325">
        <v>40.100477183045783</v>
      </c>
      <c r="M325">
        <v>612988.94156199694</v>
      </c>
    </row>
    <row r="326" spans="1:13">
      <c r="A326">
        <v>2032</v>
      </c>
      <c r="B326" t="s">
        <v>72</v>
      </c>
      <c r="C326" t="s">
        <v>90</v>
      </c>
      <c r="D326" t="s">
        <v>85</v>
      </c>
      <c r="E326" t="s">
        <v>88</v>
      </c>
      <c r="F326" t="s">
        <v>89</v>
      </c>
      <c r="G326">
        <v>343506.8440042343</v>
      </c>
      <c r="H326">
        <v>3.1735186485612918</v>
      </c>
      <c r="I326">
        <v>39095.519511582766</v>
      </c>
      <c r="J326">
        <v>72127.139680447668</v>
      </c>
      <c r="K326">
        <v>31206.526443357961</v>
      </c>
      <c r="L326">
        <v>40.088865230681549</v>
      </c>
      <c r="M326">
        <v>612958.74062489544</v>
      </c>
    </row>
    <row r="327" spans="1:13">
      <c r="A327">
        <v>2032</v>
      </c>
      <c r="B327" t="s">
        <v>72</v>
      </c>
      <c r="C327" t="s">
        <v>91</v>
      </c>
      <c r="D327" t="s">
        <v>81</v>
      </c>
      <c r="E327" t="s">
        <v>82</v>
      </c>
      <c r="F327" t="s">
        <v>83</v>
      </c>
      <c r="G327">
        <v>782157.52167945972</v>
      </c>
      <c r="H327">
        <v>7.2250757263080754</v>
      </c>
      <c r="I327">
        <v>96827.4162353352</v>
      </c>
      <c r="J327">
        <v>178750.71664917149</v>
      </c>
      <c r="K327">
        <v>77938.783499925543</v>
      </c>
      <c r="L327">
        <v>101.45380136807471</v>
      </c>
      <c r="M327">
        <v>1420768.691897789</v>
      </c>
    </row>
    <row r="328" spans="1:13">
      <c r="A328">
        <v>2032</v>
      </c>
      <c r="B328" t="s">
        <v>72</v>
      </c>
      <c r="C328" t="s">
        <v>91</v>
      </c>
      <c r="D328" t="s">
        <v>81</v>
      </c>
      <c r="E328" t="s">
        <v>82</v>
      </c>
      <c r="F328" t="s">
        <v>84</v>
      </c>
      <c r="G328">
        <v>781306.87196232588</v>
      </c>
      <c r="H328">
        <v>7.2173509581282218</v>
      </c>
      <c r="I328">
        <v>95613.945864024703</v>
      </c>
      <c r="J328">
        <v>176497.5226636173</v>
      </c>
      <c r="K328">
        <v>76877.461352440965</v>
      </c>
      <c r="L328">
        <v>99.858332698647544</v>
      </c>
      <c r="M328">
        <v>1415521.7284006299</v>
      </c>
    </row>
    <row r="329" spans="1:13">
      <c r="A329">
        <v>2032</v>
      </c>
      <c r="B329" t="s">
        <v>72</v>
      </c>
      <c r="C329" t="s">
        <v>91</v>
      </c>
      <c r="D329" t="s">
        <v>85</v>
      </c>
      <c r="E329" t="s">
        <v>82</v>
      </c>
      <c r="F329" t="s">
        <v>86</v>
      </c>
      <c r="G329">
        <v>779599.12170164194</v>
      </c>
      <c r="H329">
        <v>7.2018428416765783</v>
      </c>
      <c r="I329">
        <v>93177.802876849921</v>
      </c>
      <c r="J329">
        <v>171974.04779646889</v>
      </c>
      <c r="K329">
        <v>74746.768615431181</v>
      </c>
      <c r="L329">
        <v>96.655296265146077</v>
      </c>
      <c r="M329">
        <v>1404988.011525644</v>
      </c>
    </row>
    <row r="330" spans="1:13">
      <c r="A330">
        <v>2032</v>
      </c>
      <c r="B330" t="s">
        <v>72</v>
      </c>
      <c r="C330" t="s">
        <v>91</v>
      </c>
      <c r="D330" t="s">
        <v>85</v>
      </c>
      <c r="E330" t="s">
        <v>82</v>
      </c>
      <c r="F330" t="s">
        <v>87</v>
      </c>
      <c r="G330">
        <v>779599.12170164194</v>
      </c>
      <c r="H330">
        <v>7.2018428416765783</v>
      </c>
      <c r="I330">
        <v>93177.802876849921</v>
      </c>
      <c r="J330">
        <v>171974.04779646889</v>
      </c>
      <c r="K330">
        <v>74746.768615431181</v>
      </c>
      <c r="L330">
        <v>96.655296265146077</v>
      </c>
      <c r="M330">
        <v>1404988.011525644</v>
      </c>
    </row>
    <row r="331" spans="1:13">
      <c r="A331">
        <v>2032</v>
      </c>
      <c r="B331" t="s">
        <v>72</v>
      </c>
      <c r="C331" t="s">
        <v>91</v>
      </c>
      <c r="D331" t="s">
        <v>85</v>
      </c>
      <c r="E331" t="s">
        <v>88</v>
      </c>
      <c r="F331" t="s">
        <v>89</v>
      </c>
      <c r="G331">
        <v>779515.90956701082</v>
      </c>
      <c r="H331">
        <v>7.2010942055715121</v>
      </c>
      <c r="I331">
        <v>93071.387675550854</v>
      </c>
      <c r="J331">
        <v>171770.66515282899</v>
      </c>
      <c r="K331">
        <v>74653.038460445518</v>
      </c>
      <c r="L331">
        <v>96.643684312781843</v>
      </c>
      <c r="M331">
        <v>1404957.8105885431</v>
      </c>
    </row>
    <row r="332" spans="1:13">
      <c r="A332">
        <v>2032</v>
      </c>
      <c r="B332" t="s">
        <v>73</v>
      </c>
      <c r="C332" t="s">
        <v>80</v>
      </c>
      <c r="D332" t="s">
        <v>81</v>
      </c>
      <c r="E332" t="s">
        <v>82</v>
      </c>
      <c r="F332" t="s">
        <v>83</v>
      </c>
      <c r="G332">
        <v>57387332.190658882</v>
      </c>
      <c r="H332">
        <v>66.640916318165694</v>
      </c>
      <c r="I332">
        <v>660760.39976536331</v>
      </c>
      <c r="J332">
        <v>1096359.9711656619</v>
      </c>
      <c r="K332">
        <v>577196.49959219934</v>
      </c>
      <c r="L332">
        <v>851.92621015867951</v>
      </c>
      <c r="M332">
        <v>13628681.022222361</v>
      </c>
    </row>
    <row r="333" spans="1:13">
      <c r="A333">
        <v>2032</v>
      </c>
      <c r="B333" t="s">
        <v>73</v>
      </c>
      <c r="C333" t="s">
        <v>80</v>
      </c>
      <c r="D333" t="s">
        <v>81</v>
      </c>
      <c r="E333" t="s">
        <v>82</v>
      </c>
      <c r="F333" t="s">
        <v>84</v>
      </c>
      <c r="G333">
        <v>57258322.481920287</v>
      </c>
      <c r="H333">
        <v>63.042718190894007</v>
      </c>
      <c r="I333">
        <v>576800.37424526643</v>
      </c>
      <c r="J333">
        <v>966534.23331678275</v>
      </c>
      <c r="K333">
        <v>488872.01148343668</v>
      </c>
      <c r="L333">
        <v>694.19934530987791</v>
      </c>
      <c r="M333">
        <v>13466515.62770959</v>
      </c>
    </row>
    <row r="334" spans="1:13">
      <c r="A334">
        <v>2032</v>
      </c>
      <c r="B334" t="s">
        <v>73</v>
      </c>
      <c r="C334" t="s">
        <v>80</v>
      </c>
      <c r="D334" t="s">
        <v>85</v>
      </c>
      <c r="E334" t="s">
        <v>82</v>
      </c>
      <c r="F334" t="s">
        <v>86</v>
      </c>
      <c r="G334">
        <v>57071214.385370001</v>
      </c>
      <c r="H334">
        <v>57.824103179764627</v>
      </c>
      <c r="I334">
        <v>455029.68958143599</v>
      </c>
      <c r="J334">
        <v>778242.61612258712</v>
      </c>
      <c r="K334">
        <v>360771.36688546737</v>
      </c>
      <c r="L334">
        <v>465.44157393544299</v>
      </c>
      <c r="M334">
        <v>13231320.473869691</v>
      </c>
    </row>
    <row r="335" spans="1:13">
      <c r="A335">
        <v>2032</v>
      </c>
      <c r="B335" t="s">
        <v>73</v>
      </c>
      <c r="C335" t="s">
        <v>80</v>
      </c>
      <c r="D335" t="s">
        <v>85</v>
      </c>
      <c r="E335" t="s">
        <v>82</v>
      </c>
      <c r="F335" t="s">
        <v>87</v>
      </c>
      <c r="G335">
        <v>57071214.385370001</v>
      </c>
      <c r="H335">
        <v>57.824103179764627</v>
      </c>
      <c r="I335">
        <v>455029.68958143599</v>
      </c>
      <c r="J335">
        <v>778242.61612258712</v>
      </c>
      <c r="K335">
        <v>360771.36688546737</v>
      </c>
      <c r="L335">
        <v>465.44157393544299</v>
      </c>
      <c r="M335">
        <v>13231320.473869691</v>
      </c>
    </row>
    <row r="336" spans="1:13">
      <c r="A336">
        <v>2032</v>
      </c>
      <c r="B336" t="s">
        <v>73</v>
      </c>
      <c r="C336" t="s">
        <v>80</v>
      </c>
      <c r="D336" t="s">
        <v>85</v>
      </c>
      <c r="E336" t="s">
        <v>88</v>
      </c>
      <c r="F336" t="s">
        <v>89</v>
      </c>
      <c r="G336">
        <v>55908101.526151247</v>
      </c>
      <c r="H336">
        <v>52.781526578318783</v>
      </c>
      <c r="I336">
        <v>424576.40873564553</v>
      </c>
      <c r="J336">
        <v>723052.91712424683</v>
      </c>
      <c r="K336">
        <v>334910.9749438531</v>
      </c>
      <c r="L336">
        <v>435.05926183313062</v>
      </c>
      <c r="M336">
        <v>13297539.878781021</v>
      </c>
    </row>
    <row r="337" spans="1:13">
      <c r="A337">
        <v>2032</v>
      </c>
      <c r="B337" t="s">
        <v>73</v>
      </c>
      <c r="C337" t="s">
        <v>90</v>
      </c>
      <c r="D337" t="s">
        <v>81</v>
      </c>
      <c r="E337" t="s">
        <v>82</v>
      </c>
      <c r="F337" t="s">
        <v>83</v>
      </c>
      <c r="G337">
        <v>49082532.590807267</v>
      </c>
      <c r="H337">
        <v>56.996985610006149</v>
      </c>
      <c r="I337">
        <v>565138.55267656629</v>
      </c>
      <c r="J337">
        <v>937700.39417783357</v>
      </c>
      <c r="K337">
        <v>493667.59040848742</v>
      </c>
      <c r="L337">
        <v>728.63983006135652</v>
      </c>
      <c r="M337">
        <v>11656408.390279369</v>
      </c>
    </row>
    <row r="338" spans="1:13">
      <c r="A338">
        <v>2032</v>
      </c>
      <c r="B338" t="s">
        <v>73</v>
      </c>
      <c r="C338" t="s">
        <v>90</v>
      </c>
      <c r="D338" t="s">
        <v>81</v>
      </c>
      <c r="E338" t="s">
        <v>82</v>
      </c>
      <c r="F338" t="s">
        <v>84</v>
      </c>
      <c r="G338">
        <v>48953522.882068671</v>
      </c>
      <c r="H338">
        <v>53.398787482734477</v>
      </c>
      <c r="I338">
        <v>481178.52715646941</v>
      </c>
      <c r="J338">
        <v>807874.65632895438</v>
      </c>
      <c r="K338">
        <v>405343.10229972488</v>
      </c>
      <c r="L338">
        <v>570.91296521255492</v>
      </c>
      <c r="M338">
        <v>11494242.995766601</v>
      </c>
    </row>
    <row r="339" spans="1:13">
      <c r="A339">
        <v>2032</v>
      </c>
      <c r="B339" t="s">
        <v>73</v>
      </c>
      <c r="C339" t="s">
        <v>90</v>
      </c>
      <c r="D339" t="s">
        <v>85</v>
      </c>
      <c r="E339" t="s">
        <v>82</v>
      </c>
      <c r="F339" t="s">
        <v>86</v>
      </c>
      <c r="G339">
        <v>48766414.785518378</v>
      </c>
      <c r="H339">
        <v>48.180172471605097</v>
      </c>
      <c r="I339">
        <v>359407.84249263891</v>
      </c>
      <c r="J339">
        <v>619583.03913475864</v>
      </c>
      <c r="K339">
        <v>277242.45770175551</v>
      </c>
      <c r="L339">
        <v>342.15519383812011</v>
      </c>
      <c r="M339">
        <v>11259047.8419267</v>
      </c>
    </row>
    <row r="340" spans="1:13">
      <c r="A340">
        <v>2032</v>
      </c>
      <c r="B340" t="s">
        <v>73</v>
      </c>
      <c r="C340" t="s">
        <v>90</v>
      </c>
      <c r="D340" t="s">
        <v>85</v>
      </c>
      <c r="E340" t="s">
        <v>82</v>
      </c>
      <c r="F340" t="s">
        <v>87</v>
      </c>
      <c r="G340">
        <v>48766414.785518378</v>
      </c>
      <c r="H340">
        <v>48.180172471605097</v>
      </c>
      <c r="I340">
        <v>359407.84249263891</v>
      </c>
      <c r="J340">
        <v>619583.03913475864</v>
      </c>
      <c r="K340">
        <v>277242.45770175551</v>
      </c>
      <c r="L340">
        <v>342.15519383812011</v>
      </c>
      <c r="M340">
        <v>11259047.8419267</v>
      </c>
    </row>
    <row r="341" spans="1:13">
      <c r="A341">
        <v>2032</v>
      </c>
      <c r="B341" t="s">
        <v>73</v>
      </c>
      <c r="C341" t="s">
        <v>90</v>
      </c>
      <c r="D341" t="s">
        <v>85</v>
      </c>
      <c r="E341" t="s">
        <v>88</v>
      </c>
      <c r="F341" t="s">
        <v>89</v>
      </c>
      <c r="G341">
        <v>47603301.926299632</v>
      </c>
      <c r="H341">
        <v>43.137595870159252</v>
      </c>
      <c r="I341">
        <v>328954.56164684839</v>
      </c>
      <c r="J341">
        <v>564393.34013641847</v>
      </c>
      <c r="K341">
        <v>251382.06576014121</v>
      </c>
      <c r="L341">
        <v>311.77288173580757</v>
      </c>
      <c r="M341">
        <v>11325267.246838029</v>
      </c>
    </row>
    <row r="342" spans="1:13">
      <c r="A342">
        <v>2032</v>
      </c>
      <c r="B342" t="s">
        <v>73</v>
      </c>
      <c r="C342" t="s">
        <v>91</v>
      </c>
      <c r="D342" t="s">
        <v>81</v>
      </c>
      <c r="E342" t="s">
        <v>82</v>
      </c>
      <c r="F342" t="s">
        <v>83</v>
      </c>
      <c r="G342">
        <v>55409092.987566426</v>
      </c>
      <c r="H342">
        <v>64.343690290083174</v>
      </c>
      <c r="I342">
        <v>637982.86199232063</v>
      </c>
      <c r="J342">
        <v>1058566.5733395431</v>
      </c>
      <c r="K342">
        <v>557299.55195944477</v>
      </c>
      <c r="L342">
        <v>822.5588609067795</v>
      </c>
      <c r="M342">
        <v>13158877.146429179</v>
      </c>
    </row>
    <row r="343" spans="1:13">
      <c r="A343">
        <v>2032</v>
      </c>
      <c r="B343" t="s">
        <v>73</v>
      </c>
      <c r="C343" t="s">
        <v>91</v>
      </c>
      <c r="D343" t="s">
        <v>81</v>
      </c>
      <c r="E343" t="s">
        <v>82</v>
      </c>
      <c r="F343" t="s">
        <v>84</v>
      </c>
      <c r="G343">
        <v>55280083.278827831</v>
      </c>
      <c r="H343">
        <v>60.745492162811502</v>
      </c>
      <c r="I343">
        <v>554022.83647222363</v>
      </c>
      <c r="J343">
        <v>928740.83549066354</v>
      </c>
      <c r="K343">
        <v>468975.06385068223</v>
      </c>
      <c r="L343">
        <v>664.8319960579779</v>
      </c>
      <c r="M343">
        <v>12996711.751916399</v>
      </c>
    </row>
    <row r="344" spans="1:13">
      <c r="A344">
        <v>2032</v>
      </c>
      <c r="B344" t="s">
        <v>73</v>
      </c>
      <c r="C344" t="s">
        <v>91</v>
      </c>
      <c r="D344" t="s">
        <v>85</v>
      </c>
      <c r="E344" t="s">
        <v>82</v>
      </c>
      <c r="F344" t="s">
        <v>86</v>
      </c>
      <c r="G344">
        <v>55092975.182277538</v>
      </c>
      <c r="H344">
        <v>55.526877151682122</v>
      </c>
      <c r="I344">
        <v>432252.15180839319</v>
      </c>
      <c r="J344">
        <v>740449.21829646779</v>
      </c>
      <c r="K344">
        <v>340874.41925271292</v>
      </c>
      <c r="L344">
        <v>436.07422468354298</v>
      </c>
      <c r="M344">
        <v>12761516.598076509</v>
      </c>
    </row>
    <row r="345" spans="1:13">
      <c r="A345">
        <v>2032</v>
      </c>
      <c r="B345" t="s">
        <v>73</v>
      </c>
      <c r="C345" t="s">
        <v>91</v>
      </c>
      <c r="D345" t="s">
        <v>85</v>
      </c>
      <c r="E345" t="s">
        <v>82</v>
      </c>
      <c r="F345" t="s">
        <v>87</v>
      </c>
      <c r="G345">
        <v>55092975.182277538</v>
      </c>
      <c r="H345">
        <v>55.526877151682122</v>
      </c>
      <c r="I345">
        <v>432252.15180839319</v>
      </c>
      <c r="J345">
        <v>740449.21829646779</v>
      </c>
      <c r="K345">
        <v>340874.41925271292</v>
      </c>
      <c r="L345">
        <v>436.07422468354298</v>
      </c>
      <c r="M345">
        <v>12761516.598076509</v>
      </c>
    </row>
    <row r="346" spans="1:13">
      <c r="A346">
        <v>2032</v>
      </c>
      <c r="B346" t="s">
        <v>73</v>
      </c>
      <c r="C346" t="s">
        <v>91</v>
      </c>
      <c r="D346" t="s">
        <v>85</v>
      </c>
      <c r="E346" t="s">
        <v>88</v>
      </c>
      <c r="F346" t="s">
        <v>89</v>
      </c>
      <c r="G346">
        <v>53929862.323058799</v>
      </c>
      <c r="H346">
        <v>50.48430055023627</v>
      </c>
      <c r="I346">
        <v>401798.87096260273</v>
      </c>
      <c r="J346">
        <v>685259.51929812762</v>
      </c>
      <c r="K346">
        <v>315014.02731109859</v>
      </c>
      <c r="L346">
        <v>405.69191258123061</v>
      </c>
      <c r="M346">
        <v>12827736.002987839</v>
      </c>
    </row>
    <row r="347" spans="1:13">
      <c r="A347">
        <v>2032</v>
      </c>
      <c r="B347" t="s">
        <v>74</v>
      </c>
      <c r="C347" t="s">
        <v>80</v>
      </c>
      <c r="D347" t="s">
        <v>81</v>
      </c>
      <c r="E347" t="s">
        <v>82</v>
      </c>
      <c r="F347" t="s">
        <v>83</v>
      </c>
      <c r="G347">
        <v>465653.75382731989</v>
      </c>
      <c r="H347">
        <v>4.4242763420205229</v>
      </c>
      <c r="I347">
        <v>263984.29246950278</v>
      </c>
      <c r="J347">
        <v>588863.99041715742</v>
      </c>
      <c r="K347">
        <v>216184.09136161691</v>
      </c>
      <c r="L347">
        <v>7982947.4874812895</v>
      </c>
      <c r="M347">
        <v>2930704.3341979198</v>
      </c>
    </row>
    <row r="348" spans="1:13">
      <c r="A348">
        <v>2032</v>
      </c>
      <c r="B348" t="s">
        <v>74</v>
      </c>
      <c r="C348" t="s">
        <v>80</v>
      </c>
      <c r="D348" t="s">
        <v>81</v>
      </c>
      <c r="E348" t="s">
        <v>82</v>
      </c>
      <c r="F348" t="s">
        <v>84</v>
      </c>
      <c r="G348">
        <v>422948.03342021123</v>
      </c>
      <c r="H348">
        <v>4.035085595033455</v>
      </c>
      <c r="I348">
        <v>77222.105555207992</v>
      </c>
      <c r="J348">
        <v>151479.97885401791</v>
      </c>
      <c r="K348">
        <v>53283.276401753559</v>
      </c>
      <c r="L348">
        <v>2053541.6263775129</v>
      </c>
      <c r="M348">
        <v>722335.89487246796</v>
      </c>
    </row>
    <row r="349" spans="1:13">
      <c r="A349">
        <v>2032</v>
      </c>
      <c r="B349" t="s">
        <v>74</v>
      </c>
      <c r="C349" t="s">
        <v>80</v>
      </c>
      <c r="D349" t="s">
        <v>85</v>
      </c>
      <c r="E349" t="s">
        <v>82</v>
      </c>
      <c r="F349" t="s">
        <v>86</v>
      </c>
      <c r="G349">
        <v>408967.42577153211</v>
      </c>
      <c r="H349">
        <v>3.9086236249588939</v>
      </c>
      <c r="I349">
        <v>48695.742212418212</v>
      </c>
      <c r="J349">
        <v>88023.707524322381</v>
      </c>
      <c r="K349">
        <v>28547.37340930857</v>
      </c>
      <c r="L349">
        <v>1193295.304612336</v>
      </c>
      <c r="M349">
        <v>387003.08821836591</v>
      </c>
    </row>
    <row r="350" spans="1:13">
      <c r="A350">
        <v>2032</v>
      </c>
      <c r="B350" t="s">
        <v>74</v>
      </c>
      <c r="C350" t="s">
        <v>80</v>
      </c>
      <c r="D350" t="s">
        <v>85</v>
      </c>
      <c r="E350" t="s">
        <v>82</v>
      </c>
      <c r="F350" t="s">
        <v>87</v>
      </c>
      <c r="G350">
        <v>408967.42577153211</v>
      </c>
      <c r="H350">
        <v>3.9086236249588939</v>
      </c>
      <c r="I350">
        <v>48695.742212418212</v>
      </c>
      <c r="J350">
        <v>88023.707524322381</v>
      </c>
      <c r="K350">
        <v>28547.37340930857</v>
      </c>
      <c r="L350">
        <v>1193295.304612336</v>
      </c>
      <c r="M350">
        <v>387003.08821836591</v>
      </c>
    </row>
    <row r="351" spans="1:13">
      <c r="A351">
        <v>2032</v>
      </c>
      <c r="B351" t="s">
        <v>74</v>
      </c>
      <c r="C351" t="s">
        <v>80</v>
      </c>
      <c r="D351" t="s">
        <v>85</v>
      </c>
      <c r="E351" t="s">
        <v>88</v>
      </c>
      <c r="F351" t="s">
        <v>89</v>
      </c>
      <c r="G351">
        <v>408967.42577153211</v>
      </c>
      <c r="H351">
        <v>3.9086236249588939</v>
      </c>
      <c r="I351">
        <v>48695.742212418212</v>
      </c>
      <c r="J351">
        <v>88023.707524322381</v>
      </c>
      <c r="K351">
        <v>28547.37340930857</v>
      </c>
      <c r="L351">
        <v>1193295.304612336</v>
      </c>
      <c r="M351">
        <v>387003.08821836591</v>
      </c>
    </row>
    <row r="352" spans="1:13">
      <c r="A352">
        <v>2032</v>
      </c>
      <c r="B352" t="s">
        <v>74</v>
      </c>
      <c r="C352" t="s">
        <v>90</v>
      </c>
      <c r="D352" t="s">
        <v>81</v>
      </c>
      <c r="E352" t="s">
        <v>82</v>
      </c>
      <c r="F352" t="s">
        <v>83</v>
      </c>
      <c r="G352">
        <v>210604.3414897758</v>
      </c>
      <c r="H352">
        <v>2.000997088333488</v>
      </c>
      <c r="I352">
        <v>119393.94372369</v>
      </c>
      <c r="J352">
        <v>266329.46026853443</v>
      </c>
      <c r="K352">
        <v>97775.026674997367</v>
      </c>
      <c r="L352">
        <v>3610501.1179012619</v>
      </c>
      <c r="M352">
        <v>1325489.27466366</v>
      </c>
    </row>
    <row r="353" spans="1:13">
      <c r="A353">
        <v>2032</v>
      </c>
      <c r="B353" t="s">
        <v>74</v>
      </c>
      <c r="C353" t="s">
        <v>90</v>
      </c>
      <c r="D353" t="s">
        <v>81</v>
      </c>
      <c r="E353" t="s">
        <v>82</v>
      </c>
      <c r="F353" t="s">
        <v>84</v>
      </c>
      <c r="G353">
        <v>184966.43630048411</v>
      </c>
      <c r="H353">
        <v>1.767779380924112</v>
      </c>
      <c r="I353">
        <v>22023.949421022629</v>
      </c>
      <c r="J353">
        <v>39811.071652013597</v>
      </c>
      <c r="K353">
        <v>12911.311739064589</v>
      </c>
      <c r="L353">
        <v>539699.65830860194</v>
      </c>
      <c r="M353">
        <v>175032.47827131909</v>
      </c>
    </row>
    <row r="354" spans="1:13">
      <c r="A354">
        <v>2032</v>
      </c>
      <c r="B354" t="s">
        <v>74</v>
      </c>
      <c r="C354" t="s">
        <v>90</v>
      </c>
      <c r="D354" t="s">
        <v>85</v>
      </c>
      <c r="E354" t="s">
        <v>82</v>
      </c>
      <c r="F354" t="s">
        <v>86</v>
      </c>
      <c r="G354">
        <v>184966.43630048411</v>
      </c>
      <c r="H354">
        <v>1.767779380924112</v>
      </c>
      <c r="I354">
        <v>22023.949421022629</v>
      </c>
      <c r="J354">
        <v>39811.071652013597</v>
      </c>
      <c r="K354">
        <v>12911.311739064589</v>
      </c>
      <c r="L354">
        <v>539699.65830860194</v>
      </c>
      <c r="M354">
        <v>175032.47827131909</v>
      </c>
    </row>
    <row r="355" spans="1:13">
      <c r="A355">
        <v>2032</v>
      </c>
      <c r="B355" t="s">
        <v>74</v>
      </c>
      <c r="C355" t="s">
        <v>90</v>
      </c>
      <c r="D355" t="s">
        <v>85</v>
      </c>
      <c r="E355" t="s">
        <v>82</v>
      </c>
      <c r="F355" t="s">
        <v>87</v>
      </c>
      <c r="G355">
        <v>184966.43630048411</v>
      </c>
      <c r="H355">
        <v>1.767779380924112</v>
      </c>
      <c r="I355">
        <v>22023.949421022629</v>
      </c>
      <c r="J355">
        <v>39811.071652013597</v>
      </c>
      <c r="K355">
        <v>12911.311739064589</v>
      </c>
      <c r="L355">
        <v>539699.65830860194</v>
      </c>
      <c r="M355">
        <v>175032.47827131909</v>
      </c>
    </row>
    <row r="356" spans="1:13">
      <c r="A356">
        <v>2032</v>
      </c>
      <c r="B356" t="s">
        <v>74</v>
      </c>
      <c r="C356" t="s">
        <v>90</v>
      </c>
      <c r="D356" t="s">
        <v>85</v>
      </c>
      <c r="E356" t="s">
        <v>88</v>
      </c>
      <c r="F356" t="s">
        <v>89</v>
      </c>
      <c r="G356">
        <v>184966.43630048411</v>
      </c>
      <c r="H356">
        <v>1.767779380924112</v>
      </c>
      <c r="I356">
        <v>22023.949421022629</v>
      </c>
      <c r="J356">
        <v>39811.071652013597</v>
      </c>
      <c r="K356">
        <v>12911.311739064589</v>
      </c>
      <c r="L356">
        <v>539699.65830860194</v>
      </c>
      <c r="M356">
        <v>175032.47827131909</v>
      </c>
    </row>
    <row r="357" spans="1:13">
      <c r="A357">
        <v>2032</v>
      </c>
      <c r="B357" t="s">
        <v>74</v>
      </c>
      <c r="C357" t="s">
        <v>91</v>
      </c>
      <c r="D357" t="s">
        <v>81</v>
      </c>
      <c r="E357" t="s">
        <v>82</v>
      </c>
      <c r="F357" t="s">
        <v>83</v>
      </c>
      <c r="G357">
        <v>443538.90099464339</v>
      </c>
      <c r="H357">
        <v>4.2141583747740698</v>
      </c>
      <c r="I357">
        <v>251447.13641714081</v>
      </c>
      <c r="J357">
        <v>560897.63047803554</v>
      </c>
      <c r="K357">
        <v>205917.0650015095</v>
      </c>
      <c r="L357">
        <v>7603820.921002239</v>
      </c>
      <c r="M357">
        <v>2791519.168150899</v>
      </c>
    </row>
    <row r="358" spans="1:13">
      <c r="A358">
        <v>2032</v>
      </c>
      <c r="B358" t="s">
        <v>74</v>
      </c>
      <c r="C358" t="s">
        <v>91</v>
      </c>
      <c r="D358" t="s">
        <v>81</v>
      </c>
      <c r="E358" t="s">
        <v>82</v>
      </c>
      <c r="F358" t="s">
        <v>84</v>
      </c>
      <c r="G358">
        <v>400833.18058753462</v>
      </c>
      <c r="H358">
        <v>3.8249676277870028</v>
      </c>
      <c r="I358">
        <v>64684.949502845928</v>
      </c>
      <c r="J358">
        <v>123513.618914896</v>
      </c>
      <c r="K358">
        <v>43016.250041646163</v>
      </c>
      <c r="L358">
        <v>1674415.0598984601</v>
      </c>
      <c r="M358">
        <v>583150.72882544668</v>
      </c>
    </row>
    <row r="359" spans="1:13">
      <c r="A359">
        <v>2032</v>
      </c>
      <c r="B359" t="s">
        <v>74</v>
      </c>
      <c r="C359" t="s">
        <v>91</v>
      </c>
      <c r="D359" t="s">
        <v>85</v>
      </c>
      <c r="E359" t="s">
        <v>82</v>
      </c>
      <c r="F359" t="s">
        <v>86</v>
      </c>
      <c r="G359">
        <v>389544.72304453992</v>
      </c>
      <c r="H359">
        <v>3.7229950639651759</v>
      </c>
      <c r="I359">
        <v>46383.081434416767</v>
      </c>
      <c r="J359">
        <v>83843.280926905034</v>
      </c>
      <c r="K359">
        <v>27191.60003366767</v>
      </c>
      <c r="L359">
        <v>1136623.260565609</v>
      </c>
      <c r="M359">
        <v>368623.51697815571</v>
      </c>
    </row>
    <row r="360" spans="1:13">
      <c r="A360">
        <v>2032</v>
      </c>
      <c r="B360" t="s">
        <v>74</v>
      </c>
      <c r="C360" t="s">
        <v>91</v>
      </c>
      <c r="D360" t="s">
        <v>85</v>
      </c>
      <c r="E360" t="s">
        <v>82</v>
      </c>
      <c r="F360" t="s">
        <v>87</v>
      </c>
      <c r="G360">
        <v>389544.72304453992</v>
      </c>
      <c r="H360">
        <v>3.7229950639651759</v>
      </c>
      <c r="I360">
        <v>46383.081434416767</v>
      </c>
      <c r="J360">
        <v>83843.280926905034</v>
      </c>
      <c r="K360">
        <v>27191.60003366767</v>
      </c>
      <c r="L360">
        <v>1136623.260565609</v>
      </c>
      <c r="M360">
        <v>368623.51697815571</v>
      </c>
    </row>
    <row r="361" spans="1:13">
      <c r="A361">
        <v>2032</v>
      </c>
      <c r="B361" t="s">
        <v>74</v>
      </c>
      <c r="C361" t="s">
        <v>91</v>
      </c>
      <c r="D361" t="s">
        <v>85</v>
      </c>
      <c r="E361" t="s">
        <v>88</v>
      </c>
      <c r="F361" t="s">
        <v>89</v>
      </c>
      <c r="G361">
        <v>389544.72304453992</v>
      </c>
      <c r="H361">
        <v>3.7229950639651759</v>
      </c>
      <c r="I361">
        <v>46383.081434416767</v>
      </c>
      <c r="J361">
        <v>83843.280926905034</v>
      </c>
      <c r="K361">
        <v>27191.60003366767</v>
      </c>
      <c r="L361">
        <v>1136623.260565609</v>
      </c>
      <c r="M361">
        <v>368623.51697815571</v>
      </c>
    </row>
    <row r="362" spans="1:13">
      <c r="A362">
        <v>2033</v>
      </c>
      <c r="B362" t="s">
        <v>72</v>
      </c>
      <c r="C362" t="s">
        <v>80</v>
      </c>
      <c r="D362" t="s">
        <v>81</v>
      </c>
      <c r="E362" t="s">
        <v>82</v>
      </c>
      <c r="F362" t="s">
        <v>83</v>
      </c>
      <c r="G362">
        <v>998313.92708248075</v>
      </c>
      <c r="H362">
        <v>9.2217916747911524</v>
      </c>
      <c r="I362">
        <v>123586.5608548887</v>
      </c>
      <c r="J362">
        <v>228150.11677401411</v>
      </c>
      <c r="K362">
        <v>99477.881208343839</v>
      </c>
      <c r="L362">
        <v>129.49148995426509</v>
      </c>
      <c r="M362">
        <v>1813411.1518083599</v>
      </c>
    </row>
    <row r="363" spans="1:13">
      <c r="A363">
        <v>2033</v>
      </c>
      <c r="B363" t="s">
        <v>72</v>
      </c>
      <c r="C363" t="s">
        <v>80</v>
      </c>
      <c r="D363" t="s">
        <v>81</v>
      </c>
      <c r="E363" t="s">
        <v>82</v>
      </c>
      <c r="F363" t="s">
        <v>84</v>
      </c>
      <c r="G363">
        <v>997541.7718704954</v>
      </c>
      <c r="H363">
        <v>9.2147797168826138</v>
      </c>
      <c r="I363">
        <v>122485.06460687421</v>
      </c>
      <c r="J363">
        <v>226104.83838913159</v>
      </c>
      <c r="K363">
        <v>98514.493563265743</v>
      </c>
      <c r="L363">
        <v>128.04324466146841</v>
      </c>
      <c r="M363">
        <v>1808648.3568178669</v>
      </c>
    </row>
    <row r="364" spans="1:13">
      <c r="A364">
        <v>2033</v>
      </c>
      <c r="B364" t="s">
        <v>72</v>
      </c>
      <c r="C364" t="s">
        <v>80</v>
      </c>
      <c r="D364" t="s">
        <v>85</v>
      </c>
      <c r="E364" t="s">
        <v>82</v>
      </c>
      <c r="F364" t="s">
        <v>86</v>
      </c>
      <c r="G364">
        <v>995373.42920573871</v>
      </c>
      <c r="H364">
        <v>9.1950889510099483</v>
      </c>
      <c r="I364">
        <v>119391.87651131381</v>
      </c>
      <c r="J364">
        <v>220361.35014427421</v>
      </c>
      <c r="K364">
        <v>95809.137825071215</v>
      </c>
      <c r="L364">
        <v>123.97632649701249</v>
      </c>
      <c r="M364">
        <v>1795273.621504199</v>
      </c>
    </row>
    <row r="365" spans="1:13">
      <c r="A365">
        <v>2033</v>
      </c>
      <c r="B365" t="s">
        <v>72</v>
      </c>
      <c r="C365" t="s">
        <v>80</v>
      </c>
      <c r="D365" t="s">
        <v>85</v>
      </c>
      <c r="E365" t="s">
        <v>82</v>
      </c>
      <c r="F365" t="s">
        <v>87</v>
      </c>
      <c r="G365">
        <v>995373.42920573871</v>
      </c>
      <c r="H365">
        <v>9.1950889510099483</v>
      </c>
      <c r="I365">
        <v>119391.87651131381</v>
      </c>
      <c r="J365">
        <v>220361.35014427421</v>
      </c>
      <c r="K365">
        <v>95809.137825071215</v>
      </c>
      <c r="L365">
        <v>123.97632649701249</v>
      </c>
      <c r="M365">
        <v>1795273.621504199</v>
      </c>
    </row>
    <row r="366" spans="1:13">
      <c r="A366">
        <v>2033</v>
      </c>
      <c r="B366" t="s">
        <v>72</v>
      </c>
      <c r="C366" t="s">
        <v>80</v>
      </c>
      <c r="D366" t="s">
        <v>85</v>
      </c>
      <c r="E366" t="s">
        <v>88</v>
      </c>
      <c r="F366" t="s">
        <v>89</v>
      </c>
      <c r="G366">
        <v>995277.78931075672</v>
      </c>
      <c r="H366">
        <v>9.1942285058502868</v>
      </c>
      <c r="I366">
        <v>119269.56816383651</v>
      </c>
      <c r="J366">
        <v>220127.59223426241</v>
      </c>
      <c r="K366">
        <v>95701.409039849372</v>
      </c>
      <c r="L366">
        <v>123.9629802956493</v>
      </c>
      <c r="M366">
        <v>1795238.910046964</v>
      </c>
    </row>
    <row r="367" spans="1:13">
      <c r="A367">
        <v>2033</v>
      </c>
      <c r="B367" t="s">
        <v>72</v>
      </c>
      <c r="C367" t="s">
        <v>90</v>
      </c>
      <c r="D367" t="s">
        <v>81</v>
      </c>
      <c r="E367" t="s">
        <v>82</v>
      </c>
      <c r="F367" t="s">
        <v>83</v>
      </c>
      <c r="G367">
        <v>400252.24267212168</v>
      </c>
      <c r="H367">
        <v>3.69727667736454</v>
      </c>
      <c r="I367">
        <v>49549.34194984637</v>
      </c>
      <c r="J367">
        <v>91471.824069986076</v>
      </c>
      <c r="K367">
        <v>39883.491524826662</v>
      </c>
      <c r="L367">
        <v>51.916794762763018</v>
      </c>
      <c r="M367">
        <v>727047.73589516804</v>
      </c>
    </row>
    <row r="368" spans="1:13">
      <c r="A368">
        <v>2033</v>
      </c>
      <c r="B368" t="s">
        <v>72</v>
      </c>
      <c r="C368" t="s">
        <v>90</v>
      </c>
      <c r="D368" t="s">
        <v>81</v>
      </c>
      <c r="E368" t="s">
        <v>82</v>
      </c>
      <c r="F368" t="s">
        <v>84</v>
      </c>
      <c r="G368">
        <v>399480.08746013622</v>
      </c>
      <c r="H368">
        <v>3.6902647194559992</v>
      </c>
      <c r="I368">
        <v>48447.845701831917</v>
      </c>
      <c r="J368">
        <v>89426.545685103585</v>
      </c>
      <c r="K368">
        <v>38920.103879748523</v>
      </c>
      <c r="L368">
        <v>50.468549469966362</v>
      </c>
      <c r="M368">
        <v>722284.94090467412</v>
      </c>
    </row>
    <row r="369" spans="1:13">
      <c r="A369">
        <v>2033</v>
      </c>
      <c r="B369" t="s">
        <v>72</v>
      </c>
      <c r="C369" t="s">
        <v>90</v>
      </c>
      <c r="D369" t="s">
        <v>85</v>
      </c>
      <c r="E369" t="s">
        <v>82</v>
      </c>
      <c r="F369" t="s">
        <v>86</v>
      </c>
      <c r="G369">
        <v>397311.74479537999</v>
      </c>
      <c r="H369">
        <v>3.6705739535833368</v>
      </c>
      <c r="I369">
        <v>45354.657606271547</v>
      </c>
      <c r="J369">
        <v>83683.057440246295</v>
      </c>
      <c r="K369">
        <v>36214.748141554053</v>
      </c>
      <c r="L369">
        <v>46.401631305510513</v>
      </c>
      <c r="M369">
        <v>708910.2055910076</v>
      </c>
    </row>
    <row r="370" spans="1:13">
      <c r="A370">
        <v>2033</v>
      </c>
      <c r="B370" t="s">
        <v>72</v>
      </c>
      <c r="C370" t="s">
        <v>90</v>
      </c>
      <c r="D370" t="s">
        <v>85</v>
      </c>
      <c r="E370" t="s">
        <v>82</v>
      </c>
      <c r="F370" t="s">
        <v>87</v>
      </c>
      <c r="G370">
        <v>397311.74479537999</v>
      </c>
      <c r="H370">
        <v>3.6705739535833368</v>
      </c>
      <c r="I370">
        <v>45354.657606271547</v>
      </c>
      <c r="J370">
        <v>83683.057440246295</v>
      </c>
      <c r="K370">
        <v>36214.748141554053</v>
      </c>
      <c r="L370">
        <v>46.401631305510513</v>
      </c>
      <c r="M370">
        <v>708910.2055910076</v>
      </c>
    </row>
    <row r="371" spans="1:13">
      <c r="A371">
        <v>2033</v>
      </c>
      <c r="B371" t="s">
        <v>72</v>
      </c>
      <c r="C371" t="s">
        <v>90</v>
      </c>
      <c r="D371" t="s">
        <v>85</v>
      </c>
      <c r="E371" t="s">
        <v>88</v>
      </c>
      <c r="F371" t="s">
        <v>89</v>
      </c>
      <c r="G371">
        <v>397216.10490039742</v>
      </c>
      <c r="H371">
        <v>3.6697135084236718</v>
      </c>
      <c r="I371">
        <v>45232.349258794202</v>
      </c>
      <c r="J371">
        <v>83449.299530234362</v>
      </c>
      <c r="K371">
        <v>36107.019356332152</v>
      </c>
      <c r="L371">
        <v>46.388285104147201</v>
      </c>
      <c r="M371">
        <v>708875.49413377175</v>
      </c>
    </row>
    <row r="372" spans="1:13">
      <c r="A372">
        <v>2033</v>
      </c>
      <c r="B372" t="s">
        <v>72</v>
      </c>
      <c r="C372" t="s">
        <v>91</v>
      </c>
      <c r="D372" t="s">
        <v>81</v>
      </c>
      <c r="E372" t="s">
        <v>82</v>
      </c>
      <c r="F372" t="s">
        <v>83</v>
      </c>
      <c r="G372">
        <v>948095.87431900459</v>
      </c>
      <c r="H372">
        <v>8.7579091140701646</v>
      </c>
      <c r="I372">
        <v>117369.8025131465</v>
      </c>
      <c r="J372">
        <v>216673.51177899621</v>
      </c>
      <c r="K372">
        <v>94473.858573981968</v>
      </c>
      <c r="L372">
        <v>122.9776967490069</v>
      </c>
      <c r="M372">
        <v>1722191.3717041961</v>
      </c>
    </row>
    <row r="373" spans="1:13">
      <c r="A373">
        <v>2033</v>
      </c>
      <c r="B373" t="s">
        <v>72</v>
      </c>
      <c r="C373" t="s">
        <v>91</v>
      </c>
      <c r="D373" t="s">
        <v>81</v>
      </c>
      <c r="E373" t="s">
        <v>82</v>
      </c>
      <c r="F373" t="s">
        <v>84</v>
      </c>
      <c r="G373">
        <v>947323.71910701925</v>
      </c>
      <c r="H373">
        <v>8.750897156161626</v>
      </c>
      <c r="I373">
        <v>116268.30626513209</v>
      </c>
      <c r="J373">
        <v>214628.23339411381</v>
      </c>
      <c r="K373">
        <v>93510.470928903873</v>
      </c>
      <c r="L373">
        <v>121.5294514562103</v>
      </c>
      <c r="M373">
        <v>1717428.5767137031</v>
      </c>
    </row>
    <row r="374" spans="1:13">
      <c r="A374">
        <v>2033</v>
      </c>
      <c r="B374" t="s">
        <v>72</v>
      </c>
      <c r="C374" t="s">
        <v>91</v>
      </c>
      <c r="D374" t="s">
        <v>85</v>
      </c>
      <c r="E374" t="s">
        <v>82</v>
      </c>
      <c r="F374" t="s">
        <v>86</v>
      </c>
      <c r="G374">
        <v>945155.37644226267</v>
      </c>
      <c r="H374">
        <v>8.7312063902889587</v>
      </c>
      <c r="I374">
        <v>113175.1181695717</v>
      </c>
      <c r="J374">
        <v>208884.7451492564</v>
      </c>
      <c r="K374">
        <v>90805.11519070933</v>
      </c>
      <c r="L374">
        <v>117.4625332917544</v>
      </c>
      <c r="M374">
        <v>1704053.841400035</v>
      </c>
    </row>
    <row r="375" spans="1:13">
      <c r="A375">
        <v>2033</v>
      </c>
      <c r="B375" t="s">
        <v>72</v>
      </c>
      <c r="C375" t="s">
        <v>91</v>
      </c>
      <c r="D375" t="s">
        <v>85</v>
      </c>
      <c r="E375" t="s">
        <v>82</v>
      </c>
      <c r="F375" t="s">
        <v>87</v>
      </c>
      <c r="G375">
        <v>945155.37644226267</v>
      </c>
      <c r="H375">
        <v>8.7312063902889587</v>
      </c>
      <c r="I375">
        <v>113175.1181695717</v>
      </c>
      <c r="J375">
        <v>208884.7451492564</v>
      </c>
      <c r="K375">
        <v>90805.11519070933</v>
      </c>
      <c r="L375">
        <v>117.4625332917544</v>
      </c>
      <c r="M375">
        <v>1704053.841400035</v>
      </c>
    </row>
    <row r="376" spans="1:13">
      <c r="A376">
        <v>2033</v>
      </c>
      <c r="B376" t="s">
        <v>72</v>
      </c>
      <c r="C376" t="s">
        <v>91</v>
      </c>
      <c r="D376" t="s">
        <v>85</v>
      </c>
      <c r="E376" t="s">
        <v>88</v>
      </c>
      <c r="F376" t="s">
        <v>89</v>
      </c>
      <c r="G376">
        <v>945059.73654727975</v>
      </c>
      <c r="H376">
        <v>8.730345945129292</v>
      </c>
      <c r="I376">
        <v>113052.80982209431</v>
      </c>
      <c r="J376">
        <v>208650.98723924439</v>
      </c>
      <c r="K376">
        <v>90697.386405487428</v>
      </c>
      <c r="L376">
        <v>117.44918709039111</v>
      </c>
      <c r="M376">
        <v>1704019.129942799</v>
      </c>
    </row>
    <row r="377" spans="1:13">
      <c r="A377">
        <v>2033</v>
      </c>
      <c r="B377" t="s">
        <v>73</v>
      </c>
      <c r="C377" t="s">
        <v>80</v>
      </c>
      <c r="D377" t="s">
        <v>81</v>
      </c>
      <c r="E377" t="s">
        <v>82</v>
      </c>
      <c r="F377" t="s">
        <v>83</v>
      </c>
      <c r="G377">
        <v>61453937.572987027</v>
      </c>
      <c r="H377">
        <v>71.363253088977345</v>
      </c>
      <c r="I377">
        <v>707583.48241342732</v>
      </c>
      <c r="J377">
        <v>1174050.694701981</v>
      </c>
      <c r="K377">
        <v>618098.04183682508</v>
      </c>
      <c r="L377">
        <v>912.29576523867024</v>
      </c>
      <c r="M377">
        <v>14594442.37552716</v>
      </c>
    </row>
    <row r="378" spans="1:13">
      <c r="A378">
        <v>2033</v>
      </c>
      <c r="B378" t="s">
        <v>73</v>
      </c>
      <c r="C378" t="s">
        <v>80</v>
      </c>
      <c r="D378" t="s">
        <v>81</v>
      </c>
      <c r="E378" t="s">
        <v>82</v>
      </c>
      <c r="F378" t="s">
        <v>84</v>
      </c>
      <c r="G378">
        <v>61338508.250485301</v>
      </c>
      <c r="H378">
        <v>68.143824286921046</v>
      </c>
      <c r="I378">
        <v>632461.62563403463</v>
      </c>
      <c r="J378">
        <v>1057891.243528065</v>
      </c>
      <c r="K378">
        <v>539071.15368716104</v>
      </c>
      <c r="L378">
        <v>771.17223796439418</v>
      </c>
      <c r="M378">
        <v>14449347.5465809</v>
      </c>
    </row>
    <row r="379" spans="1:13">
      <c r="A379">
        <v>2033</v>
      </c>
      <c r="B379" t="s">
        <v>73</v>
      </c>
      <c r="C379" t="s">
        <v>80</v>
      </c>
      <c r="D379" t="s">
        <v>85</v>
      </c>
      <c r="E379" t="s">
        <v>82</v>
      </c>
      <c r="F379" t="s">
        <v>86</v>
      </c>
      <c r="G379">
        <v>61121648.440625317</v>
      </c>
      <c r="H379">
        <v>62.095406928659862</v>
      </c>
      <c r="I379">
        <v>491328.40900906088</v>
      </c>
      <c r="J379">
        <v>839659.72358960158</v>
      </c>
      <c r="K379">
        <v>390601.46187459573</v>
      </c>
      <c r="L379">
        <v>506.04011530972019</v>
      </c>
      <c r="M379">
        <v>14176754.445148749</v>
      </c>
    </row>
    <row r="380" spans="1:13">
      <c r="A380">
        <v>2033</v>
      </c>
      <c r="B380" t="s">
        <v>73</v>
      </c>
      <c r="C380" t="s">
        <v>80</v>
      </c>
      <c r="D380" t="s">
        <v>85</v>
      </c>
      <c r="E380" t="s">
        <v>82</v>
      </c>
      <c r="F380" t="s">
        <v>87</v>
      </c>
      <c r="G380">
        <v>61121648.440625317</v>
      </c>
      <c r="H380">
        <v>62.095406928659862</v>
      </c>
      <c r="I380">
        <v>491328.40900906088</v>
      </c>
      <c r="J380">
        <v>839659.72358960158</v>
      </c>
      <c r="K380">
        <v>390601.46187459573</v>
      </c>
      <c r="L380">
        <v>506.04011530972019</v>
      </c>
      <c r="M380">
        <v>14176754.445148749</v>
      </c>
    </row>
    <row r="381" spans="1:13">
      <c r="A381">
        <v>2033</v>
      </c>
      <c r="B381" t="s">
        <v>73</v>
      </c>
      <c r="C381" t="s">
        <v>80</v>
      </c>
      <c r="D381" t="s">
        <v>85</v>
      </c>
      <c r="E381" t="s">
        <v>88</v>
      </c>
      <c r="F381" t="s">
        <v>89</v>
      </c>
      <c r="G381">
        <v>59899035.362961613</v>
      </c>
      <c r="H381">
        <v>56.794872204807007</v>
      </c>
      <c r="I381">
        <v>459317.25968272798</v>
      </c>
      <c r="J381">
        <v>781646.73954176158</v>
      </c>
      <c r="K381">
        <v>363418.15534442459</v>
      </c>
      <c r="L381">
        <v>474.10356520494508</v>
      </c>
      <c r="M381">
        <v>14246361.370906649</v>
      </c>
    </row>
    <row r="382" spans="1:13">
      <c r="A382">
        <v>2033</v>
      </c>
      <c r="B382" t="s">
        <v>73</v>
      </c>
      <c r="C382" t="s">
        <v>90</v>
      </c>
      <c r="D382" t="s">
        <v>81</v>
      </c>
      <c r="E382" t="s">
        <v>82</v>
      </c>
      <c r="F382" t="s">
        <v>83</v>
      </c>
      <c r="G382">
        <v>50451272.49064523</v>
      </c>
      <c r="H382">
        <v>58.586431880541838</v>
      </c>
      <c r="I382">
        <v>580898.28725330182</v>
      </c>
      <c r="J382">
        <v>963849.57344502909</v>
      </c>
      <c r="K382">
        <v>507434.2502074464</v>
      </c>
      <c r="L382">
        <v>748.95904252601497</v>
      </c>
      <c r="M382">
        <v>11981464.78835875</v>
      </c>
    </row>
    <row r="383" spans="1:13">
      <c r="A383">
        <v>2033</v>
      </c>
      <c r="B383" t="s">
        <v>73</v>
      </c>
      <c r="C383" t="s">
        <v>90</v>
      </c>
      <c r="D383" t="s">
        <v>81</v>
      </c>
      <c r="E383" t="s">
        <v>82</v>
      </c>
      <c r="F383" t="s">
        <v>84</v>
      </c>
      <c r="G383">
        <v>50335843.168143511</v>
      </c>
      <c r="H383">
        <v>55.36700307848556</v>
      </c>
      <c r="I383">
        <v>505776.43047390919</v>
      </c>
      <c r="J383">
        <v>847690.12227111275</v>
      </c>
      <c r="K383">
        <v>428407.36205778248</v>
      </c>
      <c r="L383">
        <v>607.83551525173903</v>
      </c>
      <c r="M383">
        <v>11836369.95941248</v>
      </c>
    </row>
    <row r="384" spans="1:13">
      <c r="A384">
        <v>2033</v>
      </c>
      <c r="B384" t="s">
        <v>73</v>
      </c>
      <c r="C384" t="s">
        <v>90</v>
      </c>
      <c r="D384" t="s">
        <v>85</v>
      </c>
      <c r="E384" t="s">
        <v>82</v>
      </c>
      <c r="F384" t="s">
        <v>86</v>
      </c>
      <c r="G384">
        <v>50118983.35828352</v>
      </c>
      <c r="H384">
        <v>49.318585720224362</v>
      </c>
      <c r="I384">
        <v>364643.21384893538</v>
      </c>
      <c r="J384">
        <v>629458.60233264917</v>
      </c>
      <c r="K384">
        <v>279937.67024521698</v>
      </c>
      <c r="L384">
        <v>342.70339259706492</v>
      </c>
      <c r="M384">
        <v>11563776.85798033</v>
      </c>
    </row>
    <row r="385" spans="1:13">
      <c r="A385">
        <v>2033</v>
      </c>
      <c r="B385" t="s">
        <v>73</v>
      </c>
      <c r="C385" t="s">
        <v>90</v>
      </c>
      <c r="D385" t="s">
        <v>85</v>
      </c>
      <c r="E385" t="s">
        <v>82</v>
      </c>
      <c r="F385" t="s">
        <v>87</v>
      </c>
      <c r="G385">
        <v>50118983.35828352</v>
      </c>
      <c r="H385">
        <v>49.318585720224362</v>
      </c>
      <c r="I385">
        <v>364643.21384893538</v>
      </c>
      <c r="J385">
        <v>629458.60233264917</v>
      </c>
      <c r="K385">
        <v>279937.67024521698</v>
      </c>
      <c r="L385">
        <v>342.70339259706492</v>
      </c>
      <c r="M385">
        <v>11563776.85798033</v>
      </c>
    </row>
    <row r="386" spans="1:13">
      <c r="A386">
        <v>2033</v>
      </c>
      <c r="B386" t="s">
        <v>73</v>
      </c>
      <c r="C386" t="s">
        <v>90</v>
      </c>
      <c r="D386" t="s">
        <v>85</v>
      </c>
      <c r="E386" t="s">
        <v>88</v>
      </c>
      <c r="F386" t="s">
        <v>89</v>
      </c>
      <c r="G386">
        <v>48896370.280619808</v>
      </c>
      <c r="H386">
        <v>44.0180509963715</v>
      </c>
      <c r="I386">
        <v>332632.06452260248</v>
      </c>
      <c r="J386">
        <v>571445.61828480917</v>
      </c>
      <c r="K386">
        <v>252754.363715046</v>
      </c>
      <c r="L386">
        <v>310.76684249228981</v>
      </c>
      <c r="M386">
        <v>11633383.783738229</v>
      </c>
    </row>
    <row r="387" spans="1:13">
      <c r="A387">
        <v>2033</v>
      </c>
      <c r="B387" t="s">
        <v>73</v>
      </c>
      <c r="C387" t="s">
        <v>91</v>
      </c>
      <c r="D387" t="s">
        <v>81</v>
      </c>
      <c r="E387" t="s">
        <v>82</v>
      </c>
      <c r="F387" t="s">
        <v>83</v>
      </c>
      <c r="G387">
        <v>59198984.272399329</v>
      </c>
      <c r="H387">
        <v>68.744693409175795</v>
      </c>
      <c r="I387">
        <v>681619.84571049851</v>
      </c>
      <c r="J387">
        <v>1130970.7946397399</v>
      </c>
      <c r="K387">
        <v>595417.92930747906</v>
      </c>
      <c r="L387">
        <v>878.82054089696112</v>
      </c>
      <c r="M387">
        <v>14058922.809090169</v>
      </c>
    </row>
    <row r="388" spans="1:13">
      <c r="A388">
        <v>2033</v>
      </c>
      <c r="B388" t="s">
        <v>73</v>
      </c>
      <c r="C388" t="s">
        <v>91</v>
      </c>
      <c r="D388" t="s">
        <v>81</v>
      </c>
      <c r="E388" t="s">
        <v>82</v>
      </c>
      <c r="F388" t="s">
        <v>84</v>
      </c>
      <c r="G388">
        <v>59083554.949897602</v>
      </c>
      <c r="H388">
        <v>65.52526460711951</v>
      </c>
      <c r="I388">
        <v>606497.98893110594</v>
      </c>
      <c r="J388">
        <v>1014811.343465823</v>
      </c>
      <c r="K388">
        <v>516391.04115781508</v>
      </c>
      <c r="L388">
        <v>737.69701362268518</v>
      </c>
      <c r="M388">
        <v>13913827.98014391</v>
      </c>
    </row>
    <row r="389" spans="1:13">
      <c r="A389">
        <v>2033</v>
      </c>
      <c r="B389" t="s">
        <v>73</v>
      </c>
      <c r="C389" t="s">
        <v>91</v>
      </c>
      <c r="D389" t="s">
        <v>85</v>
      </c>
      <c r="E389" t="s">
        <v>82</v>
      </c>
      <c r="F389" t="s">
        <v>86</v>
      </c>
      <c r="G389">
        <v>58866695.140037633</v>
      </c>
      <c r="H389">
        <v>59.476847248858313</v>
      </c>
      <c r="I389">
        <v>465364.77230613207</v>
      </c>
      <c r="J389">
        <v>796579.82352735987</v>
      </c>
      <c r="K389">
        <v>367921.34934524971</v>
      </c>
      <c r="L389">
        <v>472.56489096801113</v>
      </c>
      <c r="M389">
        <v>13641234.87871176</v>
      </c>
    </row>
    <row r="390" spans="1:13">
      <c r="A390">
        <v>2033</v>
      </c>
      <c r="B390" t="s">
        <v>73</v>
      </c>
      <c r="C390" t="s">
        <v>91</v>
      </c>
      <c r="D390" t="s">
        <v>85</v>
      </c>
      <c r="E390" t="s">
        <v>82</v>
      </c>
      <c r="F390" t="s">
        <v>87</v>
      </c>
      <c r="G390">
        <v>58866695.140037633</v>
      </c>
      <c r="H390">
        <v>59.476847248858313</v>
      </c>
      <c r="I390">
        <v>465364.77230613207</v>
      </c>
      <c r="J390">
        <v>796579.82352735987</v>
      </c>
      <c r="K390">
        <v>367921.34934524971</v>
      </c>
      <c r="L390">
        <v>472.56489096801113</v>
      </c>
      <c r="M390">
        <v>13641234.87871176</v>
      </c>
    </row>
    <row r="391" spans="1:13">
      <c r="A391">
        <v>2033</v>
      </c>
      <c r="B391" t="s">
        <v>73</v>
      </c>
      <c r="C391" t="s">
        <v>91</v>
      </c>
      <c r="D391" t="s">
        <v>85</v>
      </c>
      <c r="E391" t="s">
        <v>88</v>
      </c>
      <c r="F391" t="s">
        <v>89</v>
      </c>
      <c r="G391">
        <v>57644082.062373906</v>
      </c>
      <c r="H391">
        <v>54.176312525005457</v>
      </c>
      <c r="I391">
        <v>433353.62297979923</v>
      </c>
      <c r="J391">
        <v>738566.83947951987</v>
      </c>
      <c r="K391">
        <v>340738.04281507857</v>
      </c>
      <c r="L391">
        <v>440.62834086323602</v>
      </c>
      <c r="M391">
        <v>13710841.80446966</v>
      </c>
    </row>
    <row r="392" spans="1:13">
      <c r="A392">
        <v>2033</v>
      </c>
      <c r="B392" t="s">
        <v>74</v>
      </c>
      <c r="C392" t="s">
        <v>80</v>
      </c>
      <c r="D392" t="s">
        <v>81</v>
      </c>
      <c r="E392" t="s">
        <v>82</v>
      </c>
      <c r="F392" t="s">
        <v>83</v>
      </c>
      <c r="G392">
        <v>530342.02914241387</v>
      </c>
      <c r="H392">
        <v>5.0388935414532412</v>
      </c>
      <c r="I392">
        <v>300656.79526749399</v>
      </c>
      <c r="J392">
        <v>670668.54073412076</v>
      </c>
      <c r="K392">
        <v>246216.22555102501</v>
      </c>
      <c r="L392">
        <v>9091932.6522129942</v>
      </c>
      <c r="M392">
        <v>3337835.6142091141</v>
      </c>
    </row>
    <row r="393" spans="1:13">
      <c r="A393">
        <v>2033</v>
      </c>
      <c r="B393" t="s">
        <v>74</v>
      </c>
      <c r="C393" t="s">
        <v>80</v>
      </c>
      <c r="D393" t="s">
        <v>81</v>
      </c>
      <c r="E393" t="s">
        <v>82</v>
      </c>
      <c r="F393" t="s">
        <v>84</v>
      </c>
      <c r="G393">
        <v>493459.063445532</v>
      </c>
      <c r="H393">
        <v>4.7027674011182254</v>
      </c>
      <c r="I393">
        <v>139358.88791998249</v>
      </c>
      <c r="J393">
        <v>292920.0953019138</v>
      </c>
      <c r="K393">
        <v>105526.28722701089</v>
      </c>
      <c r="L393">
        <v>3970977.6397885541</v>
      </c>
      <c r="M393">
        <v>1430569.406842696</v>
      </c>
    </row>
    <row r="394" spans="1:13">
      <c r="A394">
        <v>2033</v>
      </c>
      <c r="B394" t="s">
        <v>74</v>
      </c>
      <c r="C394" t="s">
        <v>80</v>
      </c>
      <c r="D394" t="s">
        <v>85</v>
      </c>
      <c r="E394" t="s">
        <v>82</v>
      </c>
      <c r="F394" t="s">
        <v>86</v>
      </c>
      <c r="G394">
        <v>469179.13209494099</v>
      </c>
      <c r="H394">
        <v>4.4822143916393076</v>
      </c>
      <c r="I394">
        <v>57874.741022517483</v>
      </c>
      <c r="J394">
        <v>104627.128992431</v>
      </c>
      <c r="K394">
        <v>34563.268649587029</v>
      </c>
      <c r="L394">
        <v>1418379.948688695</v>
      </c>
      <c r="M394">
        <v>468557.70282353199</v>
      </c>
    </row>
    <row r="395" spans="1:13">
      <c r="A395">
        <v>2033</v>
      </c>
      <c r="B395" t="s">
        <v>74</v>
      </c>
      <c r="C395" t="s">
        <v>80</v>
      </c>
      <c r="D395" t="s">
        <v>85</v>
      </c>
      <c r="E395" t="s">
        <v>82</v>
      </c>
      <c r="F395" t="s">
        <v>87</v>
      </c>
      <c r="G395">
        <v>469179.13209494099</v>
      </c>
      <c r="H395">
        <v>4.4822143916393076</v>
      </c>
      <c r="I395">
        <v>57874.741022517483</v>
      </c>
      <c r="J395">
        <v>104627.128992431</v>
      </c>
      <c r="K395">
        <v>34563.268649587029</v>
      </c>
      <c r="L395">
        <v>1418379.948688695</v>
      </c>
      <c r="M395">
        <v>468557.70282353199</v>
      </c>
    </row>
    <row r="396" spans="1:13">
      <c r="A396">
        <v>2033</v>
      </c>
      <c r="B396" t="s">
        <v>74</v>
      </c>
      <c r="C396" t="s">
        <v>80</v>
      </c>
      <c r="D396" t="s">
        <v>85</v>
      </c>
      <c r="E396" t="s">
        <v>88</v>
      </c>
      <c r="F396" t="s">
        <v>89</v>
      </c>
      <c r="G396">
        <v>465780.87829021318</v>
      </c>
      <c r="H396">
        <v>4.4516067300584474</v>
      </c>
      <c r="I396">
        <v>55460.51872934476</v>
      </c>
      <c r="J396">
        <v>100251.89591491831</v>
      </c>
      <c r="K396">
        <v>32513.15342384906</v>
      </c>
      <c r="L396">
        <v>1359067.0063596319</v>
      </c>
      <c r="M396">
        <v>440765.27119809302</v>
      </c>
    </row>
    <row r="397" spans="1:13">
      <c r="A397">
        <v>2033</v>
      </c>
      <c r="B397" t="s">
        <v>74</v>
      </c>
      <c r="C397" t="s">
        <v>90</v>
      </c>
      <c r="D397" t="s">
        <v>81</v>
      </c>
      <c r="E397" t="s">
        <v>82</v>
      </c>
      <c r="F397" t="s">
        <v>83</v>
      </c>
      <c r="G397">
        <v>227827.70591725101</v>
      </c>
      <c r="H397">
        <v>2.1646399735033439</v>
      </c>
      <c r="I397">
        <v>129158.0605915581</v>
      </c>
      <c r="J397">
        <v>288110.06231847091</v>
      </c>
      <c r="K397">
        <v>105771.133993665</v>
      </c>
      <c r="L397">
        <v>3905770.3230825751</v>
      </c>
      <c r="M397">
        <v>1433888.677357598</v>
      </c>
    </row>
    <row r="398" spans="1:13">
      <c r="A398">
        <v>2033</v>
      </c>
      <c r="B398" t="s">
        <v>74</v>
      </c>
      <c r="C398" t="s">
        <v>90</v>
      </c>
      <c r="D398" t="s">
        <v>81</v>
      </c>
      <c r="E398" t="s">
        <v>82</v>
      </c>
      <c r="F398" t="s">
        <v>84</v>
      </c>
      <c r="G398">
        <v>200093.11563064059</v>
      </c>
      <c r="H398">
        <v>1.9123495654210469</v>
      </c>
      <c r="I398">
        <v>23825.082789533779</v>
      </c>
      <c r="J398">
        <v>43066.847817217887</v>
      </c>
      <c r="K398">
        <v>13967.20748055595</v>
      </c>
      <c r="L398">
        <v>583836.65866993647</v>
      </c>
      <c r="M398">
        <v>189346.751845102</v>
      </c>
    </row>
    <row r="399" spans="1:13">
      <c r="A399">
        <v>2033</v>
      </c>
      <c r="B399" t="s">
        <v>74</v>
      </c>
      <c r="C399" t="s">
        <v>90</v>
      </c>
      <c r="D399" t="s">
        <v>85</v>
      </c>
      <c r="E399" t="s">
        <v>82</v>
      </c>
      <c r="F399" t="s">
        <v>86</v>
      </c>
      <c r="G399">
        <v>200093.11563064059</v>
      </c>
      <c r="H399">
        <v>1.9123495654210469</v>
      </c>
      <c r="I399">
        <v>23825.082789533779</v>
      </c>
      <c r="J399">
        <v>43066.847817217887</v>
      </c>
      <c r="K399">
        <v>13967.20748055595</v>
      </c>
      <c r="L399">
        <v>583836.65866993647</v>
      </c>
      <c r="M399">
        <v>189346.751845102</v>
      </c>
    </row>
    <row r="400" spans="1:13">
      <c r="A400">
        <v>2033</v>
      </c>
      <c r="B400" t="s">
        <v>74</v>
      </c>
      <c r="C400" t="s">
        <v>90</v>
      </c>
      <c r="D400" t="s">
        <v>85</v>
      </c>
      <c r="E400" t="s">
        <v>82</v>
      </c>
      <c r="F400" t="s">
        <v>87</v>
      </c>
      <c r="G400">
        <v>200093.11563064059</v>
      </c>
      <c r="H400">
        <v>1.9123495654210469</v>
      </c>
      <c r="I400">
        <v>23825.082789533779</v>
      </c>
      <c r="J400">
        <v>43066.847817217887</v>
      </c>
      <c r="K400">
        <v>13967.20748055595</v>
      </c>
      <c r="L400">
        <v>583836.65866993647</v>
      </c>
      <c r="M400">
        <v>189346.751845102</v>
      </c>
    </row>
    <row r="401" spans="1:13">
      <c r="A401">
        <v>2033</v>
      </c>
      <c r="B401" t="s">
        <v>74</v>
      </c>
      <c r="C401" t="s">
        <v>90</v>
      </c>
      <c r="D401" t="s">
        <v>85</v>
      </c>
      <c r="E401" t="s">
        <v>88</v>
      </c>
      <c r="F401" t="s">
        <v>89</v>
      </c>
      <c r="G401">
        <v>200093.11563064059</v>
      </c>
      <c r="H401">
        <v>1.9123495654210469</v>
      </c>
      <c r="I401">
        <v>23825.082789533779</v>
      </c>
      <c r="J401">
        <v>43066.847817217887</v>
      </c>
      <c r="K401">
        <v>13967.20748055595</v>
      </c>
      <c r="L401">
        <v>583836.65866993647</v>
      </c>
      <c r="M401">
        <v>189346.751845102</v>
      </c>
    </row>
    <row r="402" spans="1:13">
      <c r="A402">
        <v>2033</v>
      </c>
      <c r="B402" t="s">
        <v>74</v>
      </c>
      <c r="C402" t="s">
        <v>91</v>
      </c>
      <c r="D402" t="s">
        <v>81</v>
      </c>
      <c r="E402" t="s">
        <v>82</v>
      </c>
      <c r="F402" t="s">
        <v>83</v>
      </c>
      <c r="G402">
        <v>507672.93662568129</v>
      </c>
      <c r="H402">
        <v>4.823509623912555</v>
      </c>
      <c r="I402">
        <v>287805.43457348237</v>
      </c>
      <c r="J402">
        <v>642001.29136950138</v>
      </c>
      <c r="K402">
        <v>235691.8882565391</v>
      </c>
      <c r="L402">
        <v>8703304.4630004596</v>
      </c>
      <c r="M402">
        <v>3195162.206886474</v>
      </c>
    </row>
    <row r="403" spans="1:13">
      <c r="A403">
        <v>2033</v>
      </c>
      <c r="B403" t="s">
        <v>74</v>
      </c>
      <c r="C403" t="s">
        <v>91</v>
      </c>
      <c r="D403" t="s">
        <v>81</v>
      </c>
      <c r="E403" t="s">
        <v>82</v>
      </c>
      <c r="F403" t="s">
        <v>84</v>
      </c>
      <c r="G403">
        <v>470789.97092879948</v>
      </c>
      <c r="H403">
        <v>4.4873834835775401</v>
      </c>
      <c r="I403">
        <v>126507.527225971</v>
      </c>
      <c r="J403">
        <v>264252.84593729448</v>
      </c>
      <c r="K403">
        <v>95001.94993252492</v>
      </c>
      <c r="L403">
        <v>3582349.450576019</v>
      </c>
      <c r="M403">
        <v>1287895.999520055</v>
      </c>
    </row>
    <row r="404" spans="1:13">
      <c r="A404">
        <v>2033</v>
      </c>
      <c r="B404" t="s">
        <v>74</v>
      </c>
      <c r="C404" t="s">
        <v>91</v>
      </c>
      <c r="D404" t="s">
        <v>85</v>
      </c>
      <c r="E404" t="s">
        <v>82</v>
      </c>
      <c r="F404" t="s">
        <v>86</v>
      </c>
      <c r="G404">
        <v>447078.09717750148</v>
      </c>
      <c r="H404">
        <v>4.2721944890226897</v>
      </c>
      <c r="I404">
        <v>53947.168098992457</v>
      </c>
      <c r="J404">
        <v>97520.307969996778</v>
      </c>
      <c r="K404">
        <v>31851.380271680679</v>
      </c>
      <c r="L404">
        <v>1322036.175001957</v>
      </c>
      <c r="M404">
        <v>431793.92907434952</v>
      </c>
    </row>
    <row r="405" spans="1:13">
      <c r="A405">
        <v>2033</v>
      </c>
      <c r="B405" t="s">
        <v>74</v>
      </c>
      <c r="C405" t="s">
        <v>91</v>
      </c>
      <c r="D405" t="s">
        <v>85</v>
      </c>
      <c r="E405" t="s">
        <v>82</v>
      </c>
      <c r="F405" t="s">
        <v>87</v>
      </c>
      <c r="G405">
        <v>447078.09717750148</v>
      </c>
      <c r="H405">
        <v>4.2721944890226897</v>
      </c>
      <c r="I405">
        <v>53947.168098992457</v>
      </c>
      <c r="J405">
        <v>97520.307969996778</v>
      </c>
      <c r="K405">
        <v>31851.380271680679</v>
      </c>
      <c r="L405">
        <v>1322036.175001957</v>
      </c>
      <c r="M405">
        <v>431793.92907434952</v>
      </c>
    </row>
    <row r="406" spans="1:13">
      <c r="A406">
        <v>2033</v>
      </c>
      <c r="B406" t="s">
        <v>74</v>
      </c>
      <c r="C406" t="s">
        <v>91</v>
      </c>
      <c r="D406" t="s">
        <v>85</v>
      </c>
      <c r="E406" t="s">
        <v>88</v>
      </c>
      <c r="F406" t="s">
        <v>89</v>
      </c>
      <c r="G406">
        <v>445871.40620941302</v>
      </c>
      <c r="H406">
        <v>4.2613259692162666</v>
      </c>
      <c r="I406">
        <v>53089.898335304882</v>
      </c>
      <c r="J406">
        <v>95966.699987399552</v>
      </c>
      <c r="K406">
        <v>31123.40182492754</v>
      </c>
      <c r="L406">
        <v>1300974.654611791</v>
      </c>
      <c r="M406">
        <v>421925.07343532209</v>
      </c>
    </row>
    <row r="407" spans="1:13">
      <c r="A407">
        <v>2034</v>
      </c>
      <c r="B407" t="s">
        <v>72</v>
      </c>
      <c r="C407" t="s">
        <v>80</v>
      </c>
      <c r="D407" t="s">
        <v>81</v>
      </c>
      <c r="E407" t="s">
        <v>82</v>
      </c>
      <c r="F407" t="s">
        <v>83</v>
      </c>
      <c r="G407">
        <v>1183685.4148664239</v>
      </c>
      <c r="H407">
        <v>10.934136055065821</v>
      </c>
      <c r="I407">
        <v>146534.67770899599</v>
      </c>
      <c r="J407">
        <v>270514.07207620749</v>
      </c>
      <c r="K407">
        <v>117949.38835747881</v>
      </c>
      <c r="L407">
        <v>153.53606100250451</v>
      </c>
      <c r="M407">
        <v>2150133.613606628</v>
      </c>
    </row>
    <row r="408" spans="1:13">
      <c r="A408">
        <v>2034</v>
      </c>
      <c r="B408" t="s">
        <v>72</v>
      </c>
      <c r="C408" t="s">
        <v>80</v>
      </c>
      <c r="D408" t="s">
        <v>81</v>
      </c>
      <c r="E408" t="s">
        <v>82</v>
      </c>
      <c r="F408" t="s">
        <v>84</v>
      </c>
      <c r="G408">
        <v>1182913.2596544391</v>
      </c>
      <c r="H408">
        <v>10.927124097157281</v>
      </c>
      <c r="I408">
        <v>145433.18146098161</v>
      </c>
      <c r="J408">
        <v>268468.79369132512</v>
      </c>
      <c r="K408">
        <v>116986.0007124007</v>
      </c>
      <c r="L408">
        <v>152.08781570970791</v>
      </c>
      <c r="M408">
        <v>2145370.818616135</v>
      </c>
    </row>
    <row r="409" spans="1:13">
      <c r="A409">
        <v>2034</v>
      </c>
      <c r="B409" t="s">
        <v>72</v>
      </c>
      <c r="C409" t="s">
        <v>80</v>
      </c>
      <c r="D409" t="s">
        <v>85</v>
      </c>
      <c r="E409" t="s">
        <v>82</v>
      </c>
      <c r="F409" t="s">
        <v>86</v>
      </c>
      <c r="G409">
        <v>1180305.752640778</v>
      </c>
      <c r="H409">
        <v>10.90344527048849</v>
      </c>
      <c r="I409">
        <v>141713.51584500761</v>
      </c>
      <c r="J409">
        <v>261562.05052533071</v>
      </c>
      <c r="K409">
        <v>113732.7169134674</v>
      </c>
      <c r="L409">
        <v>147.19720602418019</v>
      </c>
      <c r="M409">
        <v>2129287.2370387949</v>
      </c>
    </row>
    <row r="410" spans="1:13">
      <c r="A410">
        <v>2034</v>
      </c>
      <c r="B410" t="s">
        <v>72</v>
      </c>
      <c r="C410" t="s">
        <v>80</v>
      </c>
      <c r="D410" t="s">
        <v>85</v>
      </c>
      <c r="E410" t="s">
        <v>82</v>
      </c>
      <c r="F410" t="s">
        <v>87</v>
      </c>
      <c r="G410">
        <v>1180305.752640778</v>
      </c>
      <c r="H410">
        <v>10.90344527048849</v>
      </c>
      <c r="I410">
        <v>141713.51584500761</v>
      </c>
      <c r="J410">
        <v>261562.05052533071</v>
      </c>
      <c r="K410">
        <v>113732.7169134674</v>
      </c>
      <c r="L410">
        <v>147.19720602418019</v>
      </c>
      <c r="M410">
        <v>2129287.2370387949</v>
      </c>
    </row>
    <row r="411" spans="1:13">
      <c r="A411">
        <v>2034</v>
      </c>
      <c r="B411" t="s">
        <v>72</v>
      </c>
      <c r="C411" t="s">
        <v>80</v>
      </c>
      <c r="D411" t="s">
        <v>85</v>
      </c>
      <c r="E411" t="s">
        <v>88</v>
      </c>
      <c r="F411" t="s">
        <v>89</v>
      </c>
      <c r="G411">
        <v>1180195.8288952471</v>
      </c>
      <c r="H411">
        <v>10.90245631755424</v>
      </c>
      <c r="I411">
        <v>141572.94070461389</v>
      </c>
      <c r="J411">
        <v>261293.380792677</v>
      </c>
      <c r="K411">
        <v>113608.8987978657</v>
      </c>
      <c r="L411">
        <v>147.18186656314541</v>
      </c>
      <c r="M411">
        <v>2129247.3414137228</v>
      </c>
    </row>
    <row r="412" spans="1:13">
      <c r="A412">
        <v>2034</v>
      </c>
      <c r="B412" t="s">
        <v>72</v>
      </c>
      <c r="C412" t="s">
        <v>90</v>
      </c>
      <c r="D412" t="s">
        <v>81</v>
      </c>
      <c r="E412" t="s">
        <v>82</v>
      </c>
      <c r="F412" t="s">
        <v>83</v>
      </c>
      <c r="G412">
        <v>459592.21660452557</v>
      </c>
      <c r="H412">
        <v>4.2454217675481356</v>
      </c>
      <c r="I412">
        <v>56895.351156546167</v>
      </c>
      <c r="J412">
        <v>105033.11137127641</v>
      </c>
      <c r="K412">
        <v>45796.476125777917</v>
      </c>
      <c r="L412">
        <v>59.613794103251408</v>
      </c>
      <c r="M412">
        <v>834837.24734826037</v>
      </c>
    </row>
    <row r="413" spans="1:13">
      <c r="A413">
        <v>2034</v>
      </c>
      <c r="B413" t="s">
        <v>72</v>
      </c>
      <c r="C413" t="s">
        <v>90</v>
      </c>
      <c r="D413" t="s">
        <v>81</v>
      </c>
      <c r="E413" t="s">
        <v>82</v>
      </c>
      <c r="F413" t="s">
        <v>84</v>
      </c>
      <c r="G413">
        <v>458820.06139254011</v>
      </c>
      <c r="H413">
        <v>4.2384098096395961</v>
      </c>
      <c r="I413">
        <v>55793.854908531728</v>
      </c>
      <c r="J413">
        <v>102987.8329863939</v>
      </c>
      <c r="K413">
        <v>44833.0884806998</v>
      </c>
      <c r="L413">
        <v>58.165548810454759</v>
      </c>
      <c r="M413">
        <v>830074.45235776657</v>
      </c>
    </row>
    <row r="414" spans="1:13">
      <c r="A414">
        <v>2034</v>
      </c>
      <c r="B414" t="s">
        <v>72</v>
      </c>
      <c r="C414" t="s">
        <v>90</v>
      </c>
      <c r="D414" t="s">
        <v>85</v>
      </c>
      <c r="E414" t="s">
        <v>82</v>
      </c>
      <c r="F414" t="s">
        <v>86</v>
      </c>
      <c r="G414">
        <v>456212.55437888007</v>
      </c>
      <c r="H414">
        <v>4.2147309829708064</v>
      </c>
      <c r="I414">
        <v>52074.189292557807</v>
      </c>
      <c r="J414">
        <v>96081.089820399735</v>
      </c>
      <c r="K414">
        <v>41579.804681766538</v>
      </c>
      <c r="L414">
        <v>53.274939124927151</v>
      </c>
      <c r="M414">
        <v>813990.87078042782</v>
      </c>
    </row>
    <row r="415" spans="1:13">
      <c r="A415">
        <v>2034</v>
      </c>
      <c r="B415" t="s">
        <v>72</v>
      </c>
      <c r="C415" t="s">
        <v>90</v>
      </c>
      <c r="D415" t="s">
        <v>85</v>
      </c>
      <c r="E415" t="s">
        <v>82</v>
      </c>
      <c r="F415" t="s">
        <v>87</v>
      </c>
      <c r="G415">
        <v>456212.55437888007</v>
      </c>
      <c r="H415">
        <v>4.2147309829708064</v>
      </c>
      <c r="I415">
        <v>52074.189292557807</v>
      </c>
      <c r="J415">
        <v>96081.089820399735</v>
      </c>
      <c r="K415">
        <v>41579.804681766538</v>
      </c>
      <c r="L415">
        <v>53.274939124927151</v>
      </c>
      <c r="M415">
        <v>813990.87078042782</v>
      </c>
    </row>
    <row r="416" spans="1:13">
      <c r="A416">
        <v>2034</v>
      </c>
      <c r="B416" t="s">
        <v>72</v>
      </c>
      <c r="C416" t="s">
        <v>90</v>
      </c>
      <c r="D416" t="s">
        <v>85</v>
      </c>
      <c r="E416" t="s">
        <v>88</v>
      </c>
      <c r="F416" t="s">
        <v>89</v>
      </c>
      <c r="G416">
        <v>456102.63063334918</v>
      </c>
      <c r="H416">
        <v>4.2137420300365553</v>
      </c>
      <c r="I416">
        <v>51933.614152164111</v>
      </c>
      <c r="J416">
        <v>95812.420087745966</v>
      </c>
      <c r="K416">
        <v>41455.986566164793</v>
      </c>
      <c r="L416">
        <v>53.259599663892267</v>
      </c>
      <c r="M416">
        <v>813950.97515535529</v>
      </c>
    </row>
    <row r="417" spans="1:13">
      <c r="A417">
        <v>2034</v>
      </c>
      <c r="B417" t="s">
        <v>72</v>
      </c>
      <c r="C417" t="s">
        <v>91</v>
      </c>
      <c r="D417" t="s">
        <v>81</v>
      </c>
      <c r="E417" t="s">
        <v>82</v>
      </c>
      <c r="F417" t="s">
        <v>83</v>
      </c>
      <c r="G417">
        <v>1124770.4965089189</v>
      </c>
      <c r="H417">
        <v>10.38991735903099</v>
      </c>
      <c r="I417">
        <v>139241.28837992079</v>
      </c>
      <c r="J417">
        <v>257049.92503953521</v>
      </c>
      <c r="K417">
        <v>112078.75879820299</v>
      </c>
      <c r="L417">
        <v>145.89419570173439</v>
      </c>
      <c r="M417">
        <v>2043116.204494043</v>
      </c>
    </row>
    <row r="418" spans="1:13">
      <c r="A418">
        <v>2034</v>
      </c>
      <c r="B418" t="s">
        <v>72</v>
      </c>
      <c r="C418" t="s">
        <v>91</v>
      </c>
      <c r="D418" t="s">
        <v>81</v>
      </c>
      <c r="E418" t="s">
        <v>82</v>
      </c>
      <c r="F418" t="s">
        <v>84</v>
      </c>
      <c r="G418">
        <v>1123998.3412969341</v>
      </c>
      <c r="H418">
        <v>10.38290540112245</v>
      </c>
      <c r="I418">
        <v>138139.79213190629</v>
      </c>
      <c r="J418">
        <v>255004.64665465281</v>
      </c>
      <c r="K418">
        <v>111115.3711531249</v>
      </c>
      <c r="L418">
        <v>144.44595040893779</v>
      </c>
      <c r="M418">
        <v>2038353.4095035491</v>
      </c>
    </row>
    <row r="419" spans="1:13">
      <c r="A419">
        <v>2034</v>
      </c>
      <c r="B419" t="s">
        <v>72</v>
      </c>
      <c r="C419" t="s">
        <v>91</v>
      </c>
      <c r="D419" t="s">
        <v>85</v>
      </c>
      <c r="E419" t="s">
        <v>82</v>
      </c>
      <c r="F419" t="s">
        <v>86</v>
      </c>
      <c r="G419">
        <v>1121390.834283273</v>
      </c>
      <c r="H419">
        <v>10.359226574453659</v>
      </c>
      <c r="I419">
        <v>134420.12651593229</v>
      </c>
      <c r="J419">
        <v>248097.90348865851</v>
      </c>
      <c r="K419">
        <v>107862.08735419159</v>
      </c>
      <c r="L419">
        <v>139.5553407234101</v>
      </c>
      <c r="M419">
        <v>2022269.827926209</v>
      </c>
    </row>
    <row r="420" spans="1:13">
      <c r="A420">
        <v>2034</v>
      </c>
      <c r="B420" t="s">
        <v>72</v>
      </c>
      <c r="C420" t="s">
        <v>91</v>
      </c>
      <c r="D420" t="s">
        <v>85</v>
      </c>
      <c r="E420" t="s">
        <v>82</v>
      </c>
      <c r="F420" t="s">
        <v>87</v>
      </c>
      <c r="G420">
        <v>1121390.834283273</v>
      </c>
      <c r="H420">
        <v>10.359226574453659</v>
      </c>
      <c r="I420">
        <v>134420.12651593229</v>
      </c>
      <c r="J420">
        <v>248097.90348865851</v>
      </c>
      <c r="K420">
        <v>107862.08735419159</v>
      </c>
      <c r="L420">
        <v>139.5553407234101</v>
      </c>
      <c r="M420">
        <v>2022269.827926209</v>
      </c>
    </row>
    <row r="421" spans="1:13">
      <c r="A421">
        <v>2034</v>
      </c>
      <c r="B421" t="s">
        <v>72</v>
      </c>
      <c r="C421" t="s">
        <v>91</v>
      </c>
      <c r="D421" t="s">
        <v>85</v>
      </c>
      <c r="E421" t="s">
        <v>88</v>
      </c>
      <c r="F421" t="s">
        <v>89</v>
      </c>
      <c r="G421">
        <v>1121280.910537743</v>
      </c>
      <c r="H421">
        <v>10.358237621519409</v>
      </c>
      <c r="I421">
        <v>134279.55137553869</v>
      </c>
      <c r="J421">
        <v>247829.2337560048</v>
      </c>
      <c r="K421">
        <v>107738.2692385899</v>
      </c>
      <c r="L421">
        <v>139.54000126237531</v>
      </c>
      <c r="M421">
        <v>2022229.9323011369</v>
      </c>
    </row>
    <row r="422" spans="1:13">
      <c r="A422">
        <v>2034</v>
      </c>
      <c r="B422" t="s">
        <v>73</v>
      </c>
      <c r="C422" t="s">
        <v>80</v>
      </c>
      <c r="D422" t="s">
        <v>81</v>
      </c>
      <c r="E422" t="s">
        <v>82</v>
      </c>
      <c r="F422" t="s">
        <v>83</v>
      </c>
      <c r="G422">
        <v>65620069.021477588</v>
      </c>
      <c r="H422">
        <v>76.201164290476441</v>
      </c>
      <c r="I422">
        <v>755552.51279514912</v>
      </c>
      <c r="J422">
        <v>1253642.8203572489</v>
      </c>
      <c r="K422">
        <v>660000.60808473208</v>
      </c>
      <c r="L422">
        <v>974.14280430547626</v>
      </c>
      <c r="M422">
        <v>15583839.764126619</v>
      </c>
    </row>
    <row r="423" spans="1:13">
      <c r="A423">
        <v>2034</v>
      </c>
      <c r="B423" t="s">
        <v>73</v>
      </c>
      <c r="C423" t="s">
        <v>80</v>
      </c>
      <c r="D423" t="s">
        <v>81</v>
      </c>
      <c r="E423" t="s">
        <v>82</v>
      </c>
      <c r="F423" t="s">
        <v>84</v>
      </c>
      <c r="G423">
        <v>65509267.244247697</v>
      </c>
      <c r="H423">
        <v>73.110801935385339</v>
      </c>
      <c r="I423">
        <v>683442.28066723223</v>
      </c>
      <c r="J423">
        <v>1142140.1852107181</v>
      </c>
      <c r="K423">
        <v>584141.89674384787</v>
      </c>
      <c r="L423">
        <v>838.67689935129988</v>
      </c>
      <c r="M423">
        <v>15444561.766424811</v>
      </c>
    </row>
    <row r="424" spans="1:13">
      <c r="A424">
        <v>2034</v>
      </c>
      <c r="B424" t="s">
        <v>73</v>
      </c>
      <c r="C424" t="s">
        <v>80</v>
      </c>
      <c r="D424" t="s">
        <v>85</v>
      </c>
      <c r="E424" t="s">
        <v>82</v>
      </c>
      <c r="F424" t="s">
        <v>86</v>
      </c>
      <c r="G424">
        <v>65270781.301398709</v>
      </c>
      <c r="H424">
        <v>66.459212056373801</v>
      </c>
      <c r="I424">
        <v>528234.69169144542</v>
      </c>
      <c r="J424">
        <v>902145.73983380524</v>
      </c>
      <c r="K424">
        <v>420866.20974920469</v>
      </c>
      <c r="L424">
        <v>547.10473440439205</v>
      </c>
      <c r="M424">
        <v>15144784.58387012</v>
      </c>
    </row>
    <row r="425" spans="1:13">
      <c r="A425">
        <v>2034</v>
      </c>
      <c r="B425" t="s">
        <v>73</v>
      </c>
      <c r="C425" t="s">
        <v>80</v>
      </c>
      <c r="D425" t="s">
        <v>85</v>
      </c>
      <c r="E425" t="s">
        <v>82</v>
      </c>
      <c r="F425" t="s">
        <v>87</v>
      </c>
      <c r="G425">
        <v>65270781.301398709</v>
      </c>
      <c r="H425">
        <v>66.459212056373801</v>
      </c>
      <c r="I425">
        <v>528234.69169144542</v>
      </c>
      <c r="J425">
        <v>902145.73983380524</v>
      </c>
      <c r="K425">
        <v>420866.20974920469</v>
      </c>
      <c r="L425">
        <v>547.10473440439205</v>
      </c>
      <c r="M425">
        <v>15144784.58387012</v>
      </c>
    </row>
    <row r="426" spans="1:13">
      <c r="A426">
        <v>2034</v>
      </c>
      <c r="B426" t="s">
        <v>73</v>
      </c>
      <c r="C426" t="s">
        <v>80</v>
      </c>
      <c r="D426" t="s">
        <v>85</v>
      </c>
      <c r="E426" t="s">
        <v>88</v>
      </c>
      <c r="F426" t="s">
        <v>89</v>
      </c>
      <c r="G426">
        <v>63985624.211244643</v>
      </c>
      <c r="H426">
        <v>60.887523100629622</v>
      </c>
      <c r="I426">
        <v>494585.97954178462</v>
      </c>
      <c r="J426">
        <v>841165.0427251627</v>
      </c>
      <c r="K426">
        <v>392292.31359242753</v>
      </c>
      <c r="L426">
        <v>513.53443767515853</v>
      </c>
      <c r="M426">
        <v>15217952.322540579</v>
      </c>
    </row>
    <row r="427" spans="1:13">
      <c r="A427">
        <v>2034</v>
      </c>
      <c r="B427" t="s">
        <v>73</v>
      </c>
      <c r="C427" t="s">
        <v>90</v>
      </c>
      <c r="D427" t="s">
        <v>81</v>
      </c>
      <c r="E427" t="s">
        <v>82</v>
      </c>
      <c r="F427" t="s">
        <v>83</v>
      </c>
      <c r="G427">
        <v>51922429.221221283</v>
      </c>
      <c r="H427">
        <v>60.294809475923131</v>
      </c>
      <c r="I427">
        <v>597837.25396085624</v>
      </c>
      <c r="J427">
        <v>991955.3816285478</v>
      </c>
      <c r="K427">
        <v>522231.00905343809</v>
      </c>
      <c r="L427">
        <v>770.79865294500371</v>
      </c>
      <c r="M427">
        <v>12330843.73749868</v>
      </c>
    </row>
    <row r="428" spans="1:13">
      <c r="A428">
        <v>2034</v>
      </c>
      <c r="B428" t="s">
        <v>73</v>
      </c>
      <c r="C428" t="s">
        <v>90</v>
      </c>
      <c r="D428" t="s">
        <v>81</v>
      </c>
      <c r="E428" t="s">
        <v>82</v>
      </c>
      <c r="F428" t="s">
        <v>84</v>
      </c>
      <c r="G428">
        <v>51811627.443991378</v>
      </c>
      <c r="H428">
        <v>57.204447120832008</v>
      </c>
      <c r="I428">
        <v>525727.02183293912</v>
      </c>
      <c r="J428">
        <v>880452.74648201698</v>
      </c>
      <c r="K428">
        <v>446372.29771255382</v>
      </c>
      <c r="L428">
        <v>635.33274799082722</v>
      </c>
      <c r="M428">
        <v>12191565.739796869</v>
      </c>
    </row>
    <row r="429" spans="1:13">
      <c r="A429">
        <v>2034</v>
      </c>
      <c r="B429" t="s">
        <v>73</v>
      </c>
      <c r="C429" t="s">
        <v>90</v>
      </c>
      <c r="D429" t="s">
        <v>85</v>
      </c>
      <c r="E429" t="s">
        <v>82</v>
      </c>
      <c r="F429" t="s">
        <v>86</v>
      </c>
      <c r="G429">
        <v>51573141.50114239</v>
      </c>
      <c r="H429">
        <v>50.552857241820483</v>
      </c>
      <c r="I429">
        <v>370519.43285715248</v>
      </c>
      <c r="J429">
        <v>640458.30110510439</v>
      </c>
      <c r="K429">
        <v>283096.61071791069</v>
      </c>
      <c r="L429">
        <v>343.76058304391938</v>
      </c>
      <c r="M429">
        <v>11891788.557242179</v>
      </c>
    </row>
    <row r="430" spans="1:13">
      <c r="A430">
        <v>2034</v>
      </c>
      <c r="B430" t="s">
        <v>73</v>
      </c>
      <c r="C430" t="s">
        <v>90</v>
      </c>
      <c r="D430" t="s">
        <v>85</v>
      </c>
      <c r="E430" t="s">
        <v>82</v>
      </c>
      <c r="F430" t="s">
        <v>87</v>
      </c>
      <c r="G430">
        <v>51573141.50114239</v>
      </c>
      <c r="H430">
        <v>50.552857241820483</v>
      </c>
      <c r="I430">
        <v>370519.43285715248</v>
      </c>
      <c r="J430">
        <v>640458.30110510439</v>
      </c>
      <c r="K430">
        <v>283096.61071791069</v>
      </c>
      <c r="L430">
        <v>343.76058304391938</v>
      </c>
      <c r="M430">
        <v>11891788.557242179</v>
      </c>
    </row>
    <row r="431" spans="1:13">
      <c r="A431">
        <v>2034</v>
      </c>
      <c r="B431" t="s">
        <v>73</v>
      </c>
      <c r="C431" t="s">
        <v>90</v>
      </c>
      <c r="D431" t="s">
        <v>85</v>
      </c>
      <c r="E431" t="s">
        <v>88</v>
      </c>
      <c r="F431" t="s">
        <v>89</v>
      </c>
      <c r="G431">
        <v>50287984.410988323</v>
      </c>
      <c r="H431">
        <v>44.981168286076318</v>
      </c>
      <c r="I431">
        <v>336870.72070749162</v>
      </c>
      <c r="J431">
        <v>579477.60399646196</v>
      </c>
      <c r="K431">
        <v>254522.71456113359</v>
      </c>
      <c r="L431">
        <v>310.19028631468592</v>
      </c>
      <c r="M431">
        <v>11964956.29591264</v>
      </c>
    </row>
    <row r="432" spans="1:13">
      <c r="A432">
        <v>2034</v>
      </c>
      <c r="B432" t="s">
        <v>73</v>
      </c>
      <c r="C432" t="s">
        <v>91</v>
      </c>
      <c r="D432" t="s">
        <v>81</v>
      </c>
      <c r="E432" t="s">
        <v>82</v>
      </c>
      <c r="F432" t="s">
        <v>83</v>
      </c>
      <c r="G432">
        <v>63083465.868976519</v>
      </c>
      <c r="H432">
        <v>73.25553932473295</v>
      </c>
      <c r="I432">
        <v>726345.94665744819</v>
      </c>
      <c r="J432">
        <v>1205182.122621808</v>
      </c>
      <c r="K432">
        <v>634487.68729563011</v>
      </c>
      <c r="L432">
        <v>936.48643263084818</v>
      </c>
      <c r="M432">
        <v>14981432.335069859</v>
      </c>
    </row>
    <row r="433" spans="1:13">
      <c r="A433">
        <v>2034</v>
      </c>
      <c r="B433" t="s">
        <v>73</v>
      </c>
      <c r="C433" t="s">
        <v>91</v>
      </c>
      <c r="D433" t="s">
        <v>81</v>
      </c>
      <c r="E433" t="s">
        <v>82</v>
      </c>
      <c r="F433" t="s">
        <v>84</v>
      </c>
      <c r="G433">
        <v>62972664.091746628</v>
      </c>
      <c r="H433">
        <v>70.165176969641863</v>
      </c>
      <c r="I433">
        <v>654235.71452953131</v>
      </c>
      <c r="J433">
        <v>1093679.4874752781</v>
      </c>
      <c r="K433">
        <v>558628.9759547459</v>
      </c>
      <c r="L433">
        <v>801.0205276766718</v>
      </c>
      <c r="M433">
        <v>14842154.33736806</v>
      </c>
    </row>
    <row r="434" spans="1:13">
      <c r="A434">
        <v>2034</v>
      </c>
      <c r="B434" t="s">
        <v>73</v>
      </c>
      <c r="C434" t="s">
        <v>91</v>
      </c>
      <c r="D434" t="s">
        <v>85</v>
      </c>
      <c r="E434" t="s">
        <v>82</v>
      </c>
      <c r="F434" t="s">
        <v>86</v>
      </c>
      <c r="G434">
        <v>62734178.148897633</v>
      </c>
      <c r="H434">
        <v>63.513587090630317</v>
      </c>
      <c r="I434">
        <v>499028.12555374461</v>
      </c>
      <c r="J434">
        <v>853685.04209836526</v>
      </c>
      <c r="K434">
        <v>395353.28896010277</v>
      </c>
      <c r="L434">
        <v>509.44836272976391</v>
      </c>
      <c r="M434">
        <v>14542377.15481336</v>
      </c>
    </row>
    <row r="435" spans="1:13">
      <c r="A435">
        <v>2034</v>
      </c>
      <c r="B435" t="s">
        <v>73</v>
      </c>
      <c r="C435" t="s">
        <v>91</v>
      </c>
      <c r="D435" t="s">
        <v>85</v>
      </c>
      <c r="E435" t="s">
        <v>82</v>
      </c>
      <c r="F435" t="s">
        <v>87</v>
      </c>
      <c r="G435">
        <v>62734178.148897633</v>
      </c>
      <c r="H435">
        <v>63.513587090630317</v>
      </c>
      <c r="I435">
        <v>499028.12555374461</v>
      </c>
      <c r="J435">
        <v>853685.04209836526</v>
      </c>
      <c r="K435">
        <v>395353.28896010277</v>
      </c>
      <c r="L435">
        <v>509.44836272976391</v>
      </c>
      <c r="M435">
        <v>14542377.15481336</v>
      </c>
    </row>
    <row r="436" spans="1:13">
      <c r="A436">
        <v>2034</v>
      </c>
      <c r="B436" t="s">
        <v>73</v>
      </c>
      <c r="C436" t="s">
        <v>91</v>
      </c>
      <c r="D436" t="s">
        <v>85</v>
      </c>
      <c r="E436" t="s">
        <v>88</v>
      </c>
      <c r="F436" t="s">
        <v>89</v>
      </c>
      <c r="G436">
        <v>61449021.058743574</v>
      </c>
      <c r="H436">
        <v>57.941898134886152</v>
      </c>
      <c r="I436">
        <v>465379.41340408358</v>
      </c>
      <c r="J436">
        <v>792704.34498972271</v>
      </c>
      <c r="K436">
        <v>366779.39280332561</v>
      </c>
      <c r="L436">
        <v>475.87806600053028</v>
      </c>
      <c r="M436">
        <v>14615544.893483831</v>
      </c>
    </row>
    <row r="437" spans="1:13">
      <c r="A437">
        <v>2034</v>
      </c>
      <c r="B437" t="s">
        <v>74</v>
      </c>
      <c r="C437" t="s">
        <v>80</v>
      </c>
      <c r="D437" t="s">
        <v>81</v>
      </c>
      <c r="E437" t="s">
        <v>82</v>
      </c>
      <c r="F437" t="s">
        <v>83</v>
      </c>
      <c r="G437">
        <v>592861.36282932153</v>
      </c>
      <c r="H437">
        <v>5.6329031605670297</v>
      </c>
      <c r="I437">
        <v>336099.70093152381</v>
      </c>
      <c r="J437">
        <v>749730.25560380623</v>
      </c>
      <c r="K437">
        <v>275241.40839245857</v>
      </c>
      <c r="L437">
        <v>10163734.50857682</v>
      </c>
      <c r="M437">
        <v>3731316.1363812438</v>
      </c>
    </row>
    <row r="438" spans="1:13">
      <c r="A438">
        <v>2034</v>
      </c>
      <c r="B438" t="s">
        <v>74</v>
      </c>
      <c r="C438" t="s">
        <v>80</v>
      </c>
      <c r="D438" t="s">
        <v>81</v>
      </c>
      <c r="E438" t="s">
        <v>82</v>
      </c>
      <c r="F438" t="s">
        <v>84</v>
      </c>
      <c r="G438">
        <v>556679.94862148655</v>
      </c>
      <c r="H438">
        <v>5.3031704810018869</v>
      </c>
      <c r="I438">
        <v>177869.84369716671</v>
      </c>
      <c r="J438">
        <v>379166.96948216128</v>
      </c>
      <c r="K438">
        <v>137227.53566838251</v>
      </c>
      <c r="L438">
        <v>5140185.2645451268</v>
      </c>
      <c r="M438">
        <v>1860328.070495724</v>
      </c>
    </row>
    <row r="439" spans="1:13">
      <c r="A439">
        <v>2034</v>
      </c>
      <c r="B439" t="s">
        <v>74</v>
      </c>
      <c r="C439" t="s">
        <v>80</v>
      </c>
      <c r="D439" t="s">
        <v>85</v>
      </c>
      <c r="E439" t="s">
        <v>82</v>
      </c>
      <c r="F439" t="s">
        <v>86</v>
      </c>
      <c r="G439">
        <v>527952.02064409165</v>
      </c>
      <c r="H439">
        <v>5.0417974042540106</v>
      </c>
      <c r="I439">
        <v>67158.045694546629</v>
      </c>
      <c r="J439">
        <v>121420.6355326807</v>
      </c>
      <c r="K439">
        <v>40727.378524130763</v>
      </c>
      <c r="L439">
        <v>1646041.4851778201</v>
      </c>
      <c r="M439">
        <v>552121.59234017262</v>
      </c>
    </row>
    <row r="440" spans="1:13">
      <c r="A440">
        <v>2034</v>
      </c>
      <c r="B440" t="s">
        <v>74</v>
      </c>
      <c r="C440" t="s">
        <v>80</v>
      </c>
      <c r="D440" t="s">
        <v>85</v>
      </c>
      <c r="E440" t="s">
        <v>82</v>
      </c>
      <c r="F440" t="s">
        <v>87</v>
      </c>
      <c r="G440">
        <v>527952.02064409165</v>
      </c>
      <c r="H440">
        <v>5.0417974042540106</v>
      </c>
      <c r="I440">
        <v>67158.045694546629</v>
      </c>
      <c r="J440">
        <v>121420.6355326807</v>
      </c>
      <c r="K440">
        <v>40727.378524130763</v>
      </c>
      <c r="L440">
        <v>1646041.4851778201</v>
      </c>
      <c r="M440">
        <v>552121.59234017262</v>
      </c>
    </row>
    <row r="441" spans="1:13">
      <c r="A441">
        <v>2034</v>
      </c>
      <c r="B441" t="s">
        <v>74</v>
      </c>
      <c r="C441" t="s">
        <v>80</v>
      </c>
      <c r="D441" t="s">
        <v>85</v>
      </c>
      <c r="E441" t="s">
        <v>88</v>
      </c>
      <c r="F441" t="s">
        <v>89</v>
      </c>
      <c r="G441">
        <v>520689.42514231842</v>
      </c>
      <c r="H441">
        <v>4.9763840837399007</v>
      </c>
      <c r="I441">
        <v>61998.478171284063</v>
      </c>
      <c r="J441">
        <v>112070.08378055861</v>
      </c>
      <c r="K441">
        <v>36345.964282543799</v>
      </c>
      <c r="L441">
        <v>1519280.5270773121</v>
      </c>
      <c r="M441">
        <v>492724.85492596339</v>
      </c>
    </row>
    <row r="442" spans="1:13">
      <c r="A442">
        <v>2034</v>
      </c>
      <c r="B442" t="s">
        <v>74</v>
      </c>
      <c r="C442" t="s">
        <v>90</v>
      </c>
      <c r="D442" t="s">
        <v>81</v>
      </c>
      <c r="E442" t="s">
        <v>82</v>
      </c>
      <c r="F442" t="s">
        <v>83</v>
      </c>
      <c r="G442">
        <v>245194.69626881249</v>
      </c>
      <c r="H442">
        <v>2.3296474794301751</v>
      </c>
      <c r="I442">
        <v>139003.600593329</v>
      </c>
      <c r="J442">
        <v>310072.29317326442</v>
      </c>
      <c r="K442">
        <v>113833.9209850281</v>
      </c>
      <c r="L442">
        <v>4203501.7831053846</v>
      </c>
      <c r="M442">
        <v>1543192.0244839899</v>
      </c>
    </row>
    <row r="443" spans="1:13">
      <c r="A443">
        <v>2034</v>
      </c>
      <c r="B443" t="s">
        <v>74</v>
      </c>
      <c r="C443" t="s">
        <v>90</v>
      </c>
      <c r="D443" t="s">
        <v>81</v>
      </c>
      <c r="E443" t="s">
        <v>82</v>
      </c>
      <c r="F443" t="s">
        <v>84</v>
      </c>
      <c r="G443">
        <v>215345.93659278189</v>
      </c>
      <c r="H443">
        <v>2.0581253231049832</v>
      </c>
      <c r="I443">
        <v>25641.235839335699</v>
      </c>
      <c r="J443">
        <v>46349.773954328943</v>
      </c>
      <c r="K443">
        <v>15031.90835429945</v>
      </c>
      <c r="L443">
        <v>628341.71821564203</v>
      </c>
      <c r="M443">
        <v>203780.39238567691</v>
      </c>
    </row>
    <row r="444" spans="1:13">
      <c r="A444">
        <v>2034</v>
      </c>
      <c r="B444" t="s">
        <v>74</v>
      </c>
      <c r="C444" t="s">
        <v>90</v>
      </c>
      <c r="D444" t="s">
        <v>85</v>
      </c>
      <c r="E444" t="s">
        <v>82</v>
      </c>
      <c r="F444" t="s">
        <v>86</v>
      </c>
      <c r="G444">
        <v>215345.93659278189</v>
      </c>
      <c r="H444">
        <v>2.0581253231049832</v>
      </c>
      <c r="I444">
        <v>25641.235839335699</v>
      </c>
      <c r="J444">
        <v>46349.773954328943</v>
      </c>
      <c r="K444">
        <v>15031.90835429945</v>
      </c>
      <c r="L444">
        <v>628341.71821564203</v>
      </c>
      <c r="M444">
        <v>203780.39238567691</v>
      </c>
    </row>
    <row r="445" spans="1:13">
      <c r="A445">
        <v>2034</v>
      </c>
      <c r="B445" t="s">
        <v>74</v>
      </c>
      <c r="C445" t="s">
        <v>90</v>
      </c>
      <c r="D445" t="s">
        <v>85</v>
      </c>
      <c r="E445" t="s">
        <v>82</v>
      </c>
      <c r="F445" t="s">
        <v>87</v>
      </c>
      <c r="G445">
        <v>215345.93659278189</v>
      </c>
      <c r="H445">
        <v>2.0581253231049832</v>
      </c>
      <c r="I445">
        <v>25641.235839335699</v>
      </c>
      <c r="J445">
        <v>46349.773954328943</v>
      </c>
      <c r="K445">
        <v>15031.90835429945</v>
      </c>
      <c r="L445">
        <v>628341.71821564203</v>
      </c>
      <c r="M445">
        <v>203780.39238567691</v>
      </c>
    </row>
    <row r="446" spans="1:13">
      <c r="A446">
        <v>2034</v>
      </c>
      <c r="B446" t="s">
        <v>74</v>
      </c>
      <c r="C446" t="s">
        <v>90</v>
      </c>
      <c r="D446" t="s">
        <v>85</v>
      </c>
      <c r="E446" t="s">
        <v>88</v>
      </c>
      <c r="F446" t="s">
        <v>89</v>
      </c>
      <c r="G446">
        <v>215345.93659278189</v>
      </c>
      <c r="H446">
        <v>2.0581253231049832</v>
      </c>
      <c r="I446">
        <v>25641.235839335699</v>
      </c>
      <c r="J446">
        <v>46349.773954328943</v>
      </c>
      <c r="K446">
        <v>15031.90835429945</v>
      </c>
      <c r="L446">
        <v>628341.71821564203</v>
      </c>
      <c r="M446">
        <v>203780.39238567691</v>
      </c>
    </row>
    <row r="447" spans="1:13">
      <c r="A447">
        <v>2034</v>
      </c>
      <c r="B447" t="s">
        <v>74</v>
      </c>
      <c r="C447" t="s">
        <v>91</v>
      </c>
      <c r="D447" t="s">
        <v>81</v>
      </c>
      <c r="E447" t="s">
        <v>82</v>
      </c>
      <c r="F447" t="s">
        <v>83</v>
      </c>
      <c r="G447">
        <v>569083.11326933082</v>
      </c>
      <c r="H447">
        <v>5.4069809037007426</v>
      </c>
      <c r="I447">
        <v>322619.54677263531</v>
      </c>
      <c r="J447">
        <v>719660.37040274416</v>
      </c>
      <c r="K447">
        <v>264202.13461221842</v>
      </c>
      <c r="L447">
        <v>9756091.4561554622</v>
      </c>
      <c r="M447">
        <v>3581661.981395205</v>
      </c>
    </row>
    <row r="448" spans="1:13">
      <c r="A448">
        <v>2034</v>
      </c>
      <c r="B448" t="s">
        <v>74</v>
      </c>
      <c r="C448" t="s">
        <v>91</v>
      </c>
      <c r="D448" t="s">
        <v>81</v>
      </c>
      <c r="E448" t="s">
        <v>82</v>
      </c>
      <c r="F448" t="s">
        <v>84</v>
      </c>
      <c r="G448">
        <v>532901.69906149583</v>
      </c>
      <c r="H448">
        <v>5.0772482241355998</v>
      </c>
      <c r="I448">
        <v>164389.68953827821</v>
      </c>
      <c r="J448">
        <v>349097.08428109932</v>
      </c>
      <c r="K448">
        <v>126188.2618881423</v>
      </c>
      <c r="L448">
        <v>4732542.2121237721</v>
      </c>
      <c r="M448">
        <v>1710673.9155096861</v>
      </c>
    </row>
    <row r="449" spans="1:13">
      <c r="A449">
        <v>2034</v>
      </c>
      <c r="B449" t="s">
        <v>74</v>
      </c>
      <c r="C449" t="s">
        <v>91</v>
      </c>
      <c r="D449" t="s">
        <v>85</v>
      </c>
      <c r="E449" t="s">
        <v>82</v>
      </c>
      <c r="F449" t="s">
        <v>86</v>
      </c>
      <c r="G449">
        <v>504769.62269794347</v>
      </c>
      <c r="H449">
        <v>4.8215016137058564</v>
      </c>
      <c r="I449">
        <v>63038.303844637718</v>
      </c>
      <c r="J449">
        <v>113966.0908161291</v>
      </c>
      <c r="K449">
        <v>37882.802430884047</v>
      </c>
      <c r="L449">
        <v>1544983.7876725681</v>
      </c>
      <c r="M449">
        <v>513559.03469346289</v>
      </c>
    </row>
    <row r="450" spans="1:13">
      <c r="A450">
        <v>2034</v>
      </c>
      <c r="B450" t="s">
        <v>74</v>
      </c>
      <c r="C450" t="s">
        <v>91</v>
      </c>
      <c r="D450" t="s">
        <v>85</v>
      </c>
      <c r="E450" t="s">
        <v>82</v>
      </c>
      <c r="F450" t="s">
        <v>87</v>
      </c>
      <c r="G450">
        <v>504769.62269794347</v>
      </c>
      <c r="H450">
        <v>4.8215016137058564</v>
      </c>
      <c r="I450">
        <v>63038.303844637718</v>
      </c>
      <c r="J450">
        <v>113966.0908161291</v>
      </c>
      <c r="K450">
        <v>37882.802430884047</v>
      </c>
      <c r="L450">
        <v>1544983.7876725681</v>
      </c>
      <c r="M450">
        <v>513559.03469346289</v>
      </c>
    </row>
    <row r="451" spans="1:13">
      <c r="A451">
        <v>2034</v>
      </c>
      <c r="B451" t="s">
        <v>74</v>
      </c>
      <c r="C451" t="s">
        <v>91</v>
      </c>
      <c r="D451" t="s">
        <v>85</v>
      </c>
      <c r="E451" t="s">
        <v>88</v>
      </c>
      <c r="F451" t="s">
        <v>89</v>
      </c>
      <c r="G451">
        <v>499805.81917549379</v>
      </c>
      <c r="H451">
        <v>4.776793234903292</v>
      </c>
      <c r="I451">
        <v>59511.867677287621</v>
      </c>
      <c r="J451">
        <v>107575.22109018901</v>
      </c>
      <c r="K451">
        <v>34888.214691502159</v>
      </c>
      <c r="L451">
        <v>1458345.8233009111</v>
      </c>
      <c r="M451">
        <v>472962.84090479888</v>
      </c>
    </row>
    <row r="452" spans="1:13">
      <c r="A452">
        <v>2035</v>
      </c>
      <c r="B452" t="s">
        <v>72</v>
      </c>
      <c r="C452" t="s">
        <v>80</v>
      </c>
      <c r="D452" t="s">
        <v>81</v>
      </c>
      <c r="E452" t="s">
        <v>82</v>
      </c>
      <c r="F452" t="s">
        <v>83</v>
      </c>
      <c r="G452">
        <v>1361577.2807114581</v>
      </c>
      <c r="H452">
        <v>12.577388425847641</v>
      </c>
      <c r="I452">
        <v>168556.85260552089</v>
      </c>
      <c r="J452">
        <v>311168.66865616542</v>
      </c>
      <c r="K452">
        <v>135675.5819108228</v>
      </c>
      <c r="L452">
        <v>176.61044886198039</v>
      </c>
      <c r="M452">
        <v>2473269.5376762622</v>
      </c>
    </row>
    <row r="453" spans="1:13">
      <c r="A453">
        <v>2035</v>
      </c>
      <c r="B453" t="s">
        <v>72</v>
      </c>
      <c r="C453" t="s">
        <v>80</v>
      </c>
      <c r="D453" t="s">
        <v>81</v>
      </c>
      <c r="E453" t="s">
        <v>82</v>
      </c>
      <c r="F453" t="s">
        <v>84</v>
      </c>
      <c r="G453">
        <v>1360805.125499473</v>
      </c>
      <c r="H453">
        <v>12.5703764679391</v>
      </c>
      <c r="I453">
        <v>167455.35635750651</v>
      </c>
      <c r="J453">
        <v>309123.39027128299</v>
      </c>
      <c r="K453">
        <v>134712.19426574471</v>
      </c>
      <c r="L453">
        <v>175.16220356918379</v>
      </c>
      <c r="M453">
        <v>2468506.7426857678</v>
      </c>
    </row>
    <row r="454" spans="1:13">
      <c r="A454">
        <v>2035</v>
      </c>
      <c r="B454" t="s">
        <v>72</v>
      </c>
      <c r="C454" t="s">
        <v>80</v>
      </c>
      <c r="D454" t="s">
        <v>85</v>
      </c>
      <c r="E454" t="s">
        <v>82</v>
      </c>
      <c r="F454" t="s">
        <v>86</v>
      </c>
      <c r="G454">
        <v>1357692.8647933919</v>
      </c>
      <c r="H454">
        <v>12.54211396225022</v>
      </c>
      <c r="I454">
        <v>163015.6485923086</v>
      </c>
      <c r="J454">
        <v>300879.65966963768</v>
      </c>
      <c r="K454">
        <v>130829.1491655375</v>
      </c>
      <c r="L454">
        <v>169.3248837563103</v>
      </c>
      <c r="M454">
        <v>2449309.7477423372</v>
      </c>
    </row>
    <row r="455" spans="1:13">
      <c r="A455">
        <v>2035</v>
      </c>
      <c r="B455" t="s">
        <v>72</v>
      </c>
      <c r="C455" t="s">
        <v>80</v>
      </c>
      <c r="D455" t="s">
        <v>85</v>
      </c>
      <c r="E455" t="s">
        <v>82</v>
      </c>
      <c r="F455" t="s">
        <v>87</v>
      </c>
      <c r="G455">
        <v>1357692.8647933919</v>
      </c>
      <c r="H455">
        <v>12.54211396225022</v>
      </c>
      <c r="I455">
        <v>163015.6485923086</v>
      </c>
      <c r="J455">
        <v>300879.65966963768</v>
      </c>
      <c r="K455">
        <v>130829.1491655375</v>
      </c>
      <c r="L455">
        <v>169.3248837563103</v>
      </c>
      <c r="M455">
        <v>2449309.7477423372</v>
      </c>
    </row>
    <row r="456" spans="1:13">
      <c r="A456">
        <v>2035</v>
      </c>
      <c r="B456" t="s">
        <v>72</v>
      </c>
      <c r="C456" t="s">
        <v>80</v>
      </c>
      <c r="D456" t="s">
        <v>85</v>
      </c>
      <c r="E456" t="s">
        <v>88</v>
      </c>
      <c r="F456" t="s">
        <v>89</v>
      </c>
      <c r="G456">
        <v>1357566.5238994199</v>
      </c>
      <c r="H456">
        <v>12.54097730886194</v>
      </c>
      <c r="I456">
        <v>162854.0785073202</v>
      </c>
      <c r="J456">
        <v>300570.86402186449</v>
      </c>
      <c r="K456">
        <v>130686.8387726412</v>
      </c>
      <c r="L456">
        <v>169.30725334160019</v>
      </c>
      <c r="M456">
        <v>2449263.893692215</v>
      </c>
    </row>
    <row r="457" spans="1:13">
      <c r="A457">
        <v>2035</v>
      </c>
      <c r="B457" t="s">
        <v>72</v>
      </c>
      <c r="C457" t="s">
        <v>90</v>
      </c>
      <c r="D457" t="s">
        <v>81</v>
      </c>
      <c r="E457" t="s">
        <v>82</v>
      </c>
      <c r="F457" t="s">
        <v>83</v>
      </c>
      <c r="G457">
        <v>524079.10723345011</v>
      </c>
      <c r="H457">
        <v>4.8411108138513539</v>
      </c>
      <c r="I457">
        <v>64878.524401804993</v>
      </c>
      <c r="J457">
        <v>119770.65156605181</v>
      </c>
      <c r="K457">
        <v>52222.329829158749</v>
      </c>
      <c r="L457">
        <v>67.978400990446772</v>
      </c>
      <c r="M457">
        <v>951975.99843599903</v>
      </c>
    </row>
    <row r="458" spans="1:13">
      <c r="A458">
        <v>2035</v>
      </c>
      <c r="B458" t="s">
        <v>72</v>
      </c>
      <c r="C458" t="s">
        <v>90</v>
      </c>
      <c r="D458" t="s">
        <v>81</v>
      </c>
      <c r="E458" t="s">
        <v>82</v>
      </c>
      <c r="F458" t="s">
        <v>84</v>
      </c>
      <c r="G458">
        <v>523306.95202146447</v>
      </c>
      <c r="H458">
        <v>4.8340988559428144</v>
      </c>
      <c r="I458">
        <v>63777.028153790547</v>
      </c>
      <c r="J458">
        <v>117725.3731811693</v>
      </c>
      <c r="K458">
        <v>51258.942184080617</v>
      </c>
      <c r="L458">
        <v>66.530155697650116</v>
      </c>
      <c r="M458">
        <v>947213.20344550523</v>
      </c>
    </row>
    <row r="459" spans="1:13">
      <c r="A459">
        <v>2035</v>
      </c>
      <c r="B459" t="s">
        <v>72</v>
      </c>
      <c r="C459" t="s">
        <v>90</v>
      </c>
      <c r="D459" t="s">
        <v>85</v>
      </c>
      <c r="E459" t="s">
        <v>82</v>
      </c>
      <c r="F459" t="s">
        <v>86</v>
      </c>
      <c r="G459">
        <v>520194.69131538412</v>
      </c>
      <c r="H459">
        <v>4.8058363502539319</v>
      </c>
      <c r="I459">
        <v>59337.320388592663</v>
      </c>
      <c r="J459">
        <v>109481.64257952409</v>
      </c>
      <c r="K459">
        <v>47375.897083873468</v>
      </c>
      <c r="L459">
        <v>60.692835884776613</v>
      </c>
      <c r="M459">
        <v>928016.20850207459</v>
      </c>
    </row>
    <row r="460" spans="1:13">
      <c r="A460">
        <v>2035</v>
      </c>
      <c r="B460" t="s">
        <v>72</v>
      </c>
      <c r="C460" t="s">
        <v>90</v>
      </c>
      <c r="D460" t="s">
        <v>85</v>
      </c>
      <c r="E460" t="s">
        <v>82</v>
      </c>
      <c r="F460" t="s">
        <v>87</v>
      </c>
      <c r="G460">
        <v>520194.69131538412</v>
      </c>
      <c r="H460">
        <v>4.8058363502539319</v>
      </c>
      <c r="I460">
        <v>59337.320388592663</v>
      </c>
      <c r="J460">
        <v>109481.64257952409</v>
      </c>
      <c r="K460">
        <v>47375.897083873468</v>
      </c>
      <c r="L460">
        <v>60.692835884776613</v>
      </c>
      <c r="M460">
        <v>928016.20850207459</v>
      </c>
    </row>
    <row r="461" spans="1:13">
      <c r="A461">
        <v>2035</v>
      </c>
      <c r="B461" t="s">
        <v>72</v>
      </c>
      <c r="C461" t="s">
        <v>90</v>
      </c>
      <c r="D461" t="s">
        <v>85</v>
      </c>
      <c r="E461" t="s">
        <v>88</v>
      </c>
      <c r="F461" t="s">
        <v>89</v>
      </c>
      <c r="G461">
        <v>520068.35042141128</v>
      </c>
      <c r="H461">
        <v>4.8046996968656526</v>
      </c>
      <c r="I461">
        <v>59175.750303604247</v>
      </c>
      <c r="J461">
        <v>109172.8469317509</v>
      </c>
      <c r="K461">
        <v>47233.586690977187</v>
      </c>
      <c r="L461">
        <v>60.675205470066423</v>
      </c>
      <c r="M461">
        <v>927970.35445195169</v>
      </c>
    </row>
    <row r="462" spans="1:13">
      <c r="A462">
        <v>2035</v>
      </c>
      <c r="B462" t="s">
        <v>72</v>
      </c>
      <c r="C462" t="s">
        <v>91</v>
      </c>
      <c r="D462" t="s">
        <v>81</v>
      </c>
      <c r="E462" t="s">
        <v>82</v>
      </c>
      <c r="F462" t="s">
        <v>83</v>
      </c>
      <c r="G462">
        <v>1294820.3309338081</v>
      </c>
      <c r="H462">
        <v>11.960730011101189</v>
      </c>
      <c r="I462">
        <v>160292.656732492</v>
      </c>
      <c r="J462">
        <v>295912.33948548202</v>
      </c>
      <c r="K462">
        <v>129023.52613992921</v>
      </c>
      <c r="L462">
        <v>167.95139216948999</v>
      </c>
      <c r="M462">
        <v>2352007.283486052</v>
      </c>
    </row>
    <row r="463" spans="1:13">
      <c r="A463">
        <v>2035</v>
      </c>
      <c r="B463" t="s">
        <v>72</v>
      </c>
      <c r="C463" t="s">
        <v>91</v>
      </c>
      <c r="D463" t="s">
        <v>81</v>
      </c>
      <c r="E463" t="s">
        <v>82</v>
      </c>
      <c r="F463" t="s">
        <v>84</v>
      </c>
      <c r="G463">
        <v>1294048.1757218221</v>
      </c>
      <c r="H463">
        <v>11.953718053192651</v>
      </c>
      <c r="I463">
        <v>159191.1604844775</v>
      </c>
      <c r="J463">
        <v>293867.06110059959</v>
      </c>
      <c r="K463">
        <v>128060.1384948511</v>
      </c>
      <c r="L463">
        <v>166.50314687669331</v>
      </c>
      <c r="M463">
        <v>2347244.488495558</v>
      </c>
    </row>
    <row r="464" spans="1:13">
      <c r="A464">
        <v>2035</v>
      </c>
      <c r="B464" t="s">
        <v>72</v>
      </c>
      <c r="C464" t="s">
        <v>91</v>
      </c>
      <c r="D464" t="s">
        <v>85</v>
      </c>
      <c r="E464" t="s">
        <v>82</v>
      </c>
      <c r="F464" t="s">
        <v>86</v>
      </c>
      <c r="G464">
        <v>1290935.9150157419</v>
      </c>
      <c r="H464">
        <v>11.92545554750377</v>
      </c>
      <c r="I464">
        <v>154751.45271927959</v>
      </c>
      <c r="J464">
        <v>285623.33049895428</v>
      </c>
      <c r="K464">
        <v>124177.0933946439</v>
      </c>
      <c r="L464">
        <v>160.66582706381979</v>
      </c>
      <c r="M464">
        <v>2328047.4935521269</v>
      </c>
    </row>
    <row r="465" spans="1:13">
      <c r="A465">
        <v>2035</v>
      </c>
      <c r="B465" t="s">
        <v>72</v>
      </c>
      <c r="C465" t="s">
        <v>91</v>
      </c>
      <c r="D465" t="s">
        <v>85</v>
      </c>
      <c r="E465" t="s">
        <v>82</v>
      </c>
      <c r="F465" t="s">
        <v>87</v>
      </c>
      <c r="G465">
        <v>1290935.9150157419</v>
      </c>
      <c r="H465">
        <v>11.92545554750377</v>
      </c>
      <c r="I465">
        <v>154751.45271927959</v>
      </c>
      <c r="J465">
        <v>285623.33049895428</v>
      </c>
      <c r="K465">
        <v>124177.0933946439</v>
      </c>
      <c r="L465">
        <v>160.66582706381979</v>
      </c>
      <c r="M465">
        <v>2328047.4935521269</v>
      </c>
    </row>
    <row r="466" spans="1:13">
      <c r="A466">
        <v>2035</v>
      </c>
      <c r="B466" t="s">
        <v>72</v>
      </c>
      <c r="C466" t="s">
        <v>91</v>
      </c>
      <c r="D466" t="s">
        <v>85</v>
      </c>
      <c r="E466" t="s">
        <v>88</v>
      </c>
      <c r="F466" t="s">
        <v>89</v>
      </c>
      <c r="G466">
        <v>1290809.5741217691</v>
      </c>
      <c r="H466">
        <v>11.924318894115491</v>
      </c>
      <c r="I466">
        <v>154589.88263429131</v>
      </c>
      <c r="J466">
        <v>285314.53485118109</v>
      </c>
      <c r="K466">
        <v>124034.78300174759</v>
      </c>
      <c r="L466">
        <v>160.64819664910971</v>
      </c>
      <c r="M466">
        <v>2328001.6395020052</v>
      </c>
    </row>
    <row r="467" spans="1:13">
      <c r="A467">
        <v>2035</v>
      </c>
      <c r="B467" t="s">
        <v>73</v>
      </c>
      <c r="C467" t="s">
        <v>80</v>
      </c>
      <c r="D467" t="s">
        <v>81</v>
      </c>
      <c r="E467" t="s">
        <v>82</v>
      </c>
      <c r="F467" t="s">
        <v>83</v>
      </c>
      <c r="G467">
        <v>68467878.010218412</v>
      </c>
      <c r="H467">
        <v>79.508176365515681</v>
      </c>
      <c r="I467">
        <v>788342.31733954069</v>
      </c>
      <c r="J467">
        <v>1308048.9699654609</v>
      </c>
      <c r="K467">
        <v>688643.60850070114</v>
      </c>
      <c r="L467">
        <v>1016.419087701495</v>
      </c>
      <c r="M467">
        <v>16260154.184717219</v>
      </c>
    </row>
    <row r="468" spans="1:13">
      <c r="A468">
        <v>2035</v>
      </c>
      <c r="B468" t="s">
        <v>73</v>
      </c>
      <c r="C468" t="s">
        <v>80</v>
      </c>
      <c r="D468" t="s">
        <v>81</v>
      </c>
      <c r="E468" t="s">
        <v>82</v>
      </c>
      <c r="F468" t="s">
        <v>84</v>
      </c>
      <c r="G468">
        <v>68355775.10066478</v>
      </c>
      <c r="H468">
        <v>76.381524246372464</v>
      </c>
      <c r="I468">
        <v>715385.30318124045</v>
      </c>
      <c r="J468">
        <v>1195236.9724025819</v>
      </c>
      <c r="K468">
        <v>611894.09717601491</v>
      </c>
      <c r="L468">
        <v>879.3624224535323</v>
      </c>
      <c r="M468">
        <v>16119240.66176191</v>
      </c>
    </row>
    <row r="469" spans="1:13">
      <c r="A469">
        <v>2035</v>
      </c>
      <c r="B469" t="s">
        <v>73</v>
      </c>
      <c r="C469" t="s">
        <v>80</v>
      </c>
      <c r="D469" t="s">
        <v>85</v>
      </c>
      <c r="E469" t="s">
        <v>82</v>
      </c>
      <c r="F469" t="s">
        <v>86</v>
      </c>
      <c r="G469">
        <v>68100722.122420356</v>
      </c>
      <c r="H469">
        <v>69.267864680380157</v>
      </c>
      <c r="I469">
        <v>549395.82245332119</v>
      </c>
      <c r="J469">
        <v>938570.69964762393</v>
      </c>
      <c r="K469">
        <v>437276.04738488561</v>
      </c>
      <c r="L469">
        <v>567.53545204809188</v>
      </c>
      <c r="M469">
        <v>15798638.691235229</v>
      </c>
    </row>
    <row r="470" spans="1:13">
      <c r="A470">
        <v>2035</v>
      </c>
      <c r="B470" t="s">
        <v>73</v>
      </c>
      <c r="C470" t="s">
        <v>80</v>
      </c>
      <c r="D470" t="s">
        <v>85</v>
      </c>
      <c r="E470" t="s">
        <v>82</v>
      </c>
      <c r="F470" t="s">
        <v>87</v>
      </c>
      <c r="G470">
        <v>68100722.122420356</v>
      </c>
      <c r="H470">
        <v>69.267864680380157</v>
      </c>
      <c r="I470">
        <v>549395.82245332119</v>
      </c>
      <c r="J470">
        <v>938570.69964762393</v>
      </c>
      <c r="K470">
        <v>437276.04738488561</v>
      </c>
      <c r="L470">
        <v>567.53545204809188</v>
      </c>
      <c r="M470">
        <v>15798638.691235229</v>
      </c>
    </row>
    <row r="471" spans="1:13">
      <c r="A471">
        <v>2035</v>
      </c>
      <c r="B471" t="s">
        <v>73</v>
      </c>
      <c r="C471" t="s">
        <v>80</v>
      </c>
      <c r="D471" t="s">
        <v>85</v>
      </c>
      <c r="E471" t="s">
        <v>88</v>
      </c>
      <c r="F471" t="s">
        <v>89</v>
      </c>
      <c r="G471">
        <v>66749821.517357841</v>
      </c>
      <c r="H471">
        <v>63.411150322890499</v>
      </c>
      <c r="I471">
        <v>514025.77629258152</v>
      </c>
      <c r="J471">
        <v>874470.47310541687</v>
      </c>
      <c r="K471">
        <v>407240.42457821668</v>
      </c>
      <c r="L471">
        <v>532.24783272817444</v>
      </c>
      <c r="M471">
        <v>15875549.39981572</v>
      </c>
    </row>
    <row r="472" spans="1:13">
      <c r="A472">
        <v>2035</v>
      </c>
      <c r="B472" t="s">
        <v>73</v>
      </c>
      <c r="C472" t="s">
        <v>90</v>
      </c>
      <c r="D472" t="s">
        <v>81</v>
      </c>
      <c r="E472" t="s">
        <v>82</v>
      </c>
      <c r="F472" t="s">
        <v>83</v>
      </c>
      <c r="G472">
        <v>53373140.112425253</v>
      </c>
      <c r="H472">
        <v>61.979444384222838</v>
      </c>
      <c r="I472">
        <v>614540.80632727779</v>
      </c>
      <c r="J472">
        <v>1019670.580961494</v>
      </c>
      <c r="K472">
        <v>536822.12553087412</v>
      </c>
      <c r="L472">
        <v>792.33474086547506</v>
      </c>
      <c r="M472">
        <v>12675367.088505769</v>
      </c>
    </row>
    <row r="473" spans="1:13">
      <c r="A473">
        <v>2035</v>
      </c>
      <c r="B473" t="s">
        <v>73</v>
      </c>
      <c r="C473" t="s">
        <v>90</v>
      </c>
      <c r="D473" t="s">
        <v>81</v>
      </c>
      <c r="E473" t="s">
        <v>82</v>
      </c>
      <c r="F473" t="s">
        <v>84</v>
      </c>
      <c r="G473">
        <v>53261037.202871621</v>
      </c>
      <c r="H473">
        <v>58.852792265079628</v>
      </c>
      <c r="I473">
        <v>541583.79216897744</v>
      </c>
      <c r="J473">
        <v>906858.58339861431</v>
      </c>
      <c r="K473">
        <v>460072.61420618778</v>
      </c>
      <c r="L473">
        <v>655.27807561751194</v>
      </c>
      <c r="M473">
        <v>12534453.56555045</v>
      </c>
    </row>
    <row r="474" spans="1:13">
      <c r="A474">
        <v>2035</v>
      </c>
      <c r="B474" t="s">
        <v>73</v>
      </c>
      <c r="C474" t="s">
        <v>90</v>
      </c>
      <c r="D474" t="s">
        <v>85</v>
      </c>
      <c r="E474" t="s">
        <v>82</v>
      </c>
      <c r="F474" t="s">
        <v>86</v>
      </c>
      <c r="G474">
        <v>53005984.224627197</v>
      </c>
      <c r="H474">
        <v>51.739132699087321</v>
      </c>
      <c r="I474">
        <v>375594.31144105841</v>
      </c>
      <c r="J474">
        <v>650192.31064365641</v>
      </c>
      <c r="K474">
        <v>285454.56441505859</v>
      </c>
      <c r="L474">
        <v>343.45110521207158</v>
      </c>
      <c r="M474">
        <v>12213851.59502377</v>
      </c>
    </row>
    <row r="475" spans="1:13">
      <c r="A475">
        <v>2035</v>
      </c>
      <c r="B475" t="s">
        <v>73</v>
      </c>
      <c r="C475" t="s">
        <v>90</v>
      </c>
      <c r="D475" t="s">
        <v>85</v>
      </c>
      <c r="E475" t="s">
        <v>82</v>
      </c>
      <c r="F475" t="s">
        <v>87</v>
      </c>
      <c r="G475">
        <v>53005984.224627197</v>
      </c>
      <c r="H475">
        <v>51.739132699087321</v>
      </c>
      <c r="I475">
        <v>375594.31144105841</v>
      </c>
      <c r="J475">
        <v>650192.31064365641</v>
      </c>
      <c r="K475">
        <v>285454.56441505859</v>
      </c>
      <c r="L475">
        <v>343.45110521207158</v>
      </c>
      <c r="M475">
        <v>12213851.59502377</v>
      </c>
    </row>
    <row r="476" spans="1:13">
      <c r="A476">
        <v>2035</v>
      </c>
      <c r="B476" t="s">
        <v>73</v>
      </c>
      <c r="C476" t="s">
        <v>90</v>
      </c>
      <c r="D476" t="s">
        <v>85</v>
      </c>
      <c r="E476" t="s">
        <v>88</v>
      </c>
      <c r="F476" t="s">
        <v>89</v>
      </c>
      <c r="G476">
        <v>51655083.619564682</v>
      </c>
      <c r="H476">
        <v>45.882418341597663</v>
      </c>
      <c r="I476">
        <v>340224.26528031862</v>
      </c>
      <c r="J476">
        <v>586092.08410144947</v>
      </c>
      <c r="K476">
        <v>255418.94160838969</v>
      </c>
      <c r="L476">
        <v>308.16348589215397</v>
      </c>
      <c r="M476">
        <v>12290762.30360426</v>
      </c>
    </row>
    <row r="477" spans="1:13">
      <c r="A477">
        <v>2035</v>
      </c>
      <c r="B477" t="s">
        <v>73</v>
      </c>
      <c r="C477" t="s">
        <v>91</v>
      </c>
      <c r="D477" t="s">
        <v>81</v>
      </c>
      <c r="E477" t="s">
        <v>82</v>
      </c>
      <c r="F477" t="s">
        <v>83</v>
      </c>
      <c r="G477">
        <v>65609759.135842949</v>
      </c>
      <c r="H477">
        <v>76.189191957914517</v>
      </c>
      <c r="I477">
        <v>755433.80429462413</v>
      </c>
      <c r="J477">
        <v>1253445.8544854149</v>
      </c>
      <c r="K477">
        <v>659896.91220495594</v>
      </c>
      <c r="L477">
        <v>973.98975202964107</v>
      </c>
      <c r="M477">
        <v>15581391.311875461</v>
      </c>
    </row>
    <row r="478" spans="1:13">
      <c r="A478">
        <v>2035</v>
      </c>
      <c r="B478" t="s">
        <v>73</v>
      </c>
      <c r="C478" t="s">
        <v>91</v>
      </c>
      <c r="D478" t="s">
        <v>81</v>
      </c>
      <c r="E478" t="s">
        <v>82</v>
      </c>
      <c r="F478" t="s">
        <v>84</v>
      </c>
      <c r="G478">
        <v>65497656.226289317</v>
      </c>
      <c r="H478">
        <v>73.062539838771301</v>
      </c>
      <c r="I478">
        <v>682476.79013632378</v>
      </c>
      <c r="J478">
        <v>1140633.8569225359</v>
      </c>
      <c r="K478">
        <v>583147.40088026971</v>
      </c>
      <c r="L478">
        <v>836.93308678167796</v>
      </c>
      <c r="M478">
        <v>15440477.788920149</v>
      </c>
    </row>
    <row r="479" spans="1:13">
      <c r="A479">
        <v>2035</v>
      </c>
      <c r="B479" t="s">
        <v>73</v>
      </c>
      <c r="C479" t="s">
        <v>91</v>
      </c>
      <c r="D479" t="s">
        <v>85</v>
      </c>
      <c r="E479" t="s">
        <v>82</v>
      </c>
      <c r="F479" t="s">
        <v>86</v>
      </c>
      <c r="G479">
        <v>65242603.248044893</v>
      </c>
      <c r="H479">
        <v>65.948880272778993</v>
      </c>
      <c r="I479">
        <v>516487.30940840457</v>
      </c>
      <c r="J479">
        <v>883967.58416757779</v>
      </c>
      <c r="K479">
        <v>408529.3510891404</v>
      </c>
      <c r="L479">
        <v>525.10611637623765</v>
      </c>
      <c r="M479">
        <v>15119875.81839346</v>
      </c>
    </row>
    <row r="480" spans="1:13">
      <c r="A480">
        <v>2035</v>
      </c>
      <c r="B480" t="s">
        <v>73</v>
      </c>
      <c r="C480" t="s">
        <v>91</v>
      </c>
      <c r="D480" t="s">
        <v>85</v>
      </c>
      <c r="E480" t="s">
        <v>82</v>
      </c>
      <c r="F480" t="s">
        <v>87</v>
      </c>
      <c r="G480">
        <v>65242603.248044893</v>
      </c>
      <c r="H480">
        <v>65.948880272778993</v>
      </c>
      <c r="I480">
        <v>516487.30940840457</v>
      </c>
      <c r="J480">
        <v>883967.58416757779</v>
      </c>
      <c r="K480">
        <v>408529.3510891404</v>
      </c>
      <c r="L480">
        <v>525.10611637623765</v>
      </c>
      <c r="M480">
        <v>15119875.81839346</v>
      </c>
    </row>
    <row r="481" spans="1:13">
      <c r="A481">
        <v>2035</v>
      </c>
      <c r="B481" t="s">
        <v>73</v>
      </c>
      <c r="C481" t="s">
        <v>91</v>
      </c>
      <c r="D481" t="s">
        <v>85</v>
      </c>
      <c r="E481" t="s">
        <v>88</v>
      </c>
      <c r="F481" t="s">
        <v>89</v>
      </c>
      <c r="G481">
        <v>63891702.642982379</v>
      </c>
      <c r="H481">
        <v>60.092165915289343</v>
      </c>
      <c r="I481">
        <v>481117.2632476649</v>
      </c>
      <c r="J481">
        <v>819867.35762537085</v>
      </c>
      <c r="K481">
        <v>378493.72828247148</v>
      </c>
      <c r="L481">
        <v>489.81849705631998</v>
      </c>
      <c r="M481">
        <v>15196786.52697395</v>
      </c>
    </row>
    <row r="482" spans="1:13">
      <c r="A482">
        <v>2035</v>
      </c>
      <c r="B482" t="s">
        <v>74</v>
      </c>
      <c r="C482" t="s">
        <v>80</v>
      </c>
      <c r="D482" t="s">
        <v>81</v>
      </c>
      <c r="E482" t="s">
        <v>82</v>
      </c>
      <c r="F482" t="s">
        <v>83</v>
      </c>
      <c r="G482">
        <v>653734.21864167217</v>
      </c>
      <c r="H482">
        <v>6.2112692397153619</v>
      </c>
      <c r="I482">
        <v>370609.19997484208</v>
      </c>
      <c r="J482">
        <v>826709.84072928538</v>
      </c>
      <c r="K482">
        <v>303502.19854869961</v>
      </c>
      <c r="L482">
        <v>11207309.92779962</v>
      </c>
      <c r="M482">
        <v>4114434.152499327</v>
      </c>
    </row>
    <row r="483" spans="1:13">
      <c r="A483">
        <v>2035</v>
      </c>
      <c r="B483" t="s">
        <v>74</v>
      </c>
      <c r="C483" t="s">
        <v>80</v>
      </c>
      <c r="D483" t="s">
        <v>81</v>
      </c>
      <c r="E483" t="s">
        <v>82</v>
      </c>
      <c r="F483" t="s">
        <v>84</v>
      </c>
      <c r="G483">
        <v>617552.8044338373</v>
      </c>
      <c r="H483">
        <v>5.8815365601502183</v>
      </c>
      <c r="I483">
        <v>212379.34274048489</v>
      </c>
      <c r="J483">
        <v>456146.55460764043</v>
      </c>
      <c r="K483">
        <v>165488.3258246234</v>
      </c>
      <c r="L483">
        <v>6183760.6837679259</v>
      </c>
      <c r="M483">
        <v>2243446.0866138078</v>
      </c>
    </row>
    <row r="484" spans="1:13">
      <c r="A484">
        <v>2035</v>
      </c>
      <c r="B484" t="s">
        <v>74</v>
      </c>
      <c r="C484" t="s">
        <v>80</v>
      </c>
      <c r="D484" t="s">
        <v>85</v>
      </c>
      <c r="E484" t="s">
        <v>82</v>
      </c>
      <c r="F484" t="s">
        <v>86</v>
      </c>
      <c r="G484">
        <v>585020.43821572582</v>
      </c>
      <c r="H484">
        <v>5.585232522636054</v>
      </c>
      <c r="I484">
        <v>76085.575599671749</v>
      </c>
      <c r="J484">
        <v>137570.18088493319</v>
      </c>
      <c r="K484">
        <v>46634.644317375503</v>
      </c>
      <c r="L484">
        <v>1864973.1478227039</v>
      </c>
      <c r="M484">
        <v>632203.56948511675</v>
      </c>
    </row>
    <row r="485" spans="1:13">
      <c r="A485">
        <v>2035</v>
      </c>
      <c r="B485" t="s">
        <v>74</v>
      </c>
      <c r="C485" t="s">
        <v>80</v>
      </c>
      <c r="D485" t="s">
        <v>85</v>
      </c>
      <c r="E485" t="s">
        <v>82</v>
      </c>
      <c r="F485" t="s">
        <v>87</v>
      </c>
      <c r="G485">
        <v>585020.43821572582</v>
      </c>
      <c r="H485">
        <v>5.585232522636054</v>
      </c>
      <c r="I485">
        <v>76085.575599671749</v>
      </c>
      <c r="J485">
        <v>137570.18088493319</v>
      </c>
      <c r="K485">
        <v>46634.644317375503</v>
      </c>
      <c r="L485">
        <v>1864973.1478227039</v>
      </c>
      <c r="M485">
        <v>632203.56948511675</v>
      </c>
    </row>
    <row r="486" spans="1:13">
      <c r="A486">
        <v>2035</v>
      </c>
      <c r="B486" t="s">
        <v>74</v>
      </c>
      <c r="C486" t="s">
        <v>80</v>
      </c>
      <c r="D486" t="s">
        <v>85</v>
      </c>
      <c r="E486" t="s">
        <v>88</v>
      </c>
      <c r="F486" t="s">
        <v>89</v>
      </c>
      <c r="G486">
        <v>574151.92799195845</v>
      </c>
      <c r="H486">
        <v>5.4873411637403819</v>
      </c>
      <c r="I486">
        <v>68364.257186288363</v>
      </c>
      <c r="J486">
        <v>123577.0337668002</v>
      </c>
      <c r="K486">
        <v>40077.836153183962</v>
      </c>
      <c r="L486">
        <v>1675274.744716882</v>
      </c>
      <c r="M486">
        <v>543316.05706794618</v>
      </c>
    </row>
    <row r="487" spans="1:13">
      <c r="A487">
        <v>2035</v>
      </c>
      <c r="B487" t="s">
        <v>74</v>
      </c>
      <c r="C487" t="s">
        <v>90</v>
      </c>
      <c r="D487" t="s">
        <v>81</v>
      </c>
      <c r="E487" t="s">
        <v>82</v>
      </c>
      <c r="F487" t="s">
        <v>83</v>
      </c>
      <c r="G487">
        <v>262218.96259171382</v>
      </c>
      <c r="H487">
        <v>2.4913986907402839</v>
      </c>
      <c r="I487">
        <v>148654.84653116381</v>
      </c>
      <c r="J487">
        <v>331601.11650697608</v>
      </c>
      <c r="K487">
        <v>121737.5951546546</v>
      </c>
      <c r="L487">
        <v>4495357.7446467457</v>
      </c>
      <c r="M487">
        <v>1650338.355183535</v>
      </c>
    </row>
    <row r="488" spans="1:13">
      <c r="A488">
        <v>2035</v>
      </c>
      <c r="B488" t="s">
        <v>74</v>
      </c>
      <c r="C488" t="s">
        <v>90</v>
      </c>
      <c r="D488" t="s">
        <v>81</v>
      </c>
      <c r="E488" t="s">
        <v>82</v>
      </c>
      <c r="F488" t="s">
        <v>84</v>
      </c>
      <c r="G488">
        <v>230297.75501258529</v>
      </c>
      <c r="H488">
        <v>2.2010243097455149</v>
      </c>
      <c r="I488">
        <v>27421.548523173689</v>
      </c>
      <c r="J488">
        <v>49567.914100964452</v>
      </c>
      <c r="K488">
        <v>16075.598185520281</v>
      </c>
      <c r="L488">
        <v>671968.50507307483</v>
      </c>
      <c r="M488">
        <v>217929.1962715314</v>
      </c>
    </row>
    <row r="489" spans="1:13">
      <c r="A489">
        <v>2035</v>
      </c>
      <c r="B489" t="s">
        <v>74</v>
      </c>
      <c r="C489" t="s">
        <v>90</v>
      </c>
      <c r="D489" t="s">
        <v>85</v>
      </c>
      <c r="E489" t="s">
        <v>82</v>
      </c>
      <c r="F489" t="s">
        <v>86</v>
      </c>
      <c r="G489">
        <v>230297.75501258529</v>
      </c>
      <c r="H489">
        <v>2.2010243097455149</v>
      </c>
      <c r="I489">
        <v>27421.548523173689</v>
      </c>
      <c r="J489">
        <v>49567.914100964452</v>
      </c>
      <c r="K489">
        <v>16075.598185520281</v>
      </c>
      <c r="L489">
        <v>671968.50507307483</v>
      </c>
      <c r="M489">
        <v>217929.1962715314</v>
      </c>
    </row>
    <row r="490" spans="1:13">
      <c r="A490">
        <v>2035</v>
      </c>
      <c r="B490" t="s">
        <v>74</v>
      </c>
      <c r="C490" t="s">
        <v>90</v>
      </c>
      <c r="D490" t="s">
        <v>85</v>
      </c>
      <c r="E490" t="s">
        <v>82</v>
      </c>
      <c r="F490" t="s">
        <v>87</v>
      </c>
      <c r="G490">
        <v>230297.75501258529</v>
      </c>
      <c r="H490">
        <v>2.2010243097455149</v>
      </c>
      <c r="I490">
        <v>27421.548523173689</v>
      </c>
      <c r="J490">
        <v>49567.914100964452</v>
      </c>
      <c r="K490">
        <v>16075.598185520281</v>
      </c>
      <c r="L490">
        <v>671968.50507307483</v>
      </c>
      <c r="M490">
        <v>217929.1962715314</v>
      </c>
    </row>
    <row r="491" spans="1:13">
      <c r="A491">
        <v>2035</v>
      </c>
      <c r="B491" t="s">
        <v>74</v>
      </c>
      <c r="C491" t="s">
        <v>90</v>
      </c>
      <c r="D491" t="s">
        <v>85</v>
      </c>
      <c r="E491" t="s">
        <v>88</v>
      </c>
      <c r="F491" t="s">
        <v>89</v>
      </c>
      <c r="G491">
        <v>230297.75501258529</v>
      </c>
      <c r="H491">
        <v>2.2010243097455149</v>
      </c>
      <c r="I491">
        <v>27421.548523173689</v>
      </c>
      <c r="J491">
        <v>49567.914100964452</v>
      </c>
      <c r="K491">
        <v>16075.598185520281</v>
      </c>
      <c r="L491">
        <v>671968.50507307483</v>
      </c>
      <c r="M491">
        <v>217929.1962715314</v>
      </c>
    </row>
    <row r="492" spans="1:13">
      <c r="A492">
        <v>2035</v>
      </c>
      <c r="B492" t="s">
        <v>74</v>
      </c>
      <c r="C492" t="s">
        <v>91</v>
      </c>
      <c r="D492" t="s">
        <v>81</v>
      </c>
      <c r="E492" t="s">
        <v>82</v>
      </c>
      <c r="F492" t="s">
        <v>83</v>
      </c>
      <c r="G492">
        <v>629455.55778221518</v>
      </c>
      <c r="H492">
        <v>5.9805924675996822</v>
      </c>
      <c r="I492">
        <v>356845.35708425619</v>
      </c>
      <c r="J492">
        <v>796007.13727596705</v>
      </c>
      <c r="K492">
        <v>292230.60416287399</v>
      </c>
      <c r="L492">
        <v>10791088.06098463</v>
      </c>
      <c r="M492">
        <v>3961630.5381732238</v>
      </c>
    </row>
    <row r="493" spans="1:13">
      <c r="A493">
        <v>2035</v>
      </c>
      <c r="B493" t="s">
        <v>74</v>
      </c>
      <c r="C493" t="s">
        <v>91</v>
      </c>
      <c r="D493" t="s">
        <v>81</v>
      </c>
      <c r="E493" t="s">
        <v>82</v>
      </c>
      <c r="F493" t="s">
        <v>84</v>
      </c>
      <c r="G493">
        <v>593274.1435743802</v>
      </c>
      <c r="H493">
        <v>5.6508597880345386</v>
      </c>
      <c r="I493">
        <v>198615.49984989909</v>
      </c>
      <c r="J493">
        <v>425443.8511543221</v>
      </c>
      <c r="K493">
        <v>154216.73143879799</v>
      </c>
      <c r="L493">
        <v>5767538.8169529419</v>
      </c>
      <c r="M493">
        <v>2090642.472287704</v>
      </c>
    </row>
    <row r="494" spans="1:13">
      <c r="A494">
        <v>2035</v>
      </c>
      <c r="B494" t="s">
        <v>74</v>
      </c>
      <c r="C494" t="s">
        <v>91</v>
      </c>
      <c r="D494" t="s">
        <v>85</v>
      </c>
      <c r="E494" t="s">
        <v>82</v>
      </c>
      <c r="F494" t="s">
        <v>86</v>
      </c>
      <c r="G494">
        <v>561350.16861814645</v>
      </c>
      <c r="H494">
        <v>5.3603006253577936</v>
      </c>
      <c r="I494">
        <v>71879.134122551943</v>
      </c>
      <c r="J494">
        <v>129958.7558900782</v>
      </c>
      <c r="K494">
        <v>43730.204355021808</v>
      </c>
      <c r="L494">
        <v>1761788.6994141911</v>
      </c>
      <c r="M494">
        <v>592829.46599546971</v>
      </c>
    </row>
    <row r="495" spans="1:13">
      <c r="A495">
        <v>2035</v>
      </c>
      <c r="B495" t="s">
        <v>74</v>
      </c>
      <c r="C495" t="s">
        <v>91</v>
      </c>
      <c r="D495" t="s">
        <v>85</v>
      </c>
      <c r="E495" t="s">
        <v>82</v>
      </c>
      <c r="F495" t="s">
        <v>87</v>
      </c>
      <c r="G495">
        <v>561350.16861814645</v>
      </c>
      <c r="H495">
        <v>5.3603006253577936</v>
      </c>
      <c r="I495">
        <v>71879.134122551943</v>
      </c>
      <c r="J495">
        <v>129958.7558900782</v>
      </c>
      <c r="K495">
        <v>43730.204355021808</v>
      </c>
      <c r="L495">
        <v>1761788.6994141911</v>
      </c>
      <c r="M495">
        <v>592829.46599546971</v>
      </c>
    </row>
    <row r="496" spans="1:13">
      <c r="A496">
        <v>2035</v>
      </c>
      <c r="B496" t="s">
        <v>74</v>
      </c>
      <c r="C496" t="s">
        <v>91</v>
      </c>
      <c r="D496" t="s">
        <v>85</v>
      </c>
      <c r="E496" t="s">
        <v>88</v>
      </c>
      <c r="F496" t="s">
        <v>89</v>
      </c>
      <c r="G496">
        <v>552828.8282611781</v>
      </c>
      <c r="H496">
        <v>5.2835499419631189</v>
      </c>
      <c r="I496">
        <v>65825.31617967668</v>
      </c>
      <c r="J496">
        <v>118987.57706209261</v>
      </c>
      <c r="K496">
        <v>38589.408342313342</v>
      </c>
      <c r="L496">
        <v>1613057.675128716</v>
      </c>
      <c r="M496">
        <v>523138.15309275233</v>
      </c>
    </row>
    <row r="497" spans="1:13">
      <c r="A497">
        <v>2036</v>
      </c>
      <c r="B497" t="s">
        <v>72</v>
      </c>
      <c r="C497" t="s">
        <v>80</v>
      </c>
      <c r="D497" t="s">
        <v>81</v>
      </c>
      <c r="E497" t="s">
        <v>82</v>
      </c>
      <c r="F497" t="s">
        <v>83</v>
      </c>
      <c r="G497">
        <v>1553276.8132009979</v>
      </c>
      <c r="H497">
        <v>14.34818727460229</v>
      </c>
      <c r="I497">
        <v>192288.35158110791</v>
      </c>
      <c r="J497">
        <v>354978.80646605173</v>
      </c>
      <c r="K497">
        <v>154777.652715765</v>
      </c>
      <c r="L497">
        <v>201.47583179633631</v>
      </c>
      <c r="M497">
        <v>2821486.7272620169</v>
      </c>
    </row>
    <row r="498" spans="1:13">
      <c r="A498">
        <v>2036</v>
      </c>
      <c r="B498" t="s">
        <v>72</v>
      </c>
      <c r="C498" t="s">
        <v>80</v>
      </c>
      <c r="D498" t="s">
        <v>81</v>
      </c>
      <c r="E498" t="s">
        <v>82</v>
      </c>
      <c r="F498" t="s">
        <v>84</v>
      </c>
      <c r="G498">
        <v>1552565.3470313309</v>
      </c>
      <c r="H498">
        <v>14.34172643517828</v>
      </c>
      <c r="I498">
        <v>191273.42957538631</v>
      </c>
      <c r="J498">
        <v>353094.28071811033</v>
      </c>
      <c r="K498">
        <v>153889.98439842599</v>
      </c>
      <c r="L498">
        <v>200.14141416214849</v>
      </c>
      <c r="M498">
        <v>2817098.2734172521</v>
      </c>
    </row>
    <row r="499" spans="1:13">
      <c r="A499">
        <v>2036</v>
      </c>
      <c r="B499" t="s">
        <v>72</v>
      </c>
      <c r="C499" t="s">
        <v>80</v>
      </c>
      <c r="D499" t="s">
        <v>85</v>
      </c>
      <c r="E499" t="s">
        <v>82</v>
      </c>
      <c r="F499" t="s">
        <v>86</v>
      </c>
      <c r="G499">
        <v>1548812.2584564351</v>
      </c>
      <c r="H499">
        <v>14.30764455797833</v>
      </c>
      <c r="I499">
        <v>185919.56688101499</v>
      </c>
      <c r="J499">
        <v>343153.13051976432</v>
      </c>
      <c r="K499">
        <v>149207.40360661721</v>
      </c>
      <c r="L499">
        <v>193.10216508673901</v>
      </c>
      <c r="M499">
        <v>2793948.5346264848</v>
      </c>
    </row>
    <row r="500" spans="1:13">
      <c r="A500">
        <v>2036</v>
      </c>
      <c r="B500" t="s">
        <v>72</v>
      </c>
      <c r="C500" t="s">
        <v>80</v>
      </c>
      <c r="D500" t="s">
        <v>85</v>
      </c>
      <c r="E500" t="s">
        <v>82</v>
      </c>
      <c r="F500" t="s">
        <v>87</v>
      </c>
      <c r="G500">
        <v>1548812.2584564351</v>
      </c>
      <c r="H500">
        <v>14.30764455797833</v>
      </c>
      <c r="I500">
        <v>185919.56688101499</v>
      </c>
      <c r="J500">
        <v>343153.13051976432</v>
      </c>
      <c r="K500">
        <v>149207.40360661721</v>
      </c>
      <c r="L500">
        <v>193.10216508673901</v>
      </c>
      <c r="M500">
        <v>2793948.5346264848</v>
      </c>
    </row>
    <row r="501" spans="1:13">
      <c r="A501">
        <v>2036</v>
      </c>
      <c r="B501" t="s">
        <v>72</v>
      </c>
      <c r="C501" t="s">
        <v>80</v>
      </c>
      <c r="D501" t="s">
        <v>85</v>
      </c>
      <c r="E501" t="s">
        <v>88</v>
      </c>
      <c r="F501" t="s">
        <v>89</v>
      </c>
      <c r="G501">
        <v>1548667.048507368</v>
      </c>
      <c r="H501">
        <v>14.30633814502343</v>
      </c>
      <c r="I501">
        <v>185733.86624938101</v>
      </c>
      <c r="J501">
        <v>342798.21613792528</v>
      </c>
      <c r="K501">
        <v>149043.83910858011</v>
      </c>
      <c r="L501">
        <v>193.08190156365009</v>
      </c>
      <c r="M501">
        <v>2793895.832258523</v>
      </c>
    </row>
    <row r="502" spans="1:13">
      <c r="A502">
        <v>2036</v>
      </c>
      <c r="B502" t="s">
        <v>72</v>
      </c>
      <c r="C502" t="s">
        <v>90</v>
      </c>
      <c r="D502" t="s">
        <v>81</v>
      </c>
      <c r="E502" t="s">
        <v>82</v>
      </c>
      <c r="F502" t="s">
        <v>83</v>
      </c>
      <c r="G502">
        <v>589118.25178302394</v>
      </c>
      <c r="H502">
        <v>5.4419012320473774</v>
      </c>
      <c r="I502">
        <v>72930.064080627591</v>
      </c>
      <c r="J502">
        <v>134634.40135589251</v>
      </c>
      <c r="K502">
        <v>58703.213366767923</v>
      </c>
      <c r="L502">
        <v>76.414640839056332</v>
      </c>
      <c r="M502">
        <v>1070117.904334231</v>
      </c>
    </row>
    <row r="503" spans="1:13">
      <c r="A503">
        <v>2036</v>
      </c>
      <c r="B503" t="s">
        <v>72</v>
      </c>
      <c r="C503" t="s">
        <v>90</v>
      </c>
      <c r="D503" t="s">
        <v>81</v>
      </c>
      <c r="E503" t="s">
        <v>82</v>
      </c>
      <c r="F503" t="s">
        <v>84</v>
      </c>
      <c r="G503">
        <v>588406.78561335756</v>
      </c>
      <c r="H503">
        <v>5.4354403926233674</v>
      </c>
      <c r="I503">
        <v>71915.142074905933</v>
      </c>
      <c r="J503">
        <v>132749.87560795111</v>
      </c>
      <c r="K503">
        <v>57815.545049428962</v>
      </c>
      <c r="L503">
        <v>75.080223204868588</v>
      </c>
      <c r="M503">
        <v>1065729.450489467</v>
      </c>
    </row>
    <row r="504" spans="1:13">
      <c r="A504">
        <v>2036</v>
      </c>
      <c r="B504" t="s">
        <v>72</v>
      </c>
      <c r="C504" t="s">
        <v>90</v>
      </c>
      <c r="D504" t="s">
        <v>85</v>
      </c>
      <c r="E504" t="s">
        <v>82</v>
      </c>
      <c r="F504" t="s">
        <v>86</v>
      </c>
      <c r="G504">
        <v>584653.69703846145</v>
      </c>
      <c r="H504">
        <v>5.4013585154234134</v>
      </c>
      <c r="I504">
        <v>66561.279380534688</v>
      </c>
      <c r="J504">
        <v>122808.7254096051</v>
      </c>
      <c r="K504">
        <v>53132.964257620137</v>
      </c>
      <c r="L504">
        <v>68.040974129459073</v>
      </c>
      <c r="M504">
        <v>1042579.7116987</v>
      </c>
    </row>
    <row r="505" spans="1:13">
      <c r="A505">
        <v>2036</v>
      </c>
      <c r="B505" t="s">
        <v>72</v>
      </c>
      <c r="C505" t="s">
        <v>90</v>
      </c>
      <c r="D505" t="s">
        <v>85</v>
      </c>
      <c r="E505" t="s">
        <v>82</v>
      </c>
      <c r="F505" t="s">
        <v>87</v>
      </c>
      <c r="G505">
        <v>584653.69703846145</v>
      </c>
      <c r="H505">
        <v>5.4013585154234134</v>
      </c>
      <c r="I505">
        <v>66561.279380534688</v>
      </c>
      <c r="J505">
        <v>122808.7254096051</v>
      </c>
      <c r="K505">
        <v>53132.964257620137</v>
      </c>
      <c r="L505">
        <v>68.040974129459073</v>
      </c>
      <c r="M505">
        <v>1042579.7116987</v>
      </c>
    </row>
    <row r="506" spans="1:13">
      <c r="A506">
        <v>2036</v>
      </c>
      <c r="B506" t="s">
        <v>72</v>
      </c>
      <c r="C506" t="s">
        <v>90</v>
      </c>
      <c r="D506" t="s">
        <v>85</v>
      </c>
      <c r="E506" t="s">
        <v>88</v>
      </c>
      <c r="F506" t="s">
        <v>89</v>
      </c>
      <c r="G506">
        <v>584508.48708939413</v>
      </c>
      <c r="H506">
        <v>5.400052102468516</v>
      </c>
      <c r="I506">
        <v>66375.578748900589</v>
      </c>
      <c r="J506">
        <v>122453.8110277661</v>
      </c>
      <c r="K506">
        <v>52969.399759583059</v>
      </c>
      <c r="L506">
        <v>68.020710606370088</v>
      </c>
      <c r="M506">
        <v>1042527.009330738</v>
      </c>
    </row>
    <row r="507" spans="1:13">
      <c r="A507">
        <v>2036</v>
      </c>
      <c r="B507" t="s">
        <v>72</v>
      </c>
      <c r="C507" t="s">
        <v>91</v>
      </c>
      <c r="D507" t="s">
        <v>81</v>
      </c>
      <c r="E507" t="s">
        <v>82</v>
      </c>
      <c r="F507" t="s">
        <v>83</v>
      </c>
      <c r="G507">
        <v>1478219.0891616901</v>
      </c>
      <c r="H507">
        <v>13.654851565365741</v>
      </c>
      <c r="I507">
        <v>182996.5589616037</v>
      </c>
      <c r="J507">
        <v>337825.45616230008</v>
      </c>
      <c r="K507">
        <v>147298.4588938661</v>
      </c>
      <c r="L507">
        <v>191.7400800906276</v>
      </c>
      <c r="M507">
        <v>2685146.3336144891</v>
      </c>
    </row>
    <row r="508" spans="1:13">
      <c r="A508">
        <v>2036</v>
      </c>
      <c r="B508" t="s">
        <v>72</v>
      </c>
      <c r="C508" t="s">
        <v>91</v>
      </c>
      <c r="D508" t="s">
        <v>81</v>
      </c>
      <c r="E508" t="s">
        <v>82</v>
      </c>
      <c r="F508" t="s">
        <v>84</v>
      </c>
      <c r="G508">
        <v>1477507.6229920241</v>
      </c>
      <c r="H508">
        <v>13.648390725941731</v>
      </c>
      <c r="I508">
        <v>181981.63695588199</v>
      </c>
      <c r="J508">
        <v>335940.93041435868</v>
      </c>
      <c r="K508">
        <v>146410.79057652719</v>
      </c>
      <c r="L508">
        <v>190.4056624564399</v>
      </c>
      <c r="M508">
        <v>2680757.8797697239</v>
      </c>
    </row>
    <row r="509" spans="1:13">
      <c r="A509">
        <v>2036</v>
      </c>
      <c r="B509" t="s">
        <v>72</v>
      </c>
      <c r="C509" t="s">
        <v>91</v>
      </c>
      <c r="D509" t="s">
        <v>85</v>
      </c>
      <c r="E509" t="s">
        <v>82</v>
      </c>
      <c r="F509" t="s">
        <v>86</v>
      </c>
      <c r="G509">
        <v>1473754.534417127</v>
      </c>
      <c r="H509">
        <v>13.61430884874178</v>
      </c>
      <c r="I509">
        <v>176627.77426151081</v>
      </c>
      <c r="J509">
        <v>325999.78021601267</v>
      </c>
      <c r="K509">
        <v>141728.20978471829</v>
      </c>
      <c r="L509">
        <v>183.36641338103041</v>
      </c>
      <c r="M509">
        <v>2657608.140978958</v>
      </c>
    </row>
    <row r="510" spans="1:13">
      <c r="A510">
        <v>2036</v>
      </c>
      <c r="B510" t="s">
        <v>72</v>
      </c>
      <c r="C510" t="s">
        <v>91</v>
      </c>
      <c r="D510" t="s">
        <v>85</v>
      </c>
      <c r="E510" t="s">
        <v>82</v>
      </c>
      <c r="F510" t="s">
        <v>87</v>
      </c>
      <c r="G510">
        <v>1473754.534417127</v>
      </c>
      <c r="H510">
        <v>13.61430884874178</v>
      </c>
      <c r="I510">
        <v>176627.77426151081</v>
      </c>
      <c r="J510">
        <v>325999.78021601267</v>
      </c>
      <c r="K510">
        <v>141728.20978471829</v>
      </c>
      <c r="L510">
        <v>183.36641338103041</v>
      </c>
      <c r="M510">
        <v>2657608.140978958</v>
      </c>
    </row>
    <row r="511" spans="1:13">
      <c r="A511">
        <v>2036</v>
      </c>
      <c r="B511" t="s">
        <v>72</v>
      </c>
      <c r="C511" t="s">
        <v>91</v>
      </c>
      <c r="D511" t="s">
        <v>85</v>
      </c>
      <c r="E511" t="s">
        <v>88</v>
      </c>
      <c r="F511" t="s">
        <v>89</v>
      </c>
      <c r="G511">
        <v>1473609.3244680599</v>
      </c>
      <c r="H511">
        <v>13.61300243578688</v>
      </c>
      <c r="I511">
        <v>176442.07362987669</v>
      </c>
      <c r="J511">
        <v>325644.8658341738</v>
      </c>
      <c r="K511">
        <v>141564.64528668131</v>
      </c>
      <c r="L511">
        <v>183.34614985794141</v>
      </c>
      <c r="M511">
        <v>2657555.4386109961</v>
      </c>
    </row>
    <row r="512" spans="1:13">
      <c r="A512">
        <v>2036</v>
      </c>
      <c r="B512" t="s">
        <v>73</v>
      </c>
      <c r="C512" t="s">
        <v>80</v>
      </c>
      <c r="D512" t="s">
        <v>81</v>
      </c>
      <c r="E512" t="s">
        <v>82</v>
      </c>
      <c r="F512" t="s">
        <v>83</v>
      </c>
      <c r="G512">
        <v>70803097.658394679</v>
      </c>
      <c r="H512">
        <v>82.219945169153888</v>
      </c>
      <c r="I512">
        <v>815230.14448478038</v>
      </c>
      <c r="J512">
        <v>1352662.3236169971</v>
      </c>
      <c r="K512">
        <v>712131.03255847387</v>
      </c>
      <c r="L512">
        <v>1051.08588172756</v>
      </c>
      <c r="M512">
        <v>16814735.875256259</v>
      </c>
    </row>
    <row r="513" spans="1:13">
      <c r="A513">
        <v>2036</v>
      </c>
      <c r="B513" t="s">
        <v>73</v>
      </c>
      <c r="C513" t="s">
        <v>80</v>
      </c>
      <c r="D513" t="s">
        <v>81</v>
      </c>
      <c r="E513" t="s">
        <v>82</v>
      </c>
      <c r="F513" t="s">
        <v>84</v>
      </c>
      <c r="G513">
        <v>70694346.592443362</v>
      </c>
      <c r="H513">
        <v>79.186779017001683</v>
      </c>
      <c r="I513">
        <v>744454.52331727871</v>
      </c>
      <c r="J513">
        <v>1243223.371176657</v>
      </c>
      <c r="K513">
        <v>637676.30876014708</v>
      </c>
      <c r="L513">
        <v>918.12716994388495</v>
      </c>
      <c r="M513">
        <v>16678035.6246618</v>
      </c>
    </row>
    <row r="514" spans="1:13">
      <c r="A514">
        <v>2036</v>
      </c>
      <c r="B514" t="s">
        <v>73</v>
      </c>
      <c r="C514" t="s">
        <v>80</v>
      </c>
      <c r="D514" t="s">
        <v>85</v>
      </c>
      <c r="E514" t="s">
        <v>82</v>
      </c>
      <c r="F514" t="s">
        <v>86</v>
      </c>
      <c r="G514">
        <v>70417159.538628191</v>
      </c>
      <c r="H514">
        <v>71.455779949616414</v>
      </c>
      <c r="I514">
        <v>564060.0992098751</v>
      </c>
      <c r="J514">
        <v>964283.01749654138</v>
      </c>
      <c r="K514">
        <v>447904.508808185</v>
      </c>
      <c r="L514">
        <v>579.23914824056521</v>
      </c>
      <c r="M514">
        <v>16329611.08843676</v>
      </c>
    </row>
    <row r="515" spans="1:13">
      <c r="A515">
        <v>2036</v>
      </c>
      <c r="B515" t="s">
        <v>73</v>
      </c>
      <c r="C515" t="s">
        <v>80</v>
      </c>
      <c r="D515" t="s">
        <v>85</v>
      </c>
      <c r="E515" t="s">
        <v>82</v>
      </c>
      <c r="F515" t="s">
        <v>87</v>
      </c>
      <c r="G515">
        <v>70417159.538628191</v>
      </c>
      <c r="H515">
        <v>71.455779949616414</v>
      </c>
      <c r="I515">
        <v>564060.0992098751</v>
      </c>
      <c r="J515">
        <v>964283.01749654138</v>
      </c>
      <c r="K515">
        <v>447904.508808185</v>
      </c>
      <c r="L515">
        <v>579.23914824056521</v>
      </c>
      <c r="M515">
        <v>16329611.08843676</v>
      </c>
    </row>
    <row r="516" spans="1:13">
      <c r="A516">
        <v>2036</v>
      </c>
      <c r="B516" t="s">
        <v>73</v>
      </c>
      <c r="C516" t="s">
        <v>80</v>
      </c>
      <c r="D516" t="s">
        <v>85</v>
      </c>
      <c r="E516" t="s">
        <v>88</v>
      </c>
      <c r="F516" t="s">
        <v>89</v>
      </c>
      <c r="G516">
        <v>68997152.242446586</v>
      </c>
      <c r="H516">
        <v>65.299459426759057</v>
      </c>
      <c r="I516">
        <v>526880.66245019878</v>
      </c>
      <c r="J516">
        <v>896903.67882742081</v>
      </c>
      <c r="K516">
        <v>416332.38324173418</v>
      </c>
      <c r="L516">
        <v>542.14635495038624</v>
      </c>
      <c r="M516">
        <v>16410456.242350761</v>
      </c>
    </row>
    <row r="517" spans="1:13">
      <c r="A517">
        <v>2036</v>
      </c>
      <c r="B517" t="s">
        <v>73</v>
      </c>
      <c r="C517" t="s">
        <v>90</v>
      </c>
      <c r="D517" t="s">
        <v>81</v>
      </c>
      <c r="E517" t="s">
        <v>82</v>
      </c>
      <c r="F517" t="s">
        <v>83</v>
      </c>
      <c r="G517">
        <v>54605531.949835628</v>
      </c>
      <c r="H517">
        <v>63.410556759950659</v>
      </c>
      <c r="I517">
        <v>628730.6230005715</v>
      </c>
      <c r="J517">
        <v>1043214.889918723</v>
      </c>
      <c r="K517">
        <v>549217.40908083948</v>
      </c>
      <c r="L517">
        <v>810.62983958146674</v>
      </c>
      <c r="M517">
        <v>12968042.74714512</v>
      </c>
    </row>
    <row r="518" spans="1:13">
      <c r="A518">
        <v>2036</v>
      </c>
      <c r="B518" t="s">
        <v>73</v>
      </c>
      <c r="C518" t="s">
        <v>90</v>
      </c>
      <c r="D518" t="s">
        <v>81</v>
      </c>
      <c r="E518" t="s">
        <v>82</v>
      </c>
      <c r="F518" t="s">
        <v>84</v>
      </c>
      <c r="G518">
        <v>54496780.883884281</v>
      </c>
      <c r="H518">
        <v>60.377390607798432</v>
      </c>
      <c r="I518">
        <v>557955.0018330696</v>
      </c>
      <c r="J518">
        <v>933775.93747838261</v>
      </c>
      <c r="K518">
        <v>474762.68528251239</v>
      </c>
      <c r="L518">
        <v>677.67112779779188</v>
      </c>
      <c r="M518">
        <v>12831342.496550661</v>
      </c>
    </row>
    <row r="519" spans="1:13">
      <c r="A519">
        <v>2036</v>
      </c>
      <c r="B519" t="s">
        <v>73</v>
      </c>
      <c r="C519" t="s">
        <v>90</v>
      </c>
      <c r="D519" t="s">
        <v>85</v>
      </c>
      <c r="E519" t="s">
        <v>82</v>
      </c>
      <c r="F519" t="s">
        <v>86</v>
      </c>
      <c r="G519">
        <v>54219593.830069117</v>
      </c>
      <c r="H519">
        <v>52.646391540413198</v>
      </c>
      <c r="I519">
        <v>377560.57772566611</v>
      </c>
      <c r="J519">
        <v>654835.58379826765</v>
      </c>
      <c r="K519">
        <v>284990.88533055061</v>
      </c>
      <c r="L519">
        <v>338.78310609447237</v>
      </c>
      <c r="M519">
        <v>12482917.960325619</v>
      </c>
    </row>
    <row r="520" spans="1:13">
      <c r="A520">
        <v>2036</v>
      </c>
      <c r="B520" t="s">
        <v>73</v>
      </c>
      <c r="C520" t="s">
        <v>90</v>
      </c>
      <c r="D520" t="s">
        <v>85</v>
      </c>
      <c r="E520" t="s">
        <v>82</v>
      </c>
      <c r="F520" t="s">
        <v>87</v>
      </c>
      <c r="G520">
        <v>54219593.830069117</v>
      </c>
      <c r="H520">
        <v>52.646391540413198</v>
      </c>
      <c r="I520">
        <v>377560.57772566611</v>
      </c>
      <c r="J520">
        <v>654835.58379826765</v>
      </c>
      <c r="K520">
        <v>284990.88533055061</v>
      </c>
      <c r="L520">
        <v>338.78310609447237</v>
      </c>
      <c r="M520">
        <v>12482917.960325619</v>
      </c>
    </row>
    <row r="521" spans="1:13">
      <c r="A521">
        <v>2036</v>
      </c>
      <c r="B521" t="s">
        <v>73</v>
      </c>
      <c r="C521" t="s">
        <v>90</v>
      </c>
      <c r="D521" t="s">
        <v>85</v>
      </c>
      <c r="E521" t="s">
        <v>88</v>
      </c>
      <c r="F521" t="s">
        <v>89</v>
      </c>
      <c r="G521">
        <v>52799586.533887528</v>
      </c>
      <c r="H521">
        <v>46.490071017555827</v>
      </c>
      <c r="I521">
        <v>340381.14096598979</v>
      </c>
      <c r="J521">
        <v>587456.2451291472</v>
      </c>
      <c r="K521">
        <v>253418.75976409981</v>
      </c>
      <c r="L521">
        <v>301.6903128042934</v>
      </c>
      <c r="M521">
        <v>12563763.11423962</v>
      </c>
    </row>
    <row r="522" spans="1:13">
      <c r="A522">
        <v>2036</v>
      </c>
      <c r="B522" t="s">
        <v>73</v>
      </c>
      <c r="C522" t="s">
        <v>91</v>
      </c>
      <c r="D522" t="s">
        <v>81</v>
      </c>
      <c r="E522" t="s">
        <v>82</v>
      </c>
      <c r="F522" t="s">
        <v>83</v>
      </c>
      <c r="G522">
        <v>67535534.495638326</v>
      </c>
      <c r="H522">
        <v>78.425494460587714</v>
      </c>
      <c r="I522">
        <v>777607.27094697009</v>
      </c>
      <c r="J522">
        <v>1290236.953449944</v>
      </c>
      <c r="K522">
        <v>679266.18333576713</v>
      </c>
      <c r="L522">
        <v>1002.5782652303729</v>
      </c>
      <c r="M522">
        <v>16038735.76573349</v>
      </c>
    </row>
    <row r="523" spans="1:13">
      <c r="A523">
        <v>2036</v>
      </c>
      <c r="B523" t="s">
        <v>73</v>
      </c>
      <c r="C523" t="s">
        <v>91</v>
      </c>
      <c r="D523" t="s">
        <v>81</v>
      </c>
      <c r="E523" t="s">
        <v>82</v>
      </c>
      <c r="F523" t="s">
        <v>84</v>
      </c>
      <c r="G523">
        <v>67426783.429686993</v>
      </c>
      <c r="H523">
        <v>75.392328308435523</v>
      </c>
      <c r="I523">
        <v>706831.64977946843</v>
      </c>
      <c r="J523">
        <v>1180798.001009603</v>
      </c>
      <c r="K523">
        <v>604811.45953744021</v>
      </c>
      <c r="L523">
        <v>869.61955344669832</v>
      </c>
      <c r="M523">
        <v>15902035.51513904</v>
      </c>
    </row>
    <row r="524" spans="1:13">
      <c r="A524">
        <v>2036</v>
      </c>
      <c r="B524" t="s">
        <v>73</v>
      </c>
      <c r="C524" t="s">
        <v>91</v>
      </c>
      <c r="D524" t="s">
        <v>85</v>
      </c>
      <c r="E524" t="s">
        <v>82</v>
      </c>
      <c r="F524" t="s">
        <v>86</v>
      </c>
      <c r="G524">
        <v>67149596.375871822</v>
      </c>
      <c r="H524">
        <v>67.661329241050254</v>
      </c>
      <c r="I524">
        <v>526437.2256720647</v>
      </c>
      <c r="J524">
        <v>901857.64732948784</v>
      </c>
      <c r="K524">
        <v>415039.65958547819</v>
      </c>
      <c r="L524">
        <v>530.73153174337858</v>
      </c>
      <c r="M524">
        <v>15553610.978914</v>
      </c>
    </row>
    <row r="525" spans="1:13">
      <c r="A525">
        <v>2036</v>
      </c>
      <c r="B525" t="s">
        <v>73</v>
      </c>
      <c r="C525" t="s">
        <v>91</v>
      </c>
      <c r="D525" t="s">
        <v>85</v>
      </c>
      <c r="E525" t="s">
        <v>82</v>
      </c>
      <c r="F525" t="s">
        <v>87</v>
      </c>
      <c r="G525">
        <v>67149596.375871822</v>
      </c>
      <c r="H525">
        <v>67.661329241050254</v>
      </c>
      <c r="I525">
        <v>526437.2256720647</v>
      </c>
      <c r="J525">
        <v>901857.64732948784</v>
      </c>
      <c r="K525">
        <v>415039.65958547819</v>
      </c>
      <c r="L525">
        <v>530.73153174337858</v>
      </c>
      <c r="M525">
        <v>15553610.978914</v>
      </c>
    </row>
    <row r="526" spans="1:13">
      <c r="A526">
        <v>2036</v>
      </c>
      <c r="B526" t="s">
        <v>73</v>
      </c>
      <c r="C526" t="s">
        <v>91</v>
      </c>
      <c r="D526" t="s">
        <v>85</v>
      </c>
      <c r="E526" t="s">
        <v>88</v>
      </c>
      <c r="F526" t="s">
        <v>89</v>
      </c>
      <c r="G526">
        <v>65729589.079690218</v>
      </c>
      <c r="H526">
        <v>61.505008718192883</v>
      </c>
      <c r="I526">
        <v>489257.78891238838</v>
      </c>
      <c r="J526">
        <v>834478.30866036727</v>
      </c>
      <c r="K526">
        <v>383467.53401902749</v>
      </c>
      <c r="L526">
        <v>493.63873845319961</v>
      </c>
      <c r="M526">
        <v>15634456.132827999</v>
      </c>
    </row>
    <row r="527" spans="1:13">
      <c r="A527">
        <v>2036</v>
      </c>
      <c r="B527" t="s">
        <v>74</v>
      </c>
      <c r="C527" t="s">
        <v>80</v>
      </c>
      <c r="D527" t="s">
        <v>81</v>
      </c>
      <c r="E527" t="s">
        <v>82</v>
      </c>
      <c r="F527" t="s">
        <v>83</v>
      </c>
      <c r="G527">
        <v>708787.22623038827</v>
      </c>
      <c r="H527">
        <v>6.7343396907315407</v>
      </c>
      <c r="I527">
        <v>401819.36232653388</v>
      </c>
      <c r="J527">
        <v>896329.66762147739</v>
      </c>
      <c r="K527">
        <v>329061.0699729473</v>
      </c>
      <c r="L527">
        <v>12151112.62453812</v>
      </c>
      <c r="M527">
        <v>4460923.5485897819</v>
      </c>
    </row>
    <row r="528" spans="1:13">
      <c r="A528">
        <v>2036</v>
      </c>
      <c r="B528" t="s">
        <v>74</v>
      </c>
      <c r="C528" t="s">
        <v>80</v>
      </c>
      <c r="D528" t="s">
        <v>81</v>
      </c>
      <c r="E528" t="s">
        <v>82</v>
      </c>
      <c r="F528" t="s">
        <v>84</v>
      </c>
      <c r="G528">
        <v>673010.55326623435</v>
      </c>
      <c r="H528">
        <v>6.4082955462259417</v>
      </c>
      <c r="I528">
        <v>245359.53400361209</v>
      </c>
      <c r="J528">
        <v>529911.66571746464</v>
      </c>
      <c r="K528">
        <v>192591.08124883549</v>
      </c>
      <c r="L528">
        <v>7183759.0161176315</v>
      </c>
      <c r="M528">
        <v>2610865.1797124739</v>
      </c>
    </row>
    <row r="529" spans="1:13">
      <c r="A529">
        <v>2036</v>
      </c>
      <c r="B529" t="s">
        <v>74</v>
      </c>
      <c r="C529" t="s">
        <v>80</v>
      </c>
      <c r="D529" t="s">
        <v>85</v>
      </c>
      <c r="E529" t="s">
        <v>82</v>
      </c>
      <c r="F529" t="s">
        <v>86</v>
      </c>
      <c r="G529">
        <v>636393.3783348354</v>
      </c>
      <c r="H529">
        <v>6.0745916412630123</v>
      </c>
      <c r="I529">
        <v>85223.992356759933</v>
      </c>
      <c r="J529">
        <v>154885.39965923919</v>
      </c>
      <c r="K529">
        <v>52915.000831752383</v>
      </c>
      <c r="L529">
        <v>2099707.2875543819</v>
      </c>
      <c r="M529">
        <v>717343.35910175624</v>
      </c>
    </row>
    <row r="530" spans="1:13">
      <c r="A530">
        <v>2036</v>
      </c>
      <c r="B530" t="s">
        <v>74</v>
      </c>
      <c r="C530" t="s">
        <v>80</v>
      </c>
      <c r="D530" t="s">
        <v>85</v>
      </c>
      <c r="E530" t="s">
        <v>82</v>
      </c>
      <c r="F530" t="s">
        <v>87</v>
      </c>
      <c r="G530">
        <v>636393.3783348354</v>
      </c>
      <c r="H530">
        <v>6.0745916412630123</v>
      </c>
      <c r="I530">
        <v>85223.992356759933</v>
      </c>
      <c r="J530">
        <v>154885.39965923919</v>
      </c>
      <c r="K530">
        <v>52915.000831752383</v>
      </c>
      <c r="L530">
        <v>2099707.2875543819</v>
      </c>
      <c r="M530">
        <v>717343.35910175624</v>
      </c>
    </row>
    <row r="531" spans="1:13">
      <c r="A531">
        <v>2036</v>
      </c>
      <c r="B531" t="s">
        <v>74</v>
      </c>
      <c r="C531" t="s">
        <v>80</v>
      </c>
      <c r="D531" t="s">
        <v>85</v>
      </c>
      <c r="E531" t="s">
        <v>88</v>
      </c>
      <c r="F531" t="s">
        <v>89</v>
      </c>
      <c r="G531">
        <v>622503.06144569442</v>
      </c>
      <c r="H531">
        <v>5.9494473624291473</v>
      </c>
      <c r="I531">
        <v>74121.425561983619</v>
      </c>
      <c r="J531">
        <v>133983.84311493329</v>
      </c>
      <c r="K531">
        <v>43452.916353919092</v>
      </c>
      <c r="L531">
        <v>1816354.8818798361</v>
      </c>
      <c r="M531">
        <v>589070.40518052061</v>
      </c>
    </row>
    <row r="532" spans="1:13">
      <c r="A532">
        <v>2036</v>
      </c>
      <c r="B532" t="s">
        <v>74</v>
      </c>
      <c r="C532" t="s">
        <v>90</v>
      </c>
      <c r="D532" t="s">
        <v>81</v>
      </c>
      <c r="E532" t="s">
        <v>82</v>
      </c>
      <c r="F532" t="s">
        <v>83</v>
      </c>
      <c r="G532">
        <v>280107.76549841219</v>
      </c>
      <c r="H532">
        <v>2.661364049843828</v>
      </c>
      <c r="I532">
        <v>158796.20787451591</v>
      </c>
      <c r="J532">
        <v>354223.22956167051</v>
      </c>
      <c r="K532">
        <v>130042.6384838355</v>
      </c>
      <c r="L532">
        <v>4802034.9120577769</v>
      </c>
      <c r="M532">
        <v>1762925.855619997</v>
      </c>
    </row>
    <row r="533" spans="1:13">
      <c r="A533">
        <v>2036</v>
      </c>
      <c r="B533" t="s">
        <v>74</v>
      </c>
      <c r="C533" t="s">
        <v>90</v>
      </c>
      <c r="D533" t="s">
        <v>81</v>
      </c>
      <c r="E533" t="s">
        <v>82</v>
      </c>
      <c r="F533" t="s">
        <v>84</v>
      </c>
      <c r="G533">
        <v>246048.81850894331</v>
      </c>
      <c r="H533">
        <v>2.3515399291089429</v>
      </c>
      <c r="I533">
        <v>29320.653795999031</v>
      </c>
      <c r="J533">
        <v>53000.918789681033</v>
      </c>
      <c r="K533">
        <v>17196.392222829822</v>
      </c>
      <c r="L533">
        <v>718508.10776619765</v>
      </c>
      <c r="M533">
        <v>233123.26500340609</v>
      </c>
    </row>
    <row r="534" spans="1:13">
      <c r="A534">
        <v>2036</v>
      </c>
      <c r="B534" t="s">
        <v>74</v>
      </c>
      <c r="C534" t="s">
        <v>90</v>
      </c>
      <c r="D534" t="s">
        <v>85</v>
      </c>
      <c r="E534" t="s">
        <v>82</v>
      </c>
      <c r="F534" t="s">
        <v>86</v>
      </c>
      <c r="G534">
        <v>246008.86571394929</v>
      </c>
      <c r="H534">
        <v>2.3511800791098989</v>
      </c>
      <c r="I534">
        <v>29292.270121944221</v>
      </c>
      <c r="J534">
        <v>52949.479785933458</v>
      </c>
      <c r="K534">
        <v>17172.289304674061</v>
      </c>
      <c r="L534">
        <v>717810.77379365452</v>
      </c>
      <c r="M534">
        <v>232796.51326945101</v>
      </c>
    </row>
    <row r="535" spans="1:13">
      <c r="A535">
        <v>2036</v>
      </c>
      <c r="B535" t="s">
        <v>74</v>
      </c>
      <c r="C535" t="s">
        <v>90</v>
      </c>
      <c r="D535" t="s">
        <v>85</v>
      </c>
      <c r="E535" t="s">
        <v>82</v>
      </c>
      <c r="F535" t="s">
        <v>87</v>
      </c>
      <c r="G535">
        <v>246008.86571394929</v>
      </c>
      <c r="H535">
        <v>2.3511800791098989</v>
      </c>
      <c r="I535">
        <v>29292.270121944221</v>
      </c>
      <c r="J535">
        <v>52949.479785933458</v>
      </c>
      <c r="K535">
        <v>17172.289304674061</v>
      </c>
      <c r="L535">
        <v>717810.77379365452</v>
      </c>
      <c r="M535">
        <v>232796.51326945101</v>
      </c>
    </row>
    <row r="536" spans="1:13">
      <c r="A536">
        <v>2036</v>
      </c>
      <c r="B536" t="s">
        <v>74</v>
      </c>
      <c r="C536" t="s">
        <v>90</v>
      </c>
      <c r="D536" t="s">
        <v>85</v>
      </c>
      <c r="E536" t="s">
        <v>88</v>
      </c>
      <c r="F536" t="s">
        <v>89</v>
      </c>
      <c r="G536">
        <v>246008.86571394929</v>
      </c>
      <c r="H536">
        <v>2.3511800791098989</v>
      </c>
      <c r="I536">
        <v>29292.270121944221</v>
      </c>
      <c r="J536">
        <v>52949.479785933458</v>
      </c>
      <c r="K536">
        <v>17172.289304674061</v>
      </c>
      <c r="L536">
        <v>717810.77379365452</v>
      </c>
      <c r="M536">
        <v>232796.51326945101</v>
      </c>
    </row>
    <row r="537" spans="1:13">
      <c r="A537">
        <v>2036</v>
      </c>
      <c r="B537" t="s">
        <v>74</v>
      </c>
      <c r="C537" t="s">
        <v>91</v>
      </c>
      <c r="D537" t="s">
        <v>81</v>
      </c>
      <c r="E537" t="s">
        <v>82</v>
      </c>
      <c r="F537" t="s">
        <v>83</v>
      </c>
      <c r="G537">
        <v>681900.03668517258</v>
      </c>
      <c r="H537">
        <v>6.4788787272354051</v>
      </c>
      <c r="I537">
        <v>386576.71550956159</v>
      </c>
      <c r="J537">
        <v>862328.22857677122</v>
      </c>
      <c r="K537">
        <v>316578.44185425388</v>
      </c>
      <c r="L537">
        <v>11690171.37696684</v>
      </c>
      <c r="M537">
        <v>4291702.5291372342</v>
      </c>
    </row>
    <row r="538" spans="1:13">
      <c r="A538">
        <v>2036</v>
      </c>
      <c r="B538" t="s">
        <v>74</v>
      </c>
      <c r="C538" t="s">
        <v>91</v>
      </c>
      <c r="D538" t="s">
        <v>81</v>
      </c>
      <c r="E538" t="s">
        <v>82</v>
      </c>
      <c r="F538" t="s">
        <v>84</v>
      </c>
      <c r="G538">
        <v>646123.36372101842</v>
      </c>
      <c r="H538">
        <v>6.1528345827298043</v>
      </c>
      <c r="I538">
        <v>230116.88718663971</v>
      </c>
      <c r="J538">
        <v>495910.22667275829</v>
      </c>
      <c r="K538">
        <v>180108.45313014201</v>
      </c>
      <c r="L538">
        <v>6722817.7685463503</v>
      </c>
      <c r="M538">
        <v>2441644.1602599262</v>
      </c>
    </row>
    <row r="539" spans="1:13">
      <c r="A539">
        <v>2036</v>
      </c>
      <c r="B539" t="s">
        <v>74</v>
      </c>
      <c r="C539" t="s">
        <v>91</v>
      </c>
      <c r="D539" t="s">
        <v>85</v>
      </c>
      <c r="E539" t="s">
        <v>82</v>
      </c>
      <c r="F539" t="s">
        <v>86</v>
      </c>
      <c r="G539">
        <v>610097.64244644507</v>
      </c>
      <c r="H539">
        <v>5.8247156153613284</v>
      </c>
      <c r="I539">
        <v>79272.669018532266</v>
      </c>
      <c r="J539">
        <v>143332.37817216109</v>
      </c>
      <c r="K539">
        <v>48566.585662988</v>
      </c>
      <c r="L539">
        <v>1943088.5006121669</v>
      </c>
      <c r="M539">
        <v>658393.97433563741</v>
      </c>
    </row>
    <row r="540" spans="1:13">
      <c r="A540">
        <v>2036</v>
      </c>
      <c r="B540" t="s">
        <v>74</v>
      </c>
      <c r="C540" t="s">
        <v>91</v>
      </c>
      <c r="D540" t="s">
        <v>85</v>
      </c>
      <c r="E540" t="s">
        <v>82</v>
      </c>
      <c r="F540" t="s">
        <v>87</v>
      </c>
      <c r="G540">
        <v>610097.64244644507</v>
      </c>
      <c r="H540">
        <v>5.8247156153613284</v>
      </c>
      <c r="I540">
        <v>79272.669018532266</v>
      </c>
      <c r="J540">
        <v>143332.37817216109</v>
      </c>
      <c r="K540">
        <v>48566.585662988</v>
      </c>
      <c r="L540">
        <v>1943088.5006121669</v>
      </c>
      <c r="M540">
        <v>658393.97433563741</v>
      </c>
    </row>
    <row r="541" spans="1:13">
      <c r="A541">
        <v>2036</v>
      </c>
      <c r="B541" t="s">
        <v>74</v>
      </c>
      <c r="C541" t="s">
        <v>91</v>
      </c>
      <c r="D541" t="s">
        <v>85</v>
      </c>
      <c r="E541" t="s">
        <v>88</v>
      </c>
      <c r="F541" t="s">
        <v>89</v>
      </c>
      <c r="G541">
        <v>598888.98209132545</v>
      </c>
      <c r="H541">
        <v>5.7237605653156214</v>
      </c>
      <c r="I541">
        <v>71309.697662983832</v>
      </c>
      <c r="J541">
        <v>128901.28963130619</v>
      </c>
      <c r="K541">
        <v>41804.570058919038</v>
      </c>
      <c r="L541">
        <v>1747453.1350887511</v>
      </c>
      <c r="M541">
        <v>566724.56279873732</v>
      </c>
    </row>
    <row r="542" spans="1:13">
      <c r="A542">
        <v>2037</v>
      </c>
      <c r="B542" t="s">
        <v>72</v>
      </c>
      <c r="C542" t="s">
        <v>80</v>
      </c>
      <c r="D542" t="s">
        <v>81</v>
      </c>
      <c r="E542" t="s">
        <v>82</v>
      </c>
      <c r="F542" t="s">
        <v>83</v>
      </c>
      <c r="G542">
        <v>1749267.2897941391</v>
      </c>
      <c r="H542">
        <v>16.15862314688043</v>
      </c>
      <c r="I542">
        <v>216551.0492209614</v>
      </c>
      <c r="J542">
        <v>399769.57709267997</v>
      </c>
      <c r="K542">
        <v>174307.29847106099</v>
      </c>
      <c r="L542">
        <v>226.89779390905721</v>
      </c>
      <c r="M542">
        <v>3177498.3046432012</v>
      </c>
    </row>
    <row r="543" spans="1:13">
      <c r="A543">
        <v>2037</v>
      </c>
      <c r="B543" t="s">
        <v>72</v>
      </c>
      <c r="C543" t="s">
        <v>80</v>
      </c>
      <c r="D543" t="s">
        <v>81</v>
      </c>
      <c r="E543" t="s">
        <v>82</v>
      </c>
      <c r="F543" t="s">
        <v>84</v>
      </c>
      <c r="G543">
        <v>1749029.8000293621</v>
      </c>
      <c r="H543">
        <v>16.156466497273609</v>
      </c>
      <c r="I543">
        <v>216212.2648926503</v>
      </c>
      <c r="J543">
        <v>399140.51615390647</v>
      </c>
      <c r="K543">
        <v>174010.99184556931</v>
      </c>
      <c r="L543">
        <v>226.45236088136039</v>
      </c>
      <c r="M543">
        <v>3176033.4242092939</v>
      </c>
    </row>
    <row r="544" spans="1:13">
      <c r="A544">
        <v>2037</v>
      </c>
      <c r="B544" t="s">
        <v>72</v>
      </c>
      <c r="C544" t="s">
        <v>80</v>
      </c>
      <c r="D544" t="s">
        <v>85</v>
      </c>
      <c r="E544" t="s">
        <v>82</v>
      </c>
      <c r="F544" t="s">
        <v>86</v>
      </c>
      <c r="G544">
        <v>1744135.952293823</v>
      </c>
      <c r="H544">
        <v>16.112025361864891</v>
      </c>
      <c r="I544">
        <v>209231.08437948939</v>
      </c>
      <c r="J544">
        <v>386177.73245830252</v>
      </c>
      <c r="K544">
        <v>167905.13078016581</v>
      </c>
      <c r="L544">
        <v>217.27351725427221</v>
      </c>
      <c r="M544">
        <v>3145847.2736565778</v>
      </c>
    </row>
    <row r="545" spans="1:13">
      <c r="A545">
        <v>2037</v>
      </c>
      <c r="B545" t="s">
        <v>72</v>
      </c>
      <c r="C545" t="s">
        <v>80</v>
      </c>
      <c r="D545" t="s">
        <v>85</v>
      </c>
      <c r="E545" t="s">
        <v>82</v>
      </c>
      <c r="F545" t="s">
        <v>87</v>
      </c>
      <c r="G545">
        <v>1744135.952293823</v>
      </c>
      <c r="H545">
        <v>16.112025361864891</v>
      </c>
      <c r="I545">
        <v>209231.08437948939</v>
      </c>
      <c r="J545">
        <v>386177.73245830252</v>
      </c>
      <c r="K545">
        <v>167905.13078016581</v>
      </c>
      <c r="L545">
        <v>217.27351725427221</v>
      </c>
      <c r="M545">
        <v>3145847.2736565778</v>
      </c>
    </row>
    <row r="546" spans="1:13">
      <c r="A546">
        <v>2037</v>
      </c>
      <c r="B546" t="s">
        <v>72</v>
      </c>
      <c r="C546" t="s">
        <v>80</v>
      </c>
      <c r="D546" t="s">
        <v>85</v>
      </c>
      <c r="E546" t="s">
        <v>88</v>
      </c>
      <c r="F546" t="s">
        <v>89</v>
      </c>
      <c r="G546">
        <v>1743969.0551899241</v>
      </c>
      <c r="H546">
        <v>16.110523835694892</v>
      </c>
      <c r="I546">
        <v>209017.64929593561</v>
      </c>
      <c r="J546">
        <v>385769.81149392179</v>
      </c>
      <c r="K546">
        <v>167717.13786922209</v>
      </c>
      <c r="L546">
        <v>217.2502273671806</v>
      </c>
      <c r="M546">
        <v>3145786.700172198</v>
      </c>
    </row>
    <row r="547" spans="1:13">
      <c r="A547">
        <v>2037</v>
      </c>
      <c r="B547" t="s">
        <v>72</v>
      </c>
      <c r="C547" t="s">
        <v>90</v>
      </c>
      <c r="D547" t="s">
        <v>81</v>
      </c>
      <c r="E547" t="s">
        <v>82</v>
      </c>
      <c r="F547" t="s">
        <v>83</v>
      </c>
      <c r="G547">
        <v>657387.16262743587</v>
      </c>
      <c r="H547">
        <v>6.0725261853743513</v>
      </c>
      <c r="I547">
        <v>81381.433610477703</v>
      </c>
      <c r="J547">
        <v>150236.26722057711</v>
      </c>
      <c r="K547">
        <v>65505.929845992519</v>
      </c>
      <c r="L547">
        <v>85.269814289989668</v>
      </c>
      <c r="M547">
        <v>1194126.5962783219</v>
      </c>
    </row>
    <row r="548" spans="1:13">
      <c r="A548">
        <v>2037</v>
      </c>
      <c r="B548" t="s">
        <v>72</v>
      </c>
      <c r="C548" t="s">
        <v>90</v>
      </c>
      <c r="D548" t="s">
        <v>81</v>
      </c>
      <c r="E548" t="s">
        <v>82</v>
      </c>
      <c r="F548" t="s">
        <v>84</v>
      </c>
      <c r="G548">
        <v>657149.67286265816</v>
      </c>
      <c r="H548">
        <v>6.0703695357675347</v>
      </c>
      <c r="I548">
        <v>81042.649282166662</v>
      </c>
      <c r="J548">
        <v>149607.20628180349</v>
      </c>
      <c r="K548">
        <v>65209.623220500813</v>
      </c>
      <c r="L548">
        <v>84.824381262292889</v>
      </c>
      <c r="M548">
        <v>1192661.7158444161</v>
      </c>
    </row>
    <row r="549" spans="1:13">
      <c r="A549">
        <v>2037</v>
      </c>
      <c r="B549" t="s">
        <v>72</v>
      </c>
      <c r="C549" t="s">
        <v>90</v>
      </c>
      <c r="D549" t="s">
        <v>85</v>
      </c>
      <c r="E549" t="s">
        <v>82</v>
      </c>
      <c r="F549" t="s">
        <v>86</v>
      </c>
      <c r="G549">
        <v>652255.8251271199</v>
      </c>
      <c r="H549">
        <v>6.0259284003588114</v>
      </c>
      <c r="I549">
        <v>74061.468769005747</v>
      </c>
      <c r="J549">
        <v>136644.42258619939</v>
      </c>
      <c r="K549">
        <v>59103.762155097364</v>
      </c>
      <c r="L549">
        <v>75.645537635204661</v>
      </c>
      <c r="M549">
        <v>1162475.5652917</v>
      </c>
    </row>
    <row r="550" spans="1:13">
      <c r="A550">
        <v>2037</v>
      </c>
      <c r="B550" t="s">
        <v>72</v>
      </c>
      <c r="C550" t="s">
        <v>90</v>
      </c>
      <c r="D550" t="s">
        <v>85</v>
      </c>
      <c r="E550" t="s">
        <v>82</v>
      </c>
      <c r="F550" t="s">
        <v>87</v>
      </c>
      <c r="G550">
        <v>652255.8251271199</v>
      </c>
      <c r="H550">
        <v>6.0259284003588114</v>
      </c>
      <c r="I550">
        <v>74061.468769005747</v>
      </c>
      <c r="J550">
        <v>136644.42258619939</v>
      </c>
      <c r="K550">
        <v>59103.762155097364</v>
      </c>
      <c r="L550">
        <v>75.645537635204661</v>
      </c>
      <c r="M550">
        <v>1162475.5652917</v>
      </c>
    </row>
    <row r="551" spans="1:13">
      <c r="A551">
        <v>2037</v>
      </c>
      <c r="B551" t="s">
        <v>72</v>
      </c>
      <c r="C551" t="s">
        <v>90</v>
      </c>
      <c r="D551" t="s">
        <v>85</v>
      </c>
      <c r="E551" t="s">
        <v>88</v>
      </c>
      <c r="F551" t="s">
        <v>89</v>
      </c>
      <c r="G551">
        <v>652088.92802322062</v>
      </c>
      <c r="H551">
        <v>6.0244268741888121</v>
      </c>
      <c r="I551">
        <v>73848.033685451926</v>
      </c>
      <c r="J551">
        <v>136236.50162181881</v>
      </c>
      <c r="K551">
        <v>58915.769244153627</v>
      </c>
      <c r="L551">
        <v>75.622247748113097</v>
      </c>
      <c r="M551">
        <v>1162414.9918073199</v>
      </c>
    </row>
    <row r="552" spans="1:13">
      <c r="A552">
        <v>2037</v>
      </c>
      <c r="B552" t="s">
        <v>72</v>
      </c>
      <c r="C552" t="s">
        <v>91</v>
      </c>
      <c r="D552" t="s">
        <v>81</v>
      </c>
      <c r="E552" t="s">
        <v>82</v>
      </c>
      <c r="F552" t="s">
        <v>83</v>
      </c>
      <c r="G552">
        <v>1665889.157621508</v>
      </c>
      <c r="H552">
        <v>15.38842877788443</v>
      </c>
      <c r="I552">
        <v>206229.22927416969</v>
      </c>
      <c r="J552">
        <v>380714.71862027759</v>
      </c>
      <c r="K552">
        <v>165999.01016351211</v>
      </c>
      <c r="L552">
        <v>216.08280047689041</v>
      </c>
      <c r="M552">
        <v>3026044.1071237181</v>
      </c>
    </row>
    <row r="553" spans="1:13">
      <c r="A553">
        <v>2037</v>
      </c>
      <c r="B553" t="s">
        <v>72</v>
      </c>
      <c r="C553" t="s">
        <v>91</v>
      </c>
      <c r="D553" t="s">
        <v>81</v>
      </c>
      <c r="E553" t="s">
        <v>82</v>
      </c>
      <c r="F553" t="s">
        <v>84</v>
      </c>
      <c r="G553">
        <v>1665651.667856731</v>
      </c>
      <c r="H553">
        <v>15.38627212827762</v>
      </c>
      <c r="I553">
        <v>205890.4449458587</v>
      </c>
      <c r="J553">
        <v>380085.65768150409</v>
      </c>
      <c r="K553">
        <v>165702.7035380204</v>
      </c>
      <c r="L553">
        <v>215.63736744919359</v>
      </c>
      <c r="M553">
        <v>3024579.2266898118</v>
      </c>
    </row>
    <row r="554" spans="1:13">
      <c r="A554">
        <v>2037</v>
      </c>
      <c r="B554" t="s">
        <v>72</v>
      </c>
      <c r="C554" t="s">
        <v>91</v>
      </c>
      <c r="D554" t="s">
        <v>85</v>
      </c>
      <c r="E554" t="s">
        <v>82</v>
      </c>
      <c r="F554" t="s">
        <v>86</v>
      </c>
      <c r="G554">
        <v>1660757.8201211919</v>
      </c>
      <c r="H554">
        <v>15.3418309928689</v>
      </c>
      <c r="I554">
        <v>198909.26443269779</v>
      </c>
      <c r="J554">
        <v>367122.87398590002</v>
      </c>
      <c r="K554">
        <v>159596.8424726169</v>
      </c>
      <c r="L554">
        <v>206.45852382210541</v>
      </c>
      <c r="M554">
        <v>2994393.0761370952</v>
      </c>
    </row>
    <row r="555" spans="1:13">
      <c r="A555">
        <v>2037</v>
      </c>
      <c r="B555" t="s">
        <v>72</v>
      </c>
      <c r="C555" t="s">
        <v>91</v>
      </c>
      <c r="D555" t="s">
        <v>85</v>
      </c>
      <c r="E555" t="s">
        <v>82</v>
      </c>
      <c r="F555" t="s">
        <v>87</v>
      </c>
      <c r="G555">
        <v>1660757.8201211919</v>
      </c>
      <c r="H555">
        <v>15.3418309928689</v>
      </c>
      <c r="I555">
        <v>198909.26443269779</v>
      </c>
      <c r="J555">
        <v>367122.87398590002</v>
      </c>
      <c r="K555">
        <v>159596.8424726169</v>
      </c>
      <c r="L555">
        <v>206.45852382210541</v>
      </c>
      <c r="M555">
        <v>2994393.0761370952</v>
      </c>
    </row>
    <row r="556" spans="1:13">
      <c r="A556">
        <v>2037</v>
      </c>
      <c r="B556" t="s">
        <v>72</v>
      </c>
      <c r="C556" t="s">
        <v>91</v>
      </c>
      <c r="D556" t="s">
        <v>85</v>
      </c>
      <c r="E556" t="s">
        <v>88</v>
      </c>
      <c r="F556" t="s">
        <v>89</v>
      </c>
      <c r="G556">
        <v>1660590.923017293</v>
      </c>
      <c r="H556">
        <v>15.340329466698901</v>
      </c>
      <c r="I556">
        <v>198695.82934914401</v>
      </c>
      <c r="J556">
        <v>366714.95302151941</v>
      </c>
      <c r="K556">
        <v>159408.84956167321</v>
      </c>
      <c r="L556">
        <v>206.43523393501391</v>
      </c>
      <c r="M556">
        <v>2994332.502652715</v>
      </c>
    </row>
    <row r="557" spans="1:13">
      <c r="A557">
        <v>2037</v>
      </c>
      <c r="B557" t="s">
        <v>73</v>
      </c>
      <c r="C557" t="s">
        <v>80</v>
      </c>
      <c r="D557" t="s">
        <v>81</v>
      </c>
      <c r="E557" t="s">
        <v>82</v>
      </c>
      <c r="F557" t="s">
        <v>83</v>
      </c>
      <c r="G557">
        <v>73292131.136438295</v>
      </c>
      <c r="H557">
        <v>85.110329952547175</v>
      </c>
      <c r="I557">
        <v>843888.99118839437</v>
      </c>
      <c r="J557">
        <v>1400214.2234535681</v>
      </c>
      <c r="K557">
        <v>737165.50194487988</v>
      </c>
      <c r="L557">
        <v>1088.0360722480541</v>
      </c>
      <c r="M557">
        <v>17405846.178366158</v>
      </c>
    </row>
    <row r="558" spans="1:13">
      <c r="A558">
        <v>2037</v>
      </c>
      <c r="B558" t="s">
        <v>73</v>
      </c>
      <c r="C558" t="s">
        <v>80</v>
      </c>
      <c r="D558" t="s">
        <v>81</v>
      </c>
      <c r="E558" t="s">
        <v>82</v>
      </c>
      <c r="F558" t="s">
        <v>84</v>
      </c>
      <c r="G558">
        <v>73201800.202044576</v>
      </c>
      <c r="H558">
        <v>82.590918024963372</v>
      </c>
      <c r="I558">
        <v>785101.26403898222</v>
      </c>
      <c r="J558">
        <v>1309311.9160000749</v>
      </c>
      <c r="K558">
        <v>675321.83437350031</v>
      </c>
      <c r="L558">
        <v>977.59775547260165</v>
      </c>
      <c r="M558">
        <v>17292300.060357749</v>
      </c>
    </row>
    <row r="559" spans="1:13">
      <c r="A559">
        <v>2037</v>
      </c>
      <c r="B559" t="s">
        <v>73</v>
      </c>
      <c r="C559" t="s">
        <v>80</v>
      </c>
      <c r="D559" t="s">
        <v>85</v>
      </c>
      <c r="E559" t="s">
        <v>82</v>
      </c>
      <c r="F559" t="s">
        <v>86</v>
      </c>
      <c r="G559">
        <v>72886449.960569918</v>
      </c>
      <c r="H559">
        <v>73.795512939536835</v>
      </c>
      <c r="I559">
        <v>579870.08740226342</v>
      </c>
      <c r="J559">
        <v>991966.97986641387</v>
      </c>
      <c r="K559">
        <v>459422.20227943518</v>
      </c>
      <c r="L559">
        <v>592.05154035869577</v>
      </c>
      <c r="M559">
        <v>16895904.34085374</v>
      </c>
    </row>
    <row r="560" spans="1:13">
      <c r="A560">
        <v>2037</v>
      </c>
      <c r="B560" t="s">
        <v>73</v>
      </c>
      <c r="C560" t="s">
        <v>80</v>
      </c>
      <c r="D560" t="s">
        <v>85</v>
      </c>
      <c r="E560" t="s">
        <v>82</v>
      </c>
      <c r="F560" t="s">
        <v>87</v>
      </c>
      <c r="G560">
        <v>72886449.960569918</v>
      </c>
      <c r="H560">
        <v>73.795512939536835</v>
      </c>
      <c r="I560">
        <v>579870.08740226342</v>
      </c>
      <c r="J560">
        <v>991966.97986641387</v>
      </c>
      <c r="K560">
        <v>459422.20227943518</v>
      </c>
      <c r="L560">
        <v>592.05154035869577</v>
      </c>
      <c r="M560">
        <v>16895904.34085374</v>
      </c>
    </row>
    <row r="561" spans="1:13">
      <c r="A561">
        <v>2037</v>
      </c>
      <c r="B561" t="s">
        <v>73</v>
      </c>
      <c r="C561" t="s">
        <v>80</v>
      </c>
      <c r="D561" t="s">
        <v>85</v>
      </c>
      <c r="E561" t="s">
        <v>88</v>
      </c>
      <c r="F561" t="s">
        <v>89</v>
      </c>
      <c r="G561">
        <v>71393800.750367194</v>
      </c>
      <c r="H561">
        <v>67.324259593932339</v>
      </c>
      <c r="I561">
        <v>540788.6988316963</v>
      </c>
      <c r="J561">
        <v>921140.78276243538</v>
      </c>
      <c r="K561">
        <v>426234.97259554092</v>
      </c>
      <c r="L561">
        <v>553.06122759221932</v>
      </c>
      <c r="M561">
        <v>16980885.21064429</v>
      </c>
    </row>
    <row r="562" spans="1:13">
      <c r="A562">
        <v>2037</v>
      </c>
      <c r="B562" t="s">
        <v>73</v>
      </c>
      <c r="C562" t="s">
        <v>90</v>
      </c>
      <c r="D562" t="s">
        <v>81</v>
      </c>
      <c r="E562" t="s">
        <v>82</v>
      </c>
      <c r="F562" t="s">
        <v>83</v>
      </c>
      <c r="G562">
        <v>56043415.224000782</v>
      </c>
      <c r="H562">
        <v>65.080295625499929</v>
      </c>
      <c r="I562">
        <v>645286.47759051435</v>
      </c>
      <c r="J562">
        <v>1070685.023218628</v>
      </c>
      <c r="K562">
        <v>563679.50656801602</v>
      </c>
      <c r="L562">
        <v>831.97549900923616</v>
      </c>
      <c r="M562">
        <v>13309519.720245739</v>
      </c>
    </row>
    <row r="563" spans="1:13">
      <c r="A563">
        <v>2037</v>
      </c>
      <c r="B563" t="s">
        <v>73</v>
      </c>
      <c r="C563" t="s">
        <v>90</v>
      </c>
      <c r="D563" t="s">
        <v>81</v>
      </c>
      <c r="E563" t="s">
        <v>82</v>
      </c>
      <c r="F563" t="s">
        <v>84</v>
      </c>
      <c r="G563">
        <v>55953084.28960707</v>
      </c>
      <c r="H563">
        <v>62.560883697916132</v>
      </c>
      <c r="I563">
        <v>586498.75044110219</v>
      </c>
      <c r="J563">
        <v>979782.71576513432</v>
      </c>
      <c r="K563">
        <v>501835.83899663639</v>
      </c>
      <c r="L563">
        <v>721.5371822337836</v>
      </c>
      <c r="M563">
        <v>13195973.602237331</v>
      </c>
    </row>
    <row r="564" spans="1:13">
      <c r="A564">
        <v>2037</v>
      </c>
      <c r="B564" t="s">
        <v>73</v>
      </c>
      <c r="C564" t="s">
        <v>90</v>
      </c>
      <c r="D564" t="s">
        <v>85</v>
      </c>
      <c r="E564" t="s">
        <v>82</v>
      </c>
      <c r="F564" t="s">
        <v>86</v>
      </c>
      <c r="G564">
        <v>55637734.04813242</v>
      </c>
      <c r="H564">
        <v>53.765478612489588</v>
      </c>
      <c r="I564">
        <v>381267.5738043834</v>
      </c>
      <c r="J564">
        <v>662437.77963147347</v>
      </c>
      <c r="K564">
        <v>285936.20690257137</v>
      </c>
      <c r="L564">
        <v>335.99096711987772</v>
      </c>
      <c r="M564">
        <v>12799577.88273331</v>
      </c>
    </row>
    <row r="565" spans="1:13">
      <c r="A565">
        <v>2037</v>
      </c>
      <c r="B565" t="s">
        <v>73</v>
      </c>
      <c r="C565" t="s">
        <v>90</v>
      </c>
      <c r="D565" t="s">
        <v>85</v>
      </c>
      <c r="E565" t="s">
        <v>82</v>
      </c>
      <c r="F565" t="s">
        <v>87</v>
      </c>
      <c r="G565">
        <v>55637734.04813242</v>
      </c>
      <c r="H565">
        <v>53.765478612489588</v>
      </c>
      <c r="I565">
        <v>381267.5738043834</v>
      </c>
      <c r="J565">
        <v>662437.77963147347</v>
      </c>
      <c r="K565">
        <v>285936.20690257137</v>
      </c>
      <c r="L565">
        <v>335.99096711987772</v>
      </c>
      <c r="M565">
        <v>12799577.88273331</v>
      </c>
    </row>
    <row r="566" spans="1:13">
      <c r="A566">
        <v>2037</v>
      </c>
      <c r="B566" t="s">
        <v>73</v>
      </c>
      <c r="C566" t="s">
        <v>90</v>
      </c>
      <c r="D566" t="s">
        <v>85</v>
      </c>
      <c r="E566" t="s">
        <v>88</v>
      </c>
      <c r="F566" t="s">
        <v>89</v>
      </c>
      <c r="G566">
        <v>54145084.837929681</v>
      </c>
      <c r="H566">
        <v>47.294225266885093</v>
      </c>
      <c r="I566">
        <v>342186.18523381627</v>
      </c>
      <c r="J566">
        <v>591611.58252749487</v>
      </c>
      <c r="K566">
        <v>252748.97721867709</v>
      </c>
      <c r="L566">
        <v>297.00065435340122</v>
      </c>
      <c r="M566">
        <v>12884558.752523869</v>
      </c>
    </row>
    <row r="567" spans="1:13">
      <c r="A567">
        <v>2037</v>
      </c>
      <c r="B567" t="s">
        <v>73</v>
      </c>
      <c r="C567" t="s">
        <v>91</v>
      </c>
      <c r="D567" t="s">
        <v>81</v>
      </c>
      <c r="E567" t="s">
        <v>82</v>
      </c>
      <c r="F567" t="s">
        <v>83</v>
      </c>
      <c r="G567">
        <v>69552413.36273475</v>
      </c>
      <c r="H567">
        <v>80.76759071555054</v>
      </c>
      <c r="I567">
        <v>800829.70760029613</v>
      </c>
      <c r="J567">
        <v>1328768.5452170621</v>
      </c>
      <c r="K567">
        <v>699551.76514887379</v>
      </c>
      <c r="L567">
        <v>1032.5192278784721</v>
      </c>
      <c r="M567">
        <v>16517716.01609252</v>
      </c>
    </row>
    <row r="568" spans="1:13">
      <c r="A568">
        <v>2037</v>
      </c>
      <c r="B568" t="s">
        <v>73</v>
      </c>
      <c r="C568" t="s">
        <v>91</v>
      </c>
      <c r="D568" t="s">
        <v>81</v>
      </c>
      <c r="E568" t="s">
        <v>82</v>
      </c>
      <c r="F568" t="s">
        <v>84</v>
      </c>
      <c r="G568">
        <v>69462082.428341061</v>
      </c>
      <c r="H568">
        <v>78.248178787966751</v>
      </c>
      <c r="I568">
        <v>742041.98045088409</v>
      </c>
      <c r="J568">
        <v>1237866.237763569</v>
      </c>
      <c r="K568">
        <v>637708.09757749422</v>
      </c>
      <c r="L568">
        <v>922.08091110301996</v>
      </c>
      <c r="M568">
        <v>16404169.898084121</v>
      </c>
    </row>
    <row r="569" spans="1:13">
      <c r="A569">
        <v>2037</v>
      </c>
      <c r="B569" t="s">
        <v>73</v>
      </c>
      <c r="C569" t="s">
        <v>91</v>
      </c>
      <c r="D569" t="s">
        <v>85</v>
      </c>
      <c r="E569" t="s">
        <v>82</v>
      </c>
      <c r="F569" t="s">
        <v>86</v>
      </c>
      <c r="G569">
        <v>69146732.186866388</v>
      </c>
      <c r="H569">
        <v>69.452773702540213</v>
      </c>
      <c r="I569">
        <v>536810.80381416506</v>
      </c>
      <c r="J569">
        <v>920521.30162990745</v>
      </c>
      <c r="K569">
        <v>421808.46548342903</v>
      </c>
      <c r="L569">
        <v>536.53469598911386</v>
      </c>
      <c r="M569">
        <v>16007774.1785801</v>
      </c>
    </row>
    <row r="570" spans="1:13">
      <c r="A570">
        <v>2037</v>
      </c>
      <c r="B570" t="s">
        <v>73</v>
      </c>
      <c r="C570" t="s">
        <v>91</v>
      </c>
      <c r="D570" t="s">
        <v>85</v>
      </c>
      <c r="E570" t="s">
        <v>82</v>
      </c>
      <c r="F570" t="s">
        <v>87</v>
      </c>
      <c r="G570">
        <v>69146732.186866388</v>
      </c>
      <c r="H570">
        <v>69.452773702540213</v>
      </c>
      <c r="I570">
        <v>536810.80381416506</v>
      </c>
      <c r="J570">
        <v>920521.30162990745</v>
      </c>
      <c r="K570">
        <v>421808.46548342903</v>
      </c>
      <c r="L570">
        <v>536.53469598911386</v>
      </c>
      <c r="M570">
        <v>16007774.1785801</v>
      </c>
    </row>
    <row r="571" spans="1:13">
      <c r="A571">
        <v>2037</v>
      </c>
      <c r="B571" t="s">
        <v>73</v>
      </c>
      <c r="C571" t="s">
        <v>91</v>
      </c>
      <c r="D571" t="s">
        <v>85</v>
      </c>
      <c r="E571" t="s">
        <v>88</v>
      </c>
      <c r="F571" t="s">
        <v>89</v>
      </c>
      <c r="G571">
        <v>67654082.976663649</v>
      </c>
      <c r="H571">
        <v>62.981520356935697</v>
      </c>
      <c r="I571">
        <v>497729.41524359811</v>
      </c>
      <c r="J571">
        <v>849695.10452592897</v>
      </c>
      <c r="K571">
        <v>388621.23579953483</v>
      </c>
      <c r="L571">
        <v>497.54438322263752</v>
      </c>
      <c r="M571">
        <v>16092755.04837065</v>
      </c>
    </row>
    <row r="572" spans="1:13">
      <c r="A572">
        <v>2037</v>
      </c>
      <c r="B572" t="s">
        <v>74</v>
      </c>
      <c r="C572" t="s">
        <v>80</v>
      </c>
      <c r="D572" t="s">
        <v>81</v>
      </c>
      <c r="E572" t="s">
        <v>82</v>
      </c>
      <c r="F572" t="s">
        <v>83</v>
      </c>
      <c r="G572">
        <v>758332.74360144057</v>
      </c>
      <c r="H572">
        <v>7.2050822941278003</v>
      </c>
      <c r="I572">
        <v>429907.26721451408</v>
      </c>
      <c r="J572">
        <v>958984.74304307427</v>
      </c>
      <c r="K572">
        <v>352063.03777813789</v>
      </c>
      <c r="L572">
        <v>13000497.51655785</v>
      </c>
      <c r="M572">
        <v>4772750.2251836266</v>
      </c>
    </row>
    <row r="573" spans="1:13">
      <c r="A573">
        <v>2037</v>
      </c>
      <c r="B573" t="s">
        <v>74</v>
      </c>
      <c r="C573" t="s">
        <v>80</v>
      </c>
      <c r="D573" t="s">
        <v>81</v>
      </c>
      <c r="E573" t="s">
        <v>82</v>
      </c>
      <c r="F573" t="s">
        <v>84</v>
      </c>
      <c r="G573">
        <v>732987.35632669786</v>
      </c>
      <c r="H573">
        <v>6.9741017577476763</v>
      </c>
      <c r="I573">
        <v>319065.9112908534</v>
      </c>
      <c r="J573">
        <v>699402.02074803051</v>
      </c>
      <c r="K573">
        <v>255383.1503258317</v>
      </c>
      <c r="L573">
        <v>9481458.6986624319</v>
      </c>
      <c r="M573">
        <v>3462107.2291997531</v>
      </c>
    </row>
    <row r="574" spans="1:13">
      <c r="A574">
        <v>2037</v>
      </c>
      <c r="B574" t="s">
        <v>74</v>
      </c>
      <c r="C574" t="s">
        <v>80</v>
      </c>
      <c r="D574" t="s">
        <v>85</v>
      </c>
      <c r="E574" t="s">
        <v>82</v>
      </c>
      <c r="F574" t="s">
        <v>86</v>
      </c>
      <c r="G574">
        <v>682642.61466561502</v>
      </c>
      <c r="H574">
        <v>6.515294192223358</v>
      </c>
      <c r="I574">
        <v>98896.482871753746</v>
      </c>
      <c r="J574">
        <v>183780.58036673581</v>
      </c>
      <c r="K574">
        <v>63343.316613788847</v>
      </c>
      <c r="L574">
        <v>2491425.4329716619</v>
      </c>
      <c r="M574">
        <v>858715.04870345071</v>
      </c>
    </row>
    <row r="575" spans="1:13">
      <c r="A575">
        <v>2037</v>
      </c>
      <c r="B575" t="s">
        <v>74</v>
      </c>
      <c r="C575" t="s">
        <v>80</v>
      </c>
      <c r="D575" t="s">
        <v>85</v>
      </c>
      <c r="E575" t="s">
        <v>82</v>
      </c>
      <c r="F575" t="s">
        <v>87</v>
      </c>
      <c r="G575">
        <v>682642.61466561502</v>
      </c>
      <c r="H575">
        <v>6.515294192223358</v>
      </c>
      <c r="I575">
        <v>98896.482871753746</v>
      </c>
      <c r="J575">
        <v>183780.58036673581</v>
      </c>
      <c r="K575">
        <v>63343.316613788847</v>
      </c>
      <c r="L575">
        <v>2491425.4329716619</v>
      </c>
      <c r="M575">
        <v>858715.04870345071</v>
      </c>
    </row>
    <row r="576" spans="1:13">
      <c r="A576">
        <v>2037</v>
      </c>
      <c r="B576" t="s">
        <v>74</v>
      </c>
      <c r="C576" t="s">
        <v>80</v>
      </c>
      <c r="D576" t="s">
        <v>85</v>
      </c>
      <c r="E576" t="s">
        <v>88</v>
      </c>
      <c r="F576" t="s">
        <v>89</v>
      </c>
      <c r="G576">
        <v>666017.15862888168</v>
      </c>
      <c r="H576">
        <v>6.3653245632798026</v>
      </c>
      <c r="I576">
        <v>79302.648137451877</v>
      </c>
      <c r="J576">
        <v>143349.55764931679</v>
      </c>
      <c r="K576">
        <v>46490.354307599409</v>
      </c>
      <c r="L576">
        <v>1943321.394567695</v>
      </c>
      <c r="M576">
        <v>630247.49883084779</v>
      </c>
    </row>
    <row r="577" spans="1:13">
      <c r="A577">
        <v>2037</v>
      </c>
      <c r="B577" t="s">
        <v>74</v>
      </c>
      <c r="C577" t="s">
        <v>90</v>
      </c>
      <c r="D577" t="s">
        <v>81</v>
      </c>
      <c r="E577" t="s">
        <v>82</v>
      </c>
      <c r="F577" t="s">
        <v>83</v>
      </c>
      <c r="G577">
        <v>296953.77302264387</v>
      </c>
      <c r="H577">
        <v>2.8214215860160738</v>
      </c>
      <c r="I577">
        <v>168346.3969166285</v>
      </c>
      <c r="J577">
        <v>375526.6274872357</v>
      </c>
      <c r="K577">
        <v>137863.55434624161</v>
      </c>
      <c r="L577">
        <v>5090834.8891530484</v>
      </c>
      <c r="M577">
        <v>1868950.271528614</v>
      </c>
    </row>
    <row r="578" spans="1:13">
      <c r="A578">
        <v>2037</v>
      </c>
      <c r="B578" t="s">
        <v>74</v>
      </c>
      <c r="C578" t="s">
        <v>90</v>
      </c>
      <c r="D578" t="s">
        <v>81</v>
      </c>
      <c r="E578" t="s">
        <v>82</v>
      </c>
      <c r="F578" t="s">
        <v>84</v>
      </c>
      <c r="G578">
        <v>271608.38574790122</v>
      </c>
      <c r="H578">
        <v>2.5904410496359498</v>
      </c>
      <c r="I578">
        <v>57505.040992967777</v>
      </c>
      <c r="J578">
        <v>115943.9051921919</v>
      </c>
      <c r="K578">
        <v>41183.66689393534</v>
      </c>
      <c r="L578">
        <v>1571796.071257628</v>
      </c>
      <c r="M578">
        <v>558307.27554474096</v>
      </c>
    </row>
    <row r="579" spans="1:13">
      <c r="A579">
        <v>2037</v>
      </c>
      <c r="B579" t="s">
        <v>74</v>
      </c>
      <c r="C579" t="s">
        <v>90</v>
      </c>
      <c r="D579" t="s">
        <v>85</v>
      </c>
      <c r="E579" t="s">
        <v>82</v>
      </c>
      <c r="F579" t="s">
        <v>86</v>
      </c>
      <c r="G579">
        <v>260804.12565781691</v>
      </c>
      <c r="H579">
        <v>2.4925827897167698</v>
      </c>
      <c r="I579">
        <v>31053.941391564549</v>
      </c>
      <c r="J579">
        <v>56133.923220733734</v>
      </c>
      <c r="K579">
        <v>18205.05080030801</v>
      </c>
      <c r="L579">
        <v>760980.75044455566</v>
      </c>
      <c r="M579">
        <v>246797.1669363495</v>
      </c>
    </row>
    <row r="580" spans="1:13">
      <c r="A580">
        <v>2037</v>
      </c>
      <c r="B580" t="s">
        <v>74</v>
      </c>
      <c r="C580" t="s">
        <v>90</v>
      </c>
      <c r="D580" t="s">
        <v>85</v>
      </c>
      <c r="E580" t="s">
        <v>82</v>
      </c>
      <c r="F580" t="s">
        <v>87</v>
      </c>
      <c r="G580">
        <v>260804.12565781691</v>
      </c>
      <c r="H580">
        <v>2.4925827897167698</v>
      </c>
      <c r="I580">
        <v>31053.941391564549</v>
      </c>
      <c r="J580">
        <v>56133.923220733734</v>
      </c>
      <c r="K580">
        <v>18205.05080030801</v>
      </c>
      <c r="L580">
        <v>760980.75044455566</v>
      </c>
      <c r="M580">
        <v>246797.1669363495</v>
      </c>
    </row>
    <row r="581" spans="1:13">
      <c r="A581">
        <v>2037</v>
      </c>
      <c r="B581" t="s">
        <v>74</v>
      </c>
      <c r="C581" t="s">
        <v>90</v>
      </c>
      <c r="D581" t="s">
        <v>85</v>
      </c>
      <c r="E581" t="s">
        <v>88</v>
      </c>
      <c r="F581" t="s">
        <v>89</v>
      </c>
      <c r="G581">
        <v>260804.12565781691</v>
      </c>
      <c r="H581">
        <v>2.4925827897167698</v>
      </c>
      <c r="I581">
        <v>31053.941391564549</v>
      </c>
      <c r="J581">
        <v>56133.923220733734</v>
      </c>
      <c r="K581">
        <v>18205.05080030801</v>
      </c>
      <c r="L581">
        <v>760980.75044455566</v>
      </c>
      <c r="M581">
        <v>246797.1669363495</v>
      </c>
    </row>
    <row r="582" spans="1:13">
      <c r="A582">
        <v>2037</v>
      </c>
      <c r="B582" t="s">
        <v>74</v>
      </c>
      <c r="C582" t="s">
        <v>91</v>
      </c>
      <c r="D582" t="s">
        <v>81</v>
      </c>
      <c r="E582" t="s">
        <v>82</v>
      </c>
      <c r="F582" t="s">
        <v>83</v>
      </c>
      <c r="G582">
        <v>728838.15638070076</v>
      </c>
      <c r="H582">
        <v>6.9248478852224</v>
      </c>
      <c r="I582">
        <v>413186.45765343762</v>
      </c>
      <c r="J582">
        <v>921685.99867828074</v>
      </c>
      <c r="K582">
        <v>338369.90100860992</v>
      </c>
      <c r="L582">
        <v>12494856.277734259</v>
      </c>
      <c r="M582">
        <v>4587118.9188906346</v>
      </c>
    </row>
    <row r="583" spans="1:13">
      <c r="A583">
        <v>2037</v>
      </c>
      <c r="B583" t="s">
        <v>74</v>
      </c>
      <c r="C583" t="s">
        <v>91</v>
      </c>
      <c r="D583" t="s">
        <v>81</v>
      </c>
      <c r="E583" t="s">
        <v>82</v>
      </c>
      <c r="F583" t="s">
        <v>84</v>
      </c>
      <c r="G583">
        <v>703492.76910595817</v>
      </c>
      <c r="H583">
        <v>6.693867348842276</v>
      </c>
      <c r="I583">
        <v>302345.10172977688</v>
      </c>
      <c r="J583">
        <v>662103.27638323698</v>
      </c>
      <c r="K583">
        <v>241690.01355630369</v>
      </c>
      <c r="L583">
        <v>8975817.4598388411</v>
      </c>
      <c r="M583">
        <v>3276475.922906762</v>
      </c>
    </row>
    <row r="584" spans="1:13">
      <c r="A584">
        <v>2037</v>
      </c>
      <c r="B584" t="s">
        <v>74</v>
      </c>
      <c r="C584" t="s">
        <v>91</v>
      </c>
      <c r="D584" t="s">
        <v>85</v>
      </c>
      <c r="E584" t="s">
        <v>82</v>
      </c>
      <c r="F584" t="s">
        <v>86</v>
      </c>
      <c r="G584">
        <v>653368.2433602981</v>
      </c>
      <c r="H584">
        <v>6.2371392228999918</v>
      </c>
      <c r="I584">
        <v>85635.111394705207</v>
      </c>
      <c r="J584">
        <v>154840.05437660951</v>
      </c>
      <c r="K584">
        <v>52678.791013267393</v>
      </c>
      <c r="L584">
        <v>2099092.5632446459</v>
      </c>
      <c r="M584">
        <v>714141.17556246847</v>
      </c>
    </row>
    <row r="585" spans="1:13">
      <c r="A585">
        <v>2037</v>
      </c>
      <c r="B585" t="s">
        <v>74</v>
      </c>
      <c r="C585" t="s">
        <v>91</v>
      </c>
      <c r="D585" t="s">
        <v>85</v>
      </c>
      <c r="E585" t="s">
        <v>82</v>
      </c>
      <c r="F585" t="s">
        <v>87</v>
      </c>
      <c r="G585">
        <v>653368.2433602981</v>
      </c>
      <c r="H585">
        <v>6.2371392228999918</v>
      </c>
      <c r="I585">
        <v>85635.111394705207</v>
      </c>
      <c r="J585">
        <v>154840.05437660951</v>
      </c>
      <c r="K585">
        <v>52678.791013267393</v>
      </c>
      <c r="L585">
        <v>2099092.5632446459</v>
      </c>
      <c r="M585">
        <v>714141.17556246847</v>
      </c>
    </row>
    <row r="586" spans="1:13">
      <c r="A586">
        <v>2037</v>
      </c>
      <c r="B586" t="s">
        <v>74</v>
      </c>
      <c r="C586" t="s">
        <v>91</v>
      </c>
      <c r="D586" t="s">
        <v>85</v>
      </c>
      <c r="E586" t="s">
        <v>88</v>
      </c>
      <c r="F586" t="s">
        <v>89</v>
      </c>
      <c r="G586">
        <v>640113.09297770483</v>
      </c>
      <c r="H586">
        <v>6.1177516843502264</v>
      </c>
      <c r="I586">
        <v>76218.251621461488</v>
      </c>
      <c r="J586">
        <v>137774.12118449711</v>
      </c>
      <c r="K586">
        <v>44682.158866193997</v>
      </c>
      <c r="L586">
        <v>1867737.8689272259</v>
      </c>
      <c r="M586">
        <v>605734.65802083875</v>
      </c>
    </row>
    <row r="587" spans="1:13">
      <c r="A587">
        <v>2038</v>
      </c>
      <c r="B587" t="s">
        <v>72</v>
      </c>
      <c r="C587" t="s">
        <v>80</v>
      </c>
      <c r="D587" t="s">
        <v>81</v>
      </c>
      <c r="E587" t="s">
        <v>82</v>
      </c>
      <c r="F587" t="s">
        <v>83</v>
      </c>
      <c r="G587">
        <v>1946804.1042229671</v>
      </c>
      <c r="H587">
        <v>17.98334310855439</v>
      </c>
      <c r="I587">
        <v>241005.17619967091</v>
      </c>
      <c r="J587">
        <v>444913.74072346569</v>
      </c>
      <c r="K587">
        <v>193991.03043847249</v>
      </c>
      <c r="L587">
        <v>252.52033179747701</v>
      </c>
      <c r="M587">
        <v>3536318.7642803821</v>
      </c>
    </row>
    <row r="588" spans="1:13">
      <c r="A588">
        <v>2038</v>
      </c>
      <c r="B588" t="s">
        <v>72</v>
      </c>
      <c r="C588" t="s">
        <v>80</v>
      </c>
      <c r="D588" t="s">
        <v>81</v>
      </c>
      <c r="E588" t="s">
        <v>82</v>
      </c>
      <c r="F588" t="s">
        <v>84</v>
      </c>
      <c r="G588">
        <v>1946738.650338483</v>
      </c>
      <c r="H588">
        <v>17.982748720436781</v>
      </c>
      <c r="I588">
        <v>240911.80480612381</v>
      </c>
      <c r="J588">
        <v>444740.36701172357</v>
      </c>
      <c r="K588">
        <v>193909.36620483649</v>
      </c>
      <c r="L588">
        <v>252.39756725658069</v>
      </c>
      <c r="M588">
        <v>3535915.032714121</v>
      </c>
    </row>
    <row r="589" spans="1:13">
      <c r="A589">
        <v>2038</v>
      </c>
      <c r="B589" t="s">
        <v>72</v>
      </c>
      <c r="C589" t="s">
        <v>80</v>
      </c>
      <c r="D589" t="s">
        <v>85</v>
      </c>
      <c r="E589" t="s">
        <v>82</v>
      </c>
      <c r="F589" t="s">
        <v>86</v>
      </c>
      <c r="G589">
        <v>1940906.3997376049</v>
      </c>
      <c r="H589">
        <v>17.92978592864231</v>
      </c>
      <c r="I589">
        <v>232591.97214213639</v>
      </c>
      <c r="J589">
        <v>429291.94951219403</v>
      </c>
      <c r="K589">
        <v>186632.69684527119</v>
      </c>
      <c r="L589">
        <v>241.4586661807075</v>
      </c>
      <c r="M589">
        <v>3499940.641148814</v>
      </c>
    </row>
    <row r="590" spans="1:13">
      <c r="A590">
        <v>2038</v>
      </c>
      <c r="B590" t="s">
        <v>72</v>
      </c>
      <c r="C590" t="s">
        <v>80</v>
      </c>
      <c r="D590" t="s">
        <v>85</v>
      </c>
      <c r="E590" t="s">
        <v>82</v>
      </c>
      <c r="F590" t="s">
        <v>87</v>
      </c>
      <c r="G590">
        <v>1940906.3997376049</v>
      </c>
      <c r="H590">
        <v>17.92978592864231</v>
      </c>
      <c r="I590">
        <v>232591.97214213639</v>
      </c>
      <c r="J590">
        <v>429291.94951219403</v>
      </c>
      <c r="K590">
        <v>186632.69684527119</v>
      </c>
      <c r="L590">
        <v>241.4586661807075</v>
      </c>
      <c r="M590">
        <v>3499940.641148814</v>
      </c>
    </row>
    <row r="591" spans="1:13">
      <c r="A591">
        <v>2038</v>
      </c>
      <c r="B591" t="s">
        <v>72</v>
      </c>
      <c r="C591" t="s">
        <v>80</v>
      </c>
      <c r="D591" t="s">
        <v>85</v>
      </c>
      <c r="E591" t="s">
        <v>88</v>
      </c>
      <c r="F591" t="s">
        <v>89</v>
      </c>
      <c r="G591">
        <v>1940714.5764949911</v>
      </c>
      <c r="H591">
        <v>17.92806014903277</v>
      </c>
      <c r="I591">
        <v>232346.6604569215</v>
      </c>
      <c r="J591">
        <v>428823.10541430482</v>
      </c>
      <c r="K591">
        <v>186416.62712972029</v>
      </c>
      <c r="L591">
        <v>241.43189794112959</v>
      </c>
      <c r="M591">
        <v>3499871.0209941291</v>
      </c>
    </row>
    <row r="592" spans="1:13">
      <c r="A592">
        <v>2038</v>
      </c>
      <c r="B592" t="s">
        <v>72</v>
      </c>
      <c r="C592" t="s">
        <v>90</v>
      </c>
      <c r="D592" t="s">
        <v>81</v>
      </c>
      <c r="E592" t="s">
        <v>82</v>
      </c>
      <c r="F592" t="s">
        <v>83</v>
      </c>
      <c r="G592">
        <v>728685.78629243805</v>
      </c>
      <c r="H592">
        <v>6.731137706561376</v>
      </c>
      <c r="I592">
        <v>90207.867313747658</v>
      </c>
      <c r="J592">
        <v>166530.52985050509</v>
      </c>
      <c r="K592">
        <v>72610.544760054021</v>
      </c>
      <c r="L592">
        <v>94.517972368933073</v>
      </c>
      <c r="M592">
        <v>1323638.6823618619</v>
      </c>
    </row>
    <row r="593" spans="1:13">
      <c r="A593">
        <v>2038</v>
      </c>
      <c r="B593" t="s">
        <v>72</v>
      </c>
      <c r="C593" t="s">
        <v>90</v>
      </c>
      <c r="D593" t="s">
        <v>81</v>
      </c>
      <c r="E593" t="s">
        <v>82</v>
      </c>
      <c r="F593" t="s">
        <v>84</v>
      </c>
      <c r="G593">
        <v>728620.33240795333</v>
      </c>
      <c r="H593">
        <v>6.7305433184437629</v>
      </c>
      <c r="I593">
        <v>90114.495920200468</v>
      </c>
      <c r="J593">
        <v>166357.1561387628</v>
      </c>
      <c r="K593">
        <v>72528.880526417968</v>
      </c>
      <c r="L593">
        <v>94.395207828036689</v>
      </c>
      <c r="M593">
        <v>1323234.9507956</v>
      </c>
    </row>
    <row r="594" spans="1:13">
      <c r="A594">
        <v>2038</v>
      </c>
      <c r="B594" t="s">
        <v>72</v>
      </c>
      <c r="C594" t="s">
        <v>90</v>
      </c>
      <c r="D594" t="s">
        <v>85</v>
      </c>
      <c r="E594" t="s">
        <v>82</v>
      </c>
      <c r="F594" t="s">
        <v>86</v>
      </c>
      <c r="G594">
        <v>722788.0818070767</v>
      </c>
      <c r="H594">
        <v>6.6775805266492902</v>
      </c>
      <c r="I594">
        <v>81794.663256213156</v>
      </c>
      <c r="J594">
        <v>150908.73863923331</v>
      </c>
      <c r="K594">
        <v>65252.211166852743</v>
      </c>
      <c r="L594">
        <v>83.45630675216357</v>
      </c>
      <c r="M594">
        <v>1287260.559230295</v>
      </c>
    </row>
    <row r="595" spans="1:13">
      <c r="A595">
        <v>2038</v>
      </c>
      <c r="B595" t="s">
        <v>72</v>
      </c>
      <c r="C595" t="s">
        <v>90</v>
      </c>
      <c r="D595" t="s">
        <v>85</v>
      </c>
      <c r="E595" t="s">
        <v>82</v>
      </c>
      <c r="F595" t="s">
        <v>87</v>
      </c>
      <c r="G595">
        <v>722788.0818070767</v>
      </c>
      <c r="H595">
        <v>6.6775805266492902</v>
      </c>
      <c r="I595">
        <v>81794.663256213156</v>
      </c>
      <c r="J595">
        <v>150908.73863923331</v>
      </c>
      <c r="K595">
        <v>65252.211166852743</v>
      </c>
      <c r="L595">
        <v>83.45630675216357</v>
      </c>
      <c r="M595">
        <v>1287260.559230295</v>
      </c>
    </row>
    <row r="596" spans="1:13">
      <c r="A596">
        <v>2038</v>
      </c>
      <c r="B596" t="s">
        <v>72</v>
      </c>
      <c r="C596" t="s">
        <v>90</v>
      </c>
      <c r="D596" t="s">
        <v>85</v>
      </c>
      <c r="E596" t="s">
        <v>88</v>
      </c>
      <c r="F596" t="s">
        <v>89</v>
      </c>
      <c r="G596">
        <v>722596.25856446195</v>
      </c>
      <c r="H596">
        <v>6.6758547470397538</v>
      </c>
      <c r="I596">
        <v>81549.35157099826</v>
      </c>
      <c r="J596">
        <v>150439.89454134411</v>
      </c>
      <c r="K596">
        <v>65036.141451301817</v>
      </c>
      <c r="L596">
        <v>83.429538512585665</v>
      </c>
      <c r="M596">
        <v>1287190.939075609</v>
      </c>
    </row>
    <row r="597" spans="1:13">
      <c r="A597">
        <v>2038</v>
      </c>
      <c r="B597" t="s">
        <v>72</v>
      </c>
      <c r="C597" t="s">
        <v>91</v>
      </c>
      <c r="D597" t="s">
        <v>81</v>
      </c>
      <c r="E597" t="s">
        <v>82</v>
      </c>
      <c r="F597" t="s">
        <v>83</v>
      </c>
      <c r="G597">
        <v>1853570.3974276891</v>
      </c>
      <c r="H597">
        <v>17.122109184224321</v>
      </c>
      <c r="I597">
        <v>229463.28254678441</v>
      </c>
      <c r="J597">
        <v>423606.53412685829</v>
      </c>
      <c r="K597">
        <v>184700.674611925</v>
      </c>
      <c r="L597">
        <v>240.42696990062129</v>
      </c>
      <c r="M597">
        <v>3366962.1730915862</v>
      </c>
    </row>
    <row r="598" spans="1:13">
      <c r="A598">
        <v>2038</v>
      </c>
      <c r="B598" t="s">
        <v>72</v>
      </c>
      <c r="C598" t="s">
        <v>91</v>
      </c>
      <c r="D598" t="s">
        <v>81</v>
      </c>
      <c r="E598" t="s">
        <v>82</v>
      </c>
      <c r="F598" t="s">
        <v>84</v>
      </c>
      <c r="G598">
        <v>1853504.9435432041</v>
      </c>
      <c r="H598">
        <v>17.121514796106709</v>
      </c>
      <c r="I598">
        <v>229369.91115323731</v>
      </c>
      <c r="J598">
        <v>423433.16041511617</v>
      </c>
      <c r="K598">
        <v>184619.01037828901</v>
      </c>
      <c r="L598">
        <v>240.30420535972499</v>
      </c>
      <c r="M598">
        <v>3366558.4415253252</v>
      </c>
    </row>
    <row r="599" spans="1:13">
      <c r="A599">
        <v>2038</v>
      </c>
      <c r="B599" t="s">
        <v>72</v>
      </c>
      <c r="C599" t="s">
        <v>91</v>
      </c>
      <c r="D599" t="s">
        <v>85</v>
      </c>
      <c r="E599" t="s">
        <v>82</v>
      </c>
      <c r="F599" t="s">
        <v>86</v>
      </c>
      <c r="G599">
        <v>1847672.6929423269</v>
      </c>
      <c r="H599">
        <v>17.068552004312231</v>
      </c>
      <c r="I599">
        <v>221050.07848924989</v>
      </c>
      <c r="J599">
        <v>407984.74291558651</v>
      </c>
      <c r="K599">
        <v>177342.3410187237</v>
      </c>
      <c r="L599">
        <v>229.3653042838518</v>
      </c>
      <c r="M599">
        <v>3330584.04996002</v>
      </c>
    </row>
    <row r="600" spans="1:13">
      <c r="A600">
        <v>2038</v>
      </c>
      <c r="B600" t="s">
        <v>72</v>
      </c>
      <c r="C600" t="s">
        <v>91</v>
      </c>
      <c r="D600" t="s">
        <v>85</v>
      </c>
      <c r="E600" t="s">
        <v>82</v>
      </c>
      <c r="F600" t="s">
        <v>87</v>
      </c>
      <c r="G600">
        <v>1847672.6929423269</v>
      </c>
      <c r="H600">
        <v>17.068552004312231</v>
      </c>
      <c r="I600">
        <v>221050.07848924989</v>
      </c>
      <c r="J600">
        <v>407984.74291558651</v>
      </c>
      <c r="K600">
        <v>177342.3410187237</v>
      </c>
      <c r="L600">
        <v>229.3653042838518</v>
      </c>
      <c r="M600">
        <v>3330584.04996002</v>
      </c>
    </row>
    <row r="601" spans="1:13">
      <c r="A601">
        <v>2038</v>
      </c>
      <c r="B601" t="s">
        <v>72</v>
      </c>
      <c r="C601" t="s">
        <v>91</v>
      </c>
      <c r="D601" t="s">
        <v>85</v>
      </c>
      <c r="E601" t="s">
        <v>88</v>
      </c>
      <c r="F601" t="s">
        <v>89</v>
      </c>
      <c r="G601">
        <v>1847480.8696997131</v>
      </c>
      <c r="H601">
        <v>17.066826224702691</v>
      </c>
      <c r="I601">
        <v>220804.766804035</v>
      </c>
      <c r="J601">
        <v>407515.89881769742</v>
      </c>
      <c r="K601">
        <v>177126.27130317281</v>
      </c>
      <c r="L601">
        <v>229.33853604427401</v>
      </c>
      <c r="M601">
        <v>3330514.4298053342</v>
      </c>
    </row>
    <row r="602" spans="1:13">
      <c r="A602">
        <v>2038</v>
      </c>
      <c r="B602" t="s">
        <v>73</v>
      </c>
      <c r="C602" t="s">
        <v>80</v>
      </c>
      <c r="D602" t="s">
        <v>81</v>
      </c>
      <c r="E602" t="s">
        <v>82</v>
      </c>
      <c r="F602" t="s">
        <v>83</v>
      </c>
      <c r="G602">
        <v>75637899.789184287</v>
      </c>
      <c r="H602">
        <v>87.834348765097374</v>
      </c>
      <c r="I602">
        <v>870898.28006064834</v>
      </c>
      <c r="J602">
        <v>1445029.11123998</v>
      </c>
      <c r="K602">
        <v>760759.0269186456</v>
      </c>
      <c r="L602">
        <v>1122.859468317479</v>
      </c>
      <c r="M602">
        <v>17962933.108526811</v>
      </c>
    </row>
    <row r="603" spans="1:13">
      <c r="A603">
        <v>2038</v>
      </c>
      <c r="B603" t="s">
        <v>73</v>
      </c>
      <c r="C603" t="s">
        <v>80</v>
      </c>
      <c r="D603" t="s">
        <v>81</v>
      </c>
      <c r="E603" t="s">
        <v>82</v>
      </c>
      <c r="F603" t="s">
        <v>84</v>
      </c>
      <c r="G603">
        <v>75575518.394440413</v>
      </c>
      <c r="H603">
        <v>86.094474921967603</v>
      </c>
      <c r="I603">
        <v>830300.22317107685</v>
      </c>
      <c r="J603">
        <v>1382253.133525945</v>
      </c>
      <c r="K603">
        <v>718050.57642962656</v>
      </c>
      <c r="L603">
        <v>1046.592170964017</v>
      </c>
      <c r="M603">
        <v>17884519.603157241</v>
      </c>
    </row>
    <row r="604" spans="1:13">
      <c r="A604">
        <v>2038</v>
      </c>
      <c r="B604" t="s">
        <v>73</v>
      </c>
      <c r="C604" t="s">
        <v>80</v>
      </c>
      <c r="D604" t="s">
        <v>85</v>
      </c>
      <c r="E604" t="s">
        <v>82</v>
      </c>
      <c r="F604" t="s">
        <v>86</v>
      </c>
      <c r="G604">
        <v>75211465.581147239</v>
      </c>
      <c r="H604">
        <v>75.940710807410056</v>
      </c>
      <c r="I604">
        <v>593373.22136928595</v>
      </c>
      <c r="J604">
        <v>1015897.5656863709</v>
      </c>
      <c r="K604">
        <v>468807.48695155082</v>
      </c>
      <c r="L604">
        <v>601.50234445749811</v>
      </c>
      <c r="M604">
        <v>17426904.678913079</v>
      </c>
    </row>
    <row r="605" spans="1:13">
      <c r="A605">
        <v>2038</v>
      </c>
      <c r="B605" t="s">
        <v>73</v>
      </c>
      <c r="C605" t="s">
        <v>80</v>
      </c>
      <c r="D605" t="s">
        <v>85</v>
      </c>
      <c r="E605" t="s">
        <v>82</v>
      </c>
      <c r="F605" t="s">
        <v>87</v>
      </c>
      <c r="G605">
        <v>75211465.581147239</v>
      </c>
      <c r="H605">
        <v>75.940710807410056</v>
      </c>
      <c r="I605">
        <v>593373.22136928595</v>
      </c>
      <c r="J605">
        <v>1015897.5656863709</v>
      </c>
      <c r="K605">
        <v>468807.48695155082</v>
      </c>
      <c r="L605">
        <v>601.50234445749811</v>
      </c>
      <c r="M605">
        <v>17426904.678913079</v>
      </c>
    </row>
    <row r="606" spans="1:13">
      <c r="A606">
        <v>2038</v>
      </c>
      <c r="B606" t="s">
        <v>73</v>
      </c>
      <c r="C606" t="s">
        <v>80</v>
      </c>
      <c r="D606" t="s">
        <v>85</v>
      </c>
      <c r="E606" t="s">
        <v>88</v>
      </c>
      <c r="F606" t="s">
        <v>89</v>
      </c>
      <c r="G606">
        <v>73642458.386106804</v>
      </c>
      <c r="H606">
        <v>69.138413930969861</v>
      </c>
      <c r="I606">
        <v>552292.58471316053</v>
      </c>
      <c r="J606">
        <v>941448.18260700651</v>
      </c>
      <c r="K606">
        <v>433922.5308603486</v>
      </c>
      <c r="L606">
        <v>560.51744268062998</v>
      </c>
      <c r="M606">
        <v>17516232.831322089</v>
      </c>
    </row>
    <row r="607" spans="1:13">
      <c r="A607">
        <v>2038</v>
      </c>
      <c r="B607" t="s">
        <v>73</v>
      </c>
      <c r="C607" t="s">
        <v>90</v>
      </c>
      <c r="D607" t="s">
        <v>81</v>
      </c>
      <c r="E607" t="s">
        <v>82</v>
      </c>
      <c r="F607" t="s">
        <v>83</v>
      </c>
      <c r="G607">
        <v>57401560.516657397</v>
      </c>
      <c r="H607">
        <v>66.657438931188778</v>
      </c>
      <c r="I607">
        <v>660924.22536965401</v>
      </c>
      <c r="J607">
        <v>1096631.797132927</v>
      </c>
      <c r="K607">
        <v>577339.60678411601</v>
      </c>
      <c r="L607">
        <v>852.13743245081434</v>
      </c>
      <c r="M607">
        <v>13632060.048727199</v>
      </c>
    </row>
    <row r="608" spans="1:13">
      <c r="A608">
        <v>2038</v>
      </c>
      <c r="B608" t="s">
        <v>73</v>
      </c>
      <c r="C608" t="s">
        <v>90</v>
      </c>
      <c r="D608" t="s">
        <v>81</v>
      </c>
      <c r="E608" t="s">
        <v>82</v>
      </c>
      <c r="F608" t="s">
        <v>84</v>
      </c>
      <c r="G608">
        <v>57339179.121913522</v>
      </c>
      <c r="H608">
        <v>64.917565088059021</v>
      </c>
      <c r="I608">
        <v>620326.16848008253</v>
      </c>
      <c r="J608">
        <v>1033855.819418892</v>
      </c>
      <c r="K608">
        <v>534631.15629509697</v>
      </c>
      <c r="L608">
        <v>775.87013509735311</v>
      </c>
      <c r="M608">
        <v>13553646.543357629</v>
      </c>
    </row>
    <row r="609" spans="1:13">
      <c r="A609">
        <v>2038</v>
      </c>
      <c r="B609" t="s">
        <v>73</v>
      </c>
      <c r="C609" t="s">
        <v>90</v>
      </c>
      <c r="D609" t="s">
        <v>85</v>
      </c>
      <c r="E609" t="s">
        <v>82</v>
      </c>
      <c r="F609" t="s">
        <v>86</v>
      </c>
      <c r="G609">
        <v>56975126.308620349</v>
      </c>
      <c r="H609">
        <v>54.763800973501468</v>
      </c>
      <c r="I609">
        <v>383399.16667829169</v>
      </c>
      <c r="J609">
        <v>667500.25157931773</v>
      </c>
      <c r="K609">
        <v>285388.06681702117</v>
      </c>
      <c r="L609">
        <v>330.78030859083401</v>
      </c>
      <c r="M609">
        <v>13096031.619113469</v>
      </c>
    </row>
    <row r="610" spans="1:13">
      <c r="A610">
        <v>2038</v>
      </c>
      <c r="B610" t="s">
        <v>73</v>
      </c>
      <c r="C610" t="s">
        <v>90</v>
      </c>
      <c r="D610" t="s">
        <v>85</v>
      </c>
      <c r="E610" t="s">
        <v>82</v>
      </c>
      <c r="F610" t="s">
        <v>87</v>
      </c>
      <c r="G610">
        <v>56975126.308620349</v>
      </c>
      <c r="H610">
        <v>54.763800973501468</v>
      </c>
      <c r="I610">
        <v>383399.16667829169</v>
      </c>
      <c r="J610">
        <v>667500.25157931773</v>
      </c>
      <c r="K610">
        <v>285388.06681702117</v>
      </c>
      <c r="L610">
        <v>330.78030859083401</v>
      </c>
      <c r="M610">
        <v>13096031.619113469</v>
      </c>
    </row>
    <row r="611" spans="1:13">
      <c r="A611">
        <v>2038</v>
      </c>
      <c r="B611" t="s">
        <v>73</v>
      </c>
      <c r="C611" t="s">
        <v>90</v>
      </c>
      <c r="D611" t="s">
        <v>85</v>
      </c>
      <c r="E611" t="s">
        <v>88</v>
      </c>
      <c r="F611" t="s">
        <v>89</v>
      </c>
      <c r="G611">
        <v>55406119.113579907</v>
      </c>
      <c r="H611">
        <v>47.961504097061272</v>
      </c>
      <c r="I611">
        <v>342318.53002216632</v>
      </c>
      <c r="J611">
        <v>593050.86849995283</v>
      </c>
      <c r="K611">
        <v>250503.1107258191</v>
      </c>
      <c r="L611">
        <v>289.79540681396588</v>
      </c>
      <c r="M611">
        <v>13185359.771522479</v>
      </c>
    </row>
    <row r="612" spans="1:13">
      <c r="A612">
        <v>2038</v>
      </c>
      <c r="B612" t="s">
        <v>73</v>
      </c>
      <c r="C612" t="s">
        <v>91</v>
      </c>
      <c r="D612" t="s">
        <v>81</v>
      </c>
      <c r="E612" t="s">
        <v>82</v>
      </c>
      <c r="F612" t="s">
        <v>83</v>
      </c>
      <c r="G612">
        <v>71442227.306134775</v>
      </c>
      <c r="H612">
        <v>82.962133100629785</v>
      </c>
      <c r="I612">
        <v>822589.11283932219</v>
      </c>
      <c r="J612">
        <v>1364872.61699393</v>
      </c>
      <c r="K612">
        <v>718559.33966701059</v>
      </c>
      <c r="L612">
        <v>1060.5738867944319</v>
      </c>
      <c r="M612">
        <v>16966520.141371921</v>
      </c>
    </row>
    <row r="613" spans="1:13">
      <c r="A613">
        <v>2038</v>
      </c>
      <c r="B613" t="s">
        <v>73</v>
      </c>
      <c r="C613" t="s">
        <v>91</v>
      </c>
      <c r="D613" t="s">
        <v>81</v>
      </c>
      <c r="E613" t="s">
        <v>82</v>
      </c>
      <c r="F613" t="s">
        <v>84</v>
      </c>
      <c r="G613">
        <v>71379845.911390901</v>
      </c>
      <c r="H613">
        <v>81.222259257500014</v>
      </c>
      <c r="I613">
        <v>781991.05594975071</v>
      </c>
      <c r="J613">
        <v>1302096.639279895</v>
      </c>
      <c r="K613">
        <v>675850.88917799154</v>
      </c>
      <c r="L613">
        <v>984.30658944097081</v>
      </c>
      <c r="M613">
        <v>16888106.636002351</v>
      </c>
    </row>
    <row r="614" spans="1:13">
      <c r="A614">
        <v>2038</v>
      </c>
      <c r="B614" t="s">
        <v>73</v>
      </c>
      <c r="C614" t="s">
        <v>91</v>
      </c>
      <c r="D614" t="s">
        <v>85</v>
      </c>
      <c r="E614" t="s">
        <v>82</v>
      </c>
      <c r="F614" t="s">
        <v>86</v>
      </c>
      <c r="G614">
        <v>71015793.098097712</v>
      </c>
      <c r="H614">
        <v>71.068495142942481</v>
      </c>
      <c r="I614">
        <v>545064.0541479598</v>
      </c>
      <c r="J614">
        <v>935741.07144032093</v>
      </c>
      <c r="K614">
        <v>426607.79969991569</v>
      </c>
      <c r="L614">
        <v>539.21676293445171</v>
      </c>
      <c r="M614">
        <v>16430491.7117582</v>
      </c>
    </row>
    <row r="615" spans="1:13">
      <c r="A615">
        <v>2038</v>
      </c>
      <c r="B615" t="s">
        <v>73</v>
      </c>
      <c r="C615" t="s">
        <v>91</v>
      </c>
      <c r="D615" t="s">
        <v>85</v>
      </c>
      <c r="E615" t="s">
        <v>82</v>
      </c>
      <c r="F615" t="s">
        <v>87</v>
      </c>
      <c r="G615">
        <v>71015793.098097712</v>
      </c>
      <c r="H615">
        <v>71.068495142942481</v>
      </c>
      <c r="I615">
        <v>545064.0541479598</v>
      </c>
      <c r="J615">
        <v>935741.07144032093</v>
      </c>
      <c r="K615">
        <v>426607.79969991569</v>
      </c>
      <c r="L615">
        <v>539.21676293445171</v>
      </c>
      <c r="M615">
        <v>16430491.7117582</v>
      </c>
    </row>
    <row r="616" spans="1:13">
      <c r="A616">
        <v>2038</v>
      </c>
      <c r="B616" t="s">
        <v>73</v>
      </c>
      <c r="C616" t="s">
        <v>91</v>
      </c>
      <c r="D616" t="s">
        <v>85</v>
      </c>
      <c r="E616" t="s">
        <v>88</v>
      </c>
      <c r="F616" t="s">
        <v>89</v>
      </c>
      <c r="G616">
        <v>69446785.903057277</v>
      </c>
      <c r="H616">
        <v>64.266198266502272</v>
      </c>
      <c r="I616">
        <v>503983.41749183438</v>
      </c>
      <c r="J616">
        <v>861291.68836095603</v>
      </c>
      <c r="K616">
        <v>391722.84360871359</v>
      </c>
      <c r="L616">
        <v>498.23186115758358</v>
      </c>
      <c r="M616">
        <v>16519819.86416721</v>
      </c>
    </row>
    <row r="617" spans="1:13">
      <c r="A617">
        <v>2038</v>
      </c>
      <c r="B617" t="s">
        <v>74</v>
      </c>
      <c r="C617" t="s">
        <v>80</v>
      </c>
      <c r="D617" t="s">
        <v>81</v>
      </c>
      <c r="E617" t="s">
        <v>82</v>
      </c>
      <c r="F617" t="s">
        <v>83</v>
      </c>
      <c r="G617">
        <v>801420.92424049717</v>
      </c>
      <c r="H617">
        <v>7.6144723541353008</v>
      </c>
      <c r="I617">
        <v>454334.43608475057</v>
      </c>
      <c r="J617">
        <v>1013473.894654938</v>
      </c>
      <c r="K617">
        <v>372067.12687506358</v>
      </c>
      <c r="L617">
        <v>13739180.884930849</v>
      </c>
      <c r="M617">
        <v>5043936.0938976035</v>
      </c>
    </row>
    <row r="618" spans="1:13">
      <c r="A618">
        <v>2038</v>
      </c>
      <c r="B618" t="s">
        <v>74</v>
      </c>
      <c r="C618" t="s">
        <v>80</v>
      </c>
      <c r="D618" t="s">
        <v>81</v>
      </c>
      <c r="E618" t="s">
        <v>82</v>
      </c>
      <c r="F618" t="s">
        <v>84</v>
      </c>
      <c r="G618">
        <v>788898.47545873467</v>
      </c>
      <c r="H618">
        <v>7.5003513148688583</v>
      </c>
      <c r="I618">
        <v>399570.81430974102</v>
      </c>
      <c r="J618">
        <v>885221.31325487013</v>
      </c>
      <c r="K618">
        <v>324300.29160344269</v>
      </c>
      <c r="L618">
        <v>12000521.977081239</v>
      </c>
      <c r="M618">
        <v>4396383.9531284124</v>
      </c>
    </row>
    <row r="619" spans="1:13">
      <c r="A619">
        <v>2038</v>
      </c>
      <c r="B619" t="s">
        <v>74</v>
      </c>
      <c r="C619" t="s">
        <v>80</v>
      </c>
      <c r="D619" t="s">
        <v>85</v>
      </c>
      <c r="E619" t="s">
        <v>82</v>
      </c>
      <c r="F619" t="s">
        <v>86</v>
      </c>
      <c r="G619">
        <v>722284.42597634299</v>
      </c>
      <c r="H619">
        <v>6.8932763977209932</v>
      </c>
      <c r="I619">
        <v>108251.8658890144</v>
      </c>
      <c r="J619">
        <v>202972.66105267199</v>
      </c>
      <c r="K619">
        <v>70201.242459386965</v>
      </c>
      <c r="L619">
        <v>2751603.292009702</v>
      </c>
      <c r="M619">
        <v>951684.66951464606</v>
      </c>
    </row>
    <row r="620" spans="1:13">
      <c r="A620">
        <v>2038</v>
      </c>
      <c r="B620" t="s">
        <v>74</v>
      </c>
      <c r="C620" t="s">
        <v>80</v>
      </c>
      <c r="D620" t="s">
        <v>85</v>
      </c>
      <c r="E620" t="s">
        <v>82</v>
      </c>
      <c r="F620" t="s">
        <v>87</v>
      </c>
      <c r="G620">
        <v>722284.42597634299</v>
      </c>
      <c r="H620">
        <v>6.8932763977209932</v>
      </c>
      <c r="I620">
        <v>108251.8658890144</v>
      </c>
      <c r="J620">
        <v>202972.66105267199</v>
      </c>
      <c r="K620">
        <v>70201.242459386965</v>
      </c>
      <c r="L620">
        <v>2751603.292009702</v>
      </c>
      <c r="M620">
        <v>951684.66951464606</v>
      </c>
    </row>
    <row r="621" spans="1:13">
      <c r="A621">
        <v>2038</v>
      </c>
      <c r="B621" t="s">
        <v>74</v>
      </c>
      <c r="C621" t="s">
        <v>80</v>
      </c>
      <c r="D621" t="s">
        <v>85</v>
      </c>
      <c r="E621" t="s">
        <v>88</v>
      </c>
      <c r="F621" t="s">
        <v>89</v>
      </c>
      <c r="G621">
        <v>703860.00252801715</v>
      </c>
      <c r="H621">
        <v>6.7269999055659238</v>
      </c>
      <c r="I621">
        <v>83808.594711608981</v>
      </c>
      <c r="J621">
        <v>151494.6254795526</v>
      </c>
      <c r="K621">
        <v>49131.918714888678</v>
      </c>
      <c r="L621">
        <v>2053740.183674979</v>
      </c>
      <c r="M621">
        <v>666057.92414357793</v>
      </c>
    </row>
    <row r="622" spans="1:13">
      <c r="A622">
        <v>2038</v>
      </c>
      <c r="B622" t="s">
        <v>74</v>
      </c>
      <c r="C622" t="s">
        <v>90</v>
      </c>
      <c r="D622" t="s">
        <v>81</v>
      </c>
      <c r="E622" t="s">
        <v>82</v>
      </c>
      <c r="F622" t="s">
        <v>83</v>
      </c>
      <c r="G622">
        <v>312731.72314785171</v>
      </c>
      <c r="H622">
        <v>2.9713312794111859</v>
      </c>
      <c r="I622">
        <v>177291.092339328</v>
      </c>
      <c r="J622">
        <v>395479.36403229128</v>
      </c>
      <c r="K622">
        <v>145188.61461544709</v>
      </c>
      <c r="L622">
        <v>5361324.5958812376</v>
      </c>
      <c r="M622">
        <v>1968252.610308541</v>
      </c>
    </row>
    <row r="623" spans="1:13">
      <c r="A623">
        <v>2038</v>
      </c>
      <c r="B623" t="s">
        <v>74</v>
      </c>
      <c r="C623" t="s">
        <v>90</v>
      </c>
      <c r="D623" t="s">
        <v>81</v>
      </c>
      <c r="E623" t="s">
        <v>82</v>
      </c>
      <c r="F623" t="s">
        <v>84</v>
      </c>
      <c r="G623">
        <v>300209.27436608908</v>
      </c>
      <c r="H623">
        <v>2.8572102401447421</v>
      </c>
      <c r="I623">
        <v>122527.4705643183</v>
      </c>
      <c r="J623">
        <v>267226.78263222368</v>
      </c>
      <c r="K623">
        <v>97421.779343826231</v>
      </c>
      <c r="L623">
        <v>3622665.688031625</v>
      </c>
      <c r="M623">
        <v>1320700.469539349</v>
      </c>
    </row>
    <row r="624" spans="1:13">
      <c r="A624">
        <v>2038</v>
      </c>
      <c r="B624" t="s">
        <v>74</v>
      </c>
      <c r="C624" t="s">
        <v>90</v>
      </c>
      <c r="D624" t="s">
        <v>85</v>
      </c>
      <c r="E624" t="s">
        <v>82</v>
      </c>
      <c r="F624" t="s">
        <v>86</v>
      </c>
      <c r="G624">
        <v>274661.34809749841</v>
      </c>
      <c r="H624">
        <v>2.6250203962128609</v>
      </c>
      <c r="I624">
        <v>32703.92055660404</v>
      </c>
      <c r="J624">
        <v>59116.469062444383</v>
      </c>
      <c r="K624">
        <v>19172.333958997591</v>
      </c>
      <c r="L624">
        <v>801413.69798565924</v>
      </c>
      <c r="M624">
        <v>259910.16210501961</v>
      </c>
    </row>
    <row r="625" spans="1:13">
      <c r="A625">
        <v>2038</v>
      </c>
      <c r="B625" t="s">
        <v>74</v>
      </c>
      <c r="C625" t="s">
        <v>90</v>
      </c>
      <c r="D625" t="s">
        <v>85</v>
      </c>
      <c r="E625" t="s">
        <v>82</v>
      </c>
      <c r="F625" t="s">
        <v>87</v>
      </c>
      <c r="G625">
        <v>274661.34809749841</v>
      </c>
      <c r="H625">
        <v>2.6250203962128609</v>
      </c>
      <c r="I625">
        <v>32703.92055660404</v>
      </c>
      <c r="J625">
        <v>59116.469062444383</v>
      </c>
      <c r="K625">
        <v>19172.333958997591</v>
      </c>
      <c r="L625">
        <v>801413.69798565924</v>
      </c>
      <c r="M625">
        <v>259910.16210501961</v>
      </c>
    </row>
    <row r="626" spans="1:13">
      <c r="A626">
        <v>2038</v>
      </c>
      <c r="B626" t="s">
        <v>74</v>
      </c>
      <c r="C626" t="s">
        <v>90</v>
      </c>
      <c r="D626" t="s">
        <v>85</v>
      </c>
      <c r="E626" t="s">
        <v>88</v>
      </c>
      <c r="F626" t="s">
        <v>89</v>
      </c>
      <c r="G626">
        <v>274661.34809749841</v>
      </c>
      <c r="H626">
        <v>2.6250203962128609</v>
      </c>
      <c r="I626">
        <v>32703.92055660404</v>
      </c>
      <c r="J626">
        <v>59116.469062444383</v>
      </c>
      <c r="K626">
        <v>19172.333958997591</v>
      </c>
      <c r="L626">
        <v>801413.69798565924</v>
      </c>
      <c r="M626">
        <v>259910.16210501961</v>
      </c>
    </row>
    <row r="627" spans="1:13">
      <c r="A627">
        <v>2038</v>
      </c>
      <c r="B627" t="s">
        <v>74</v>
      </c>
      <c r="C627" t="s">
        <v>91</v>
      </c>
      <c r="D627" t="s">
        <v>81</v>
      </c>
      <c r="E627" t="s">
        <v>82</v>
      </c>
      <c r="F627" t="s">
        <v>83</v>
      </c>
      <c r="G627">
        <v>769345.17477076908</v>
      </c>
      <c r="H627">
        <v>7.3097137682437747</v>
      </c>
      <c r="I627">
        <v>436150.33693468722</v>
      </c>
      <c r="J627">
        <v>972911.02219204442</v>
      </c>
      <c r="K627">
        <v>357175.66149577347</v>
      </c>
      <c r="L627">
        <v>13189289.422586059</v>
      </c>
      <c r="M627">
        <v>4842059.6197557477</v>
      </c>
    </row>
    <row r="628" spans="1:13">
      <c r="A628">
        <v>2038</v>
      </c>
      <c r="B628" t="s">
        <v>74</v>
      </c>
      <c r="C628" t="s">
        <v>91</v>
      </c>
      <c r="D628" t="s">
        <v>81</v>
      </c>
      <c r="E628" t="s">
        <v>82</v>
      </c>
      <c r="F628" t="s">
        <v>84</v>
      </c>
      <c r="G628">
        <v>756822.72598900669</v>
      </c>
      <c r="H628">
        <v>7.1955927289773314</v>
      </c>
      <c r="I628">
        <v>381386.71515967761</v>
      </c>
      <c r="J628">
        <v>844658.44079197699</v>
      </c>
      <c r="K628">
        <v>309408.82622415258</v>
      </c>
      <c r="L628">
        <v>11450630.514736449</v>
      </c>
      <c r="M628">
        <v>4194507.4789865576</v>
      </c>
    </row>
    <row r="629" spans="1:13">
      <c r="A629">
        <v>2038</v>
      </c>
      <c r="B629" t="s">
        <v>74</v>
      </c>
      <c r="C629" t="s">
        <v>91</v>
      </c>
      <c r="D629" t="s">
        <v>85</v>
      </c>
      <c r="E629" t="s">
        <v>82</v>
      </c>
      <c r="F629" t="s">
        <v>86</v>
      </c>
      <c r="G629">
        <v>690255.46198263473</v>
      </c>
      <c r="H629">
        <v>6.5889595944795216</v>
      </c>
      <c r="I629">
        <v>90802.733860702108</v>
      </c>
      <c r="J629">
        <v>164185.515038001</v>
      </c>
      <c r="K629">
        <v>55953.213840553602</v>
      </c>
      <c r="L629">
        <v>2225784.5038629891</v>
      </c>
      <c r="M629">
        <v>758530.95980367903</v>
      </c>
    </row>
    <row r="630" spans="1:13">
      <c r="A630">
        <v>2038</v>
      </c>
      <c r="B630" t="s">
        <v>74</v>
      </c>
      <c r="C630" t="s">
        <v>91</v>
      </c>
      <c r="D630" t="s">
        <v>85</v>
      </c>
      <c r="E630" t="s">
        <v>82</v>
      </c>
      <c r="F630" t="s">
        <v>87</v>
      </c>
      <c r="G630">
        <v>690255.46198263473</v>
      </c>
      <c r="H630">
        <v>6.5889595944795216</v>
      </c>
      <c r="I630">
        <v>90802.733860702108</v>
      </c>
      <c r="J630">
        <v>164185.515038001</v>
      </c>
      <c r="K630">
        <v>55953.213840553602</v>
      </c>
      <c r="L630">
        <v>2225784.5038629891</v>
      </c>
      <c r="M630">
        <v>758530.95980367903</v>
      </c>
    </row>
    <row r="631" spans="1:13">
      <c r="A631">
        <v>2038</v>
      </c>
      <c r="B631" t="s">
        <v>74</v>
      </c>
      <c r="C631" t="s">
        <v>91</v>
      </c>
      <c r="D631" t="s">
        <v>85</v>
      </c>
      <c r="E631" t="s">
        <v>88</v>
      </c>
      <c r="F631" t="s">
        <v>89</v>
      </c>
      <c r="G631">
        <v>675688.99223870283</v>
      </c>
      <c r="H631">
        <v>6.4577611608222627</v>
      </c>
      <c r="I631">
        <v>80454.273148409018</v>
      </c>
      <c r="J631">
        <v>145431.26538261291</v>
      </c>
      <c r="K631">
        <v>47165.482516383723</v>
      </c>
      <c r="L631">
        <v>1971542.110708639</v>
      </c>
      <c r="M631">
        <v>639399.88906993251</v>
      </c>
    </row>
    <row r="632" spans="1:13">
      <c r="A632">
        <v>2039</v>
      </c>
      <c r="B632" t="s">
        <v>72</v>
      </c>
      <c r="C632" t="s">
        <v>80</v>
      </c>
      <c r="D632" t="s">
        <v>81</v>
      </c>
      <c r="E632" t="s">
        <v>82</v>
      </c>
      <c r="F632" t="s">
        <v>83</v>
      </c>
      <c r="G632">
        <v>2144425.3914561709</v>
      </c>
      <c r="H632">
        <v>19.808843376485751</v>
      </c>
      <c r="I632">
        <v>265469.76051358879</v>
      </c>
      <c r="J632">
        <v>490077.20938412228</v>
      </c>
      <c r="K632">
        <v>213683.17977377921</v>
      </c>
      <c r="L632">
        <v>278.15382666946948</v>
      </c>
      <c r="M632">
        <v>3895292.6665585251</v>
      </c>
    </row>
    <row r="633" spans="1:13">
      <c r="A633">
        <v>2039</v>
      </c>
      <c r="B633" t="s">
        <v>72</v>
      </c>
      <c r="C633" t="s">
        <v>80</v>
      </c>
      <c r="D633" t="s">
        <v>81</v>
      </c>
      <c r="E633" t="s">
        <v>82</v>
      </c>
      <c r="F633" t="s">
        <v>84</v>
      </c>
      <c r="G633">
        <v>2144359.9375716872</v>
      </c>
      <c r="H633">
        <v>19.808248988368138</v>
      </c>
      <c r="I633">
        <v>265376.38912004168</v>
      </c>
      <c r="J633">
        <v>489903.83567238011</v>
      </c>
      <c r="K633">
        <v>213601.51554014321</v>
      </c>
      <c r="L633">
        <v>278.03106212857313</v>
      </c>
      <c r="M633">
        <v>3894888.934992264</v>
      </c>
    </row>
    <row r="634" spans="1:13">
      <c r="A634">
        <v>2039</v>
      </c>
      <c r="B634" t="s">
        <v>72</v>
      </c>
      <c r="C634" t="s">
        <v>80</v>
      </c>
      <c r="D634" t="s">
        <v>85</v>
      </c>
      <c r="E634" t="s">
        <v>82</v>
      </c>
      <c r="F634" t="s">
        <v>86</v>
      </c>
      <c r="G634">
        <v>2137646.8628182649</v>
      </c>
      <c r="H634">
        <v>19.747287413703852</v>
      </c>
      <c r="I634">
        <v>255800.04159462711</v>
      </c>
      <c r="J634">
        <v>472122.29839056073</v>
      </c>
      <c r="K634">
        <v>205225.87657851339</v>
      </c>
      <c r="L634">
        <v>265.44009756481142</v>
      </c>
      <c r="M634">
        <v>3853481.4584770319</v>
      </c>
    </row>
    <row r="635" spans="1:13">
      <c r="A635">
        <v>2039</v>
      </c>
      <c r="B635" t="s">
        <v>72</v>
      </c>
      <c r="C635" t="s">
        <v>80</v>
      </c>
      <c r="D635" t="s">
        <v>85</v>
      </c>
      <c r="E635" t="s">
        <v>82</v>
      </c>
      <c r="F635" t="s">
        <v>87</v>
      </c>
      <c r="G635">
        <v>2137646.8628182649</v>
      </c>
      <c r="H635">
        <v>19.747287413703852</v>
      </c>
      <c r="I635">
        <v>255800.04159462711</v>
      </c>
      <c r="J635">
        <v>472122.29839056073</v>
      </c>
      <c r="K635">
        <v>205225.87657851339</v>
      </c>
      <c r="L635">
        <v>265.44009756481142</v>
      </c>
      <c r="M635">
        <v>3853481.4584770319</v>
      </c>
    </row>
    <row r="636" spans="1:13">
      <c r="A636">
        <v>2039</v>
      </c>
      <c r="B636" t="s">
        <v>72</v>
      </c>
      <c r="C636" t="s">
        <v>80</v>
      </c>
      <c r="D636" t="s">
        <v>85</v>
      </c>
      <c r="E636" t="s">
        <v>88</v>
      </c>
      <c r="F636" t="s">
        <v>89</v>
      </c>
      <c r="G636">
        <v>2137426.3907097182</v>
      </c>
      <c r="H636">
        <v>19.74530388832801</v>
      </c>
      <c r="I636">
        <v>255518.09252655011</v>
      </c>
      <c r="J636">
        <v>471583.43226864107</v>
      </c>
      <c r="K636">
        <v>204977.53677812481</v>
      </c>
      <c r="L636">
        <v>265.40933147963119</v>
      </c>
      <c r="M636">
        <v>3853401.4405287812</v>
      </c>
    </row>
    <row r="637" spans="1:13">
      <c r="A637">
        <v>2039</v>
      </c>
      <c r="B637" t="s">
        <v>72</v>
      </c>
      <c r="C637" t="s">
        <v>90</v>
      </c>
      <c r="D637" t="s">
        <v>81</v>
      </c>
      <c r="E637" t="s">
        <v>82</v>
      </c>
      <c r="F637" t="s">
        <v>83</v>
      </c>
      <c r="G637">
        <v>802836.20344526519</v>
      </c>
      <c r="H637">
        <v>7.4160922895156576</v>
      </c>
      <c r="I637">
        <v>99387.339615265621</v>
      </c>
      <c r="J637">
        <v>183476.52837193169</v>
      </c>
      <c r="K637">
        <v>79999.329178433327</v>
      </c>
      <c r="L637">
        <v>104.1360371252876</v>
      </c>
      <c r="M637">
        <v>1458330.9767678371</v>
      </c>
    </row>
    <row r="638" spans="1:13">
      <c r="A638">
        <v>2039</v>
      </c>
      <c r="B638" t="s">
        <v>72</v>
      </c>
      <c r="C638" t="s">
        <v>90</v>
      </c>
      <c r="D638" t="s">
        <v>81</v>
      </c>
      <c r="E638" t="s">
        <v>82</v>
      </c>
      <c r="F638" t="s">
        <v>84</v>
      </c>
      <c r="G638">
        <v>802770.74956078047</v>
      </c>
      <c r="H638">
        <v>7.4154979013980453</v>
      </c>
      <c r="I638">
        <v>99293.968221718431</v>
      </c>
      <c r="J638">
        <v>183303.1546601895</v>
      </c>
      <c r="K638">
        <v>79917.66494479726</v>
      </c>
      <c r="L638">
        <v>104.0132725843912</v>
      </c>
      <c r="M638">
        <v>1457927.2452015751</v>
      </c>
    </row>
    <row r="639" spans="1:13">
      <c r="A639">
        <v>2039</v>
      </c>
      <c r="B639" t="s">
        <v>72</v>
      </c>
      <c r="C639" t="s">
        <v>90</v>
      </c>
      <c r="D639" t="s">
        <v>85</v>
      </c>
      <c r="E639" t="s">
        <v>82</v>
      </c>
      <c r="F639" t="s">
        <v>86</v>
      </c>
      <c r="G639">
        <v>796057.67480735958</v>
      </c>
      <c r="H639">
        <v>7.3545363267337596</v>
      </c>
      <c r="I639">
        <v>89717.620696304002</v>
      </c>
      <c r="J639">
        <v>165521.61737837031</v>
      </c>
      <c r="K639">
        <v>71542.025983167579</v>
      </c>
      <c r="L639">
        <v>91.4223080206296</v>
      </c>
      <c r="M639">
        <v>1416519.768686346</v>
      </c>
    </row>
    <row r="640" spans="1:13">
      <c r="A640">
        <v>2039</v>
      </c>
      <c r="B640" t="s">
        <v>72</v>
      </c>
      <c r="C640" t="s">
        <v>90</v>
      </c>
      <c r="D640" t="s">
        <v>85</v>
      </c>
      <c r="E640" t="s">
        <v>82</v>
      </c>
      <c r="F640" t="s">
        <v>87</v>
      </c>
      <c r="G640">
        <v>796057.67480735958</v>
      </c>
      <c r="H640">
        <v>7.3545363267337596</v>
      </c>
      <c r="I640">
        <v>89717.620696304002</v>
      </c>
      <c r="J640">
        <v>165521.61737837031</v>
      </c>
      <c r="K640">
        <v>71542.025983167579</v>
      </c>
      <c r="L640">
        <v>91.4223080206296</v>
      </c>
      <c r="M640">
        <v>1416519.768686346</v>
      </c>
    </row>
    <row r="641" spans="1:13">
      <c r="A641">
        <v>2039</v>
      </c>
      <c r="B641" t="s">
        <v>72</v>
      </c>
      <c r="C641" t="s">
        <v>90</v>
      </c>
      <c r="D641" t="s">
        <v>85</v>
      </c>
      <c r="E641" t="s">
        <v>88</v>
      </c>
      <c r="F641" t="s">
        <v>89</v>
      </c>
      <c r="G641">
        <v>795837.20269881142</v>
      </c>
      <c r="H641">
        <v>7.3525528013579109</v>
      </c>
      <c r="I641">
        <v>89435.671628226832</v>
      </c>
      <c r="J641">
        <v>164982.75125645049</v>
      </c>
      <c r="K641">
        <v>71293.686182778882</v>
      </c>
      <c r="L641">
        <v>91.391541935449226</v>
      </c>
      <c r="M641">
        <v>1416439.7507380929</v>
      </c>
    </row>
    <row r="642" spans="1:13">
      <c r="A642">
        <v>2039</v>
      </c>
      <c r="B642" t="s">
        <v>72</v>
      </c>
      <c r="C642" t="s">
        <v>91</v>
      </c>
      <c r="D642" t="s">
        <v>81</v>
      </c>
      <c r="E642" t="s">
        <v>82</v>
      </c>
      <c r="F642" t="s">
        <v>83</v>
      </c>
      <c r="G642">
        <v>2040729.1451638441</v>
      </c>
      <c r="H642">
        <v>18.850963139794771</v>
      </c>
      <c r="I642">
        <v>252632.6537627267</v>
      </c>
      <c r="J642">
        <v>466378.94167612639</v>
      </c>
      <c r="K642">
        <v>203350.2748722462</v>
      </c>
      <c r="L642">
        <v>264.70336677826089</v>
      </c>
      <c r="M642">
        <v>3706931.1458726218</v>
      </c>
    </row>
    <row r="643" spans="1:13">
      <c r="A643">
        <v>2039</v>
      </c>
      <c r="B643" t="s">
        <v>72</v>
      </c>
      <c r="C643" t="s">
        <v>91</v>
      </c>
      <c r="D643" t="s">
        <v>81</v>
      </c>
      <c r="E643" t="s">
        <v>82</v>
      </c>
      <c r="F643" t="s">
        <v>84</v>
      </c>
      <c r="G643">
        <v>2040663.6912793601</v>
      </c>
      <c r="H643">
        <v>18.850368751677159</v>
      </c>
      <c r="I643">
        <v>252539.28236917959</v>
      </c>
      <c r="J643">
        <v>466205.56796438422</v>
      </c>
      <c r="K643">
        <v>203268.6106386102</v>
      </c>
      <c r="L643">
        <v>264.58060223736459</v>
      </c>
      <c r="M643">
        <v>3706527.4143063612</v>
      </c>
    </row>
    <row r="644" spans="1:13">
      <c r="A644">
        <v>2039</v>
      </c>
      <c r="B644" t="s">
        <v>72</v>
      </c>
      <c r="C644" t="s">
        <v>91</v>
      </c>
      <c r="D644" t="s">
        <v>85</v>
      </c>
      <c r="E644" t="s">
        <v>82</v>
      </c>
      <c r="F644" t="s">
        <v>86</v>
      </c>
      <c r="G644">
        <v>2033950.616525939</v>
      </c>
      <c r="H644">
        <v>18.789407177012869</v>
      </c>
      <c r="I644">
        <v>242962.93484376499</v>
      </c>
      <c r="J644">
        <v>448424.03068256489</v>
      </c>
      <c r="K644">
        <v>194892.97167698041</v>
      </c>
      <c r="L644">
        <v>251.98963767360291</v>
      </c>
      <c r="M644">
        <v>3665119.93779113</v>
      </c>
    </row>
    <row r="645" spans="1:13">
      <c r="A645">
        <v>2039</v>
      </c>
      <c r="B645" t="s">
        <v>72</v>
      </c>
      <c r="C645" t="s">
        <v>91</v>
      </c>
      <c r="D645" t="s">
        <v>85</v>
      </c>
      <c r="E645" t="s">
        <v>82</v>
      </c>
      <c r="F645" t="s">
        <v>87</v>
      </c>
      <c r="G645">
        <v>2033950.616525939</v>
      </c>
      <c r="H645">
        <v>18.789407177012869</v>
      </c>
      <c r="I645">
        <v>242962.93484376499</v>
      </c>
      <c r="J645">
        <v>448424.03068256489</v>
      </c>
      <c r="K645">
        <v>194892.97167698041</v>
      </c>
      <c r="L645">
        <v>251.98963767360291</v>
      </c>
      <c r="M645">
        <v>3665119.93779113</v>
      </c>
    </row>
    <row r="646" spans="1:13">
      <c r="A646">
        <v>2039</v>
      </c>
      <c r="B646" t="s">
        <v>72</v>
      </c>
      <c r="C646" t="s">
        <v>91</v>
      </c>
      <c r="D646" t="s">
        <v>85</v>
      </c>
      <c r="E646" t="s">
        <v>88</v>
      </c>
      <c r="F646" t="s">
        <v>89</v>
      </c>
      <c r="G646">
        <v>2033730.14441739</v>
      </c>
      <c r="H646">
        <v>18.78742365163702</v>
      </c>
      <c r="I646">
        <v>242680.98577568791</v>
      </c>
      <c r="J646">
        <v>447885.16456064518</v>
      </c>
      <c r="K646">
        <v>194644.63187659171</v>
      </c>
      <c r="L646">
        <v>251.95887158842251</v>
      </c>
      <c r="M646">
        <v>3665039.919842877</v>
      </c>
    </row>
    <row r="647" spans="1:13">
      <c r="A647">
        <v>2039</v>
      </c>
      <c r="B647" t="s">
        <v>73</v>
      </c>
      <c r="C647" t="s">
        <v>80</v>
      </c>
      <c r="D647" t="s">
        <v>81</v>
      </c>
      <c r="E647" t="s">
        <v>82</v>
      </c>
      <c r="F647" t="s">
        <v>83</v>
      </c>
      <c r="G647">
        <v>78069071.934105352</v>
      </c>
      <c r="H647">
        <v>90.65754219960786</v>
      </c>
      <c r="I647">
        <v>898890.908695822</v>
      </c>
      <c r="J647">
        <v>1491475.59552416</v>
      </c>
      <c r="K647">
        <v>785211.5323477604</v>
      </c>
      <c r="L647">
        <v>1158.9506959909461</v>
      </c>
      <c r="M647">
        <v>18540302.162086591</v>
      </c>
    </row>
    <row r="648" spans="1:13">
      <c r="A648">
        <v>2039</v>
      </c>
      <c r="B648" t="s">
        <v>73</v>
      </c>
      <c r="C648" t="s">
        <v>80</v>
      </c>
      <c r="D648" t="s">
        <v>81</v>
      </c>
      <c r="E648" t="s">
        <v>82</v>
      </c>
      <c r="F648" t="s">
        <v>84</v>
      </c>
      <c r="G648">
        <v>77996477.838773757</v>
      </c>
      <c r="H648">
        <v>88.632826847351424</v>
      </c>
      <c r="I648">
        <v>851646.38612271915</v>
      </c>
      <c r="J648">
        <v>1418422.318510768</v>
      </c>
      <c r="K648">
        <v>735511.11543669878</v>
      </c>
      <c r="L648">
        <v>1070.1973829640181</v>
      </c>
      <c r="M648">
        <v>18449051.27698769</v>
      </c>
    </row>
    <row r="649" spans="1:13">
      <c r="A649">
        <v>2039</v>
      </c>
      <c r="B649" t="s">
        <v>73</v>
      </c>
      <c r="C649" t="s">
        <v>80</v>
      </c>
      <c r="D649" t="s">
        <v>85</v>
      </c>
      <c r="E649" t="s">
        <v>82</v>
      </c>
      <c r="F649" t="s">
        <v>86</v>
      </c>
      <c r="G649">
        <v>77620823.05148235</v>
      </c>
      <c r="H649">
        <v>78.155473124528328</v>
      </c>
      <c r="I649">
        <v>607168.77404127293</v>
      </c>
      <c r="J649">
        <v>1040391.390347119</v>
      </c>
      <c r="K649">
        <v>478324.91513024789</v>
      </c>
      <c r="L649">
        <v>610.92301947424005</v>
      </c>
      <c r="M649">
        <v>17976852.654284328</v>
      </c>
    </row>
    <row r="650" spans="1:13">
      <c r="A650">
        <v>2039</v>
      </c>
      <c r="B650" t="s">
        <v>73</v>
      </c>
      <c r="C650" t="s">
        <v>80</v>
      </c>
      <c r="D650" t="s">
        <v>85</v>
      </c>
      <c r="E650" t="s">
        <v>82</v>
      </c>
      <c r="F650" t="s">
        <v>87</v>
      </c>
      <c r="G650">
        <v>77620823.05148235</v>
      </c>
      <c r="H650">
        <v>78.155473124528328</v>
      </c>
      <c r="I650">
        <v>607168.77404127293</v>
      </c>
      <c r="J650">
        <v>1040391.390347119</v>
      </c>
      <c r="K650">
        <v>478324.91513024789</v>
      </c>
      <c r="L650">
        <v>610.92301947424005</v>
      </c>
      <c r="M650">
        <v>17976852.654284328</v>
      </c>
    </row>
    <row r="651" spans="1:13">
      <c r="A651">
        <v>2039</v>
      </c>
      <c r="B651" t="s">
        <v>73</v>
      </c>
      <c r="C651" t="s">
        <v>80</v>
      </c>
      <c r="D651" t="s">
        <v>85</v>
      </c>
      <c r="E651" t="s">
        <v>88</v>
      </c>
      <c r="F651" t="s">
        <v>89</v>
      </c>
      <c r="G651">
        <v>75971551.701414555</v>
      </c>
      <c r="H651">
        <v>71.005197849545141</v>
      </c>
      <c r="I651">
        <v>563986.61573527125</v>
      </c>
      <c r="J651">
        <v>962133.47353759641</v>
      </c>
      <c r="K651">
        <v>441655.38371480443</v>
      </c>
      <c r="L651">
        <v>567.84149346237996</v>
      </c>
      <c r="M651">
        <v>18070750.478965029</v>
      </c>
    </row>
    <row r="652" spans="1:13">
      <c r="A652">
        <v>2039</v>
      </c>
      <c r="B652" t="s">
        <v>73</v>
      </c>
      <c r="C652" t="s">
        <v>90</v>
      </c>
      <c r="D652" t="s">
        <v>81</v>
      </c>
      <c r="E652" t="s">
        <v>82</v>
      </c>
      <c r="F652" t="s">
        <v>83</v>
      </c>
      <c r="G652">
        <v>58671379.064613581</v>
      </c>
      <c r="H652">
        <v>68.132012994197368</v>
      </c>
      <c r="I652">
        <v>675544.97492095619</v>
      </c>
      <c r="J652">
        <v>1120891.1270839621</v>
      </c>
      <c r="K652">
        <v>590111.3247403109</v>
      </c>
      <c r="L652">
        <v>870.98813803084465</v>
      </c>
      <c r="M652">
        <v>13933624.02261433</v>
      </c>
    </row>
    <row r="653" spans="1:13">
      <c r="A653">
        <v>2039</v>
      </c>
      <c r="B653" t="s">
        <v>73</v>
      </c>
      <c r="C653" t="s">
        <v>90</v>
      </c>
      <c r="D653" t="s">
        <v>81</v>
      </c>
      <c r="E653" t="s">
        <v>82</v>
      </c>
      <c r="F653" t="s">
        <v>84</v>
      </c>
      <c r="G653">
        <v>58598784.969281986</v>
      </c>
      <c r="H653">
        <v>66.107297641940917</v>
      </c>
      <c r="I653">
        <v>628300.45234785322</v>
      </c>
      <c r="J653">
        <v>1047837.85007057</v>
      </c>
      <c r="K653">
        <v>540410.90782924916</v>
      </c>
      <c r="L653">
        <v>782.23482500391719</v>
      </c>
      <c r="M653">
        <v>13842373.137515441</v>
      </c>
    </row>
    <row r="654" spans="1:13">
      <c r="A654">
        <v>2039</v>
      </c>
      <c r="B654" t="s">
        <v>73</v>
      </c>
      <c r="C654" t="s">
        <v>90</v>
      </c>
      <c r="D654" t="s">
        <v>85</v>
      </c>
      <c r="E654" t="s">
        <v>82</v>
      </c>
      <c r="F654" t="s">
        <v>86</v>
      </c>
      <c r="G654">
        <v>58223130.181990556</v>
      </c>
      <c r="H654">
        <v>55.629943919117828</v>
      </c>
      <c r="I654">
        <v>383822.840266407</v>
      </c>
      <c r="J654">
        <v>669806.92190692155</v>
      </c>
      <c r="K654">
        <v>283224.70752279827</v>
      </c>
      <c r="L654">
        <v>322.96046151413913</v>
      </c>
      <c r="M654">
        <v>13370174.514812071</v>
      </c>
    </row>
    <row r="655" spans="1:13">
      <c r="A655">
        <v>2039</v>
      </c>
      <c r="B655" t="s">
        <v>73</v>
      </c>
      <c r="C655" t="s">
        <v>90</v>
      </c>
      <c r="D655" t="s">
        <v>85</v>
      </c>
      <c r="E655" t="s">
        <v>82</v>
      </c>
      <c r="F655" t="s">
        <v>87</v>
      </c>
      <c r="G655">
        <v>58223130.181990556</v>
      </c>
      <c r="H655">
        <v>55.629943919117828</v>
      </c>
      <c r="I655">
        <v>383822.840266407</v>
      </c>
      <c r="J655">
        <v>669806.92190692155</v>
      </c>
      <c r="K655">
        <v>283224.70752279827</v>
      </c>
      <c r="L655">
        <v>322.96046151413913</v>
      </c>
      <c r="M655">
        <v>13370174.514812071</v>
      </c>
    </row>
    <row r="656" spans="1:13">
      <c r="A656">
        <v>2039</v>
      </c>
      <c r="B656" t="s">
        <v>73</v>
      </c>
      <c r="C656" t="s">
        <v>90</v>
      </c>
      <c r="D656" t="s">
        <v>85</v>
      </c>
      <c r="E656" t="s">
        <v>88</v>
      </c>
      <c r="F656" t="s">
        <v>89</v>
      </c>
      <c r="G656">
        <v>56573858.831922777</v>
      </c>
      <c r="H656">
        <v>48.479668644134641</v>
      </c>
      <c r="I656">
        <v>340640.68196040537</v>
      </c>
      <c r="J656">
        <v>591549.00509739865</v>
      </c>
      <c r="K656">
        <v>246555.17610735499</v>
      </c>
      <c r="L656">
        <v>279.87893550227898</v>
      </c>
      <c r="M656">
        <v>13464072.339492779</v>
      </c>
    </row>
    <row r="657" spans="1:13">
      <c r="A657">
        <v>2039</v>
      </c>
      <c r="B657" t="s">
        <v>73</v>
      </c>
      <c r="C657" t="s">
        <v>91</v>
      </c>
      <c r="D657" t="s">
        <v>81</v>
      </c>
      <c r="E657" t="s">
        <v>82</v>
      </c>
      <c r="F657" t="s">
        <v>83</v>
      </c>
      <c r="G657">
        <v>73353601.83131595</v>
      </c>
      <c r="H657">
        <v>85.181712665020228</v>
      </c>
      <c r="I657">
        <v>844596.76761518966</v>
      </c>
      <c r="J657">
        <v>1401388.594289273</v>
      </c>
      <c r="K657">
        <v>737783.76853014308</v>
      </c>
      <c r="L657">
        <v>1088.94861677877</v>
      </c>
      <c r="M657">
        <v>17420444.60036492</v>
      </c>
    </row>
    <row r="658" spans="1:13">
      <c r="A658">
        <v>2039</v>
      </c>
      <c r="B658" t="s">
        <v>73</v>
      </c>
      <c r="C658" t="s">
        <v>91</v>
      </c>
      <c r="D658" t="s">
        <v>81</v>
      </c>
      <c r="E658" t="s">
        <v>82</v>
      </c>
      <c r="F658" t="s">
        <v>84</v>
      </c>
      <c r="G658">
        <v>73281007.735984355</v>
      </c>
      <c r="H658">
        <v>83.156997312763792</v>
      </c>
      <c r="I658">
        <v>797352.24504208658</v>
      </c>
      <c r="J658">
        <v>1328335.3172758811</v>
      </c>
      <c r="K658">
        <v>688083.35161908134</v>
      </c>
      <c r="L658">
        <v>1000.1953037518419</v>
      </c>
      <c r="M658">
        <v>17329193.715266019</v>
      </c>
    </row>
    <row r="659" spans="1:13">
      <c r="A659">
        <v>2039</v>
      </c>
      <c r="B659" t="s">
        <v>73</v>
      </c>
      <c r="C659" t="s">
        <v>91</v>
      </c>
      <c r="D659" t="s">
        <v>85</v>
      </c>
      <c r="E659" t="s">
        <v>82</v>
      </c>
      <c r="F659" t="s">
        <v>86</v>
      </c>
      <c r="G659">
        <v>72905352.948692933</v>
      </c>
      <c r="H659">
        <v>72.679643589940696</v>
      </c>
      <c r="I659">
        <v>552874.63296064048</v>
      </c>
      <c r="J659">
        <v>950304.3891122326</v>
      </c>
      <c r="K659">
        <v>430897.15131263062</v>
      </c>
      <c r="L659">
        <v>540.92094026206428</v>
      </c>
      <c r="M659">
        <v>16856995.092562649</v>
      </c>
    </row>
    <row r="660" spans="1:13">
      <c r="A660">
        <v>2039</v>
      </c>
      <c r="B660" t="s">
        <v>73</v>
      </c>
      <c r="C660" t="s">
        <v>91</v>
      </c>
      <c r="D660" t="s">
        <v>85</v>
      </c>
      <c r="E660" t="s">
        <v>82</v>
      </c>
      <c r="F660" t="s">
        <v>87</v>
      </c>
      <c r="G660">
        <v>72905352.948692933</v>
      </c>
      <c r="H660">
        <v>72.679643589940696</v>
      </c>
      <c r="I660">
        <v>552874.63296064048</v>
      </c>
      <c r="J660">
        <v>950304.3891122326</v>
      </c>
      <c r="K660">
        <v>430897.15131263062</v>
      </c>
      <c r="L660">
        <v>540.92094026206428</v>
      </c>
      <c r="M660">
        <v>16856995.092562649</v>
      </c>
    </row>
    <row r="661" spans="1:13">
      <c r="A661">
        <v>2039</v>
      </c>
      <c r="B661" t="s">
        <v>73</v>
      </c>
      <c r="C661" t="s">
        <v>91</v>
      </c>
      <c r="D661" t="s">
        <v>85</v>
      </c>
      <c r="E661" t="s">
        <v>88</v>
      </c>
      <c r="F661" t="s">
        <v>89</v>
      </c>
      <c r="G661">
        <v>71256081.598625153</v>
      </c>
      <c r="H661">
        <v>65.529368314957509</v>
      </c>
      <c r="I661">
        <v>509692.47465463879</v>
      </c>
      <c r="J661">
        <v>872046.47230270971</v>
      </c>
      <c r="K661">
        <v>394227.61989718722</v>
      </c>
      <c r="L661">
        <v>497.83941425020419</v>
      </c>
      <c r="M661">
        <v>16950892.917243361</v>
      </c>
    </row>
    <row r="662" spans="1:13">
      <c r="A662">
        <v>2039</v>
      </c>
      <c r="B662" t="s">
        <v>74</v>
      </c>
      <c r="C662" t="s">
        <v>80</v>
      </c>
      <c r="D662" t="s">
        <v>81</v>
      </c>
      <c r="E662" t="s">
        <v>82</v>
      </c>
      <c r="F662" t="s">
        <v>83</v>
      </c>
      <c r="G662">
        <v>838139.96920670511</v>
      </c>
      <c r="H662">
        <v>7.9633478879634367</v>
      </c>
      <c r="I662">
        <v>475150.87109872629</v>
      </c>
      <c r="J662">
        <v>1059908.661185622</v>
      </c>
      <c r="K662">
        <v>389114.28542675811</v>
      </c>
      <c r="L662">
        <v>14368674.80685552</v>
      </c>
      <c r="M662">
        <v>5275036.2693940513</v>
      </c>
    </row>
    <row r="663" spans="1:13">
      <c r="A663">
        <v>2039</v>
      </c>
      <c r="B663" t="s">
        <v>74</v>
      </c>
      <c r="C663" t="s">
        <v>80</v>
      </c>
      <c r="D663" t="s">
        <v>81</v>
      </c>
      <c r="E663" t="s">
        <v>82</v>
      </c>
      <c r="F663" t="s">
        <v>84</v>
      </c>
      <c r="G663">
        <v>826794.94949746877</v>
      </c>
      <c r="H663">
        <v>7.8599571325065707</v>
      </c>
      <c r="I663">
        <v>425536.42433880077</v>
      </c>
      <c r="J663">
        <v>943715.08841866546</v>
      </c>
      <c r="K663">
        <v>345838.74906412407</v>
      </c>
      <c r="L663">
        <v>12793494.11169304</v>
      </c>
      <c r="M663">
        <v>4688370.5199214742</v>
      </c>
    </row>
    <row r="664" spans="1:13">
      <c r="A664">
        <v>2039</v>
      </c>
      <c r="B664" t="s">
        <v>74</v>
      </c>
      <c r="C664" t="s">
        <v>80</v>
      </c>
      <c r="D664" t="s">
        <v>85</v>
      </c>
      <c r="E664" t="s">
        <v>82</v>
      </c>
      <c r="F664" t="s">
        <v>86</v>
      </c>
      <c r="G664">
        <v>755400.17941427068</v>
      </c>
      <c r="H664">
        <v>7.2093139953631793</v>
      </c>
      <c r="I664">
        <v>113310.25726161931</v>
      </c>
      <c r="J664">
        <v>212503.18879645059</v>
      </c>
      <c r="K664">
        <v>73503.658599543851</v>
      </c>
      <c r="L664">
        <v>2880804.0985536212</v>
      </c>
      <c r="M664">
        <v>996453.94571033807</v>
      </c>
    </row>
    <row r="665" spans="1:13">
      <c r="A665">
        <v>2039</v>
      </c>
      <c r="B665" t="s">
        <v>74</v>
      </c>
      <c r="C665" t="s">
        <v>80</v>
      </c>
      <c r="D665" t="s">
        <v>85</v>
      </c>
      <c r="E665" t="s">
        <v>82</v>
      </c>
      <c r="F665" t="s">
        <v>87</v>
      </c>
      <c r="G665">
        <v>755400.17941427068</v>
      </c>
      <c r="H665">
        <v>7.2093139953631793</v>
      </c>
      <c r="I665">
        <v>113310.25726161931</v>
      </c>
      <c r="J665">
        <v>212503.18879645059</v>
      </c>
      <c r="K665">
        <v>73503.658599543851</v>
      </c>
      <c r="L665">
        <v>2880804.0985536212</v>
      </c>
      <c r="M665">
        <v>996453.94571033807</v>
      </c>
    </row>
    <row r="666" spans="1:13">
      <c r="A666">
        <v>2039</v>
      </c>
      <c r="B666" t="s">
        <v>74</v>
      </c>
      <c r="C666" t="s">
        <v>80</v>
      </c>
      <c r="D666" t="s">
        <v>85</v>
      </c>
      <c r="E666" t="s">
        <v>88</v>
      </c>
      <c r="F666" t="s">
        <v>89</v>
      </c>
      <c r="G666">
        <v>736109.05705231067</v>
      </c>
      <c r="H666">
        <v>7.0352137349643016</v>
      </c>
      <c r="I666">
        <v>87648.488910386819</v>
      </c>
      <c r="J666">
        <v>158435.71947506361</v>
      </c>
      <c r="K666">
        <v>51383.016830748064</v>
      </c>
      <c r="L666">
        <v>2147837.2753184708</v>
      </c>
      <c r="M666">
        <v>696574.98468814127</v>
      </c>
    </row>
    <row r="667" spans="1:13">
      <c r="A667">
        <v>2039</v>
      </c>
      <c r="B667" t="s">
        <v>74</v>
      </c>
      <c r="C667" t="s">
        <v>90</v>
      </c>
      <c r="D667" t="s">
        <v>81</v>
      </c>
      <c r="E667" t="s">
        <v>82</v>
      </c>
      <c r="F667" t="s">
        <v>83</v>
      </c>
      <c r="G667">
        <v>326666.50644543802</v>
      </c>
      <c r="H667">
        <v>3.1037286488470959</v>
      </c>
      <c r="I667">
        <v>185190.87598607011</v>
      </c>
      <c r="J667">
        <v>413101.23872087809</v>
      </c>
      <c r="K667">
        <v>151657.96752144111</v>
      </c>
      <c r="L667">
        <v>5600215.9231812954</v>
      </c>
      <c r="M667">
        <v>2055954.5336167531</v>
      </c>
    </row>
    <row r="668" spans="1:13">
      <c r="A668">
        <v>2039</v>
      </c>
      <c r="B668" t="s">
        <v>74</v>
      </c>
      <c r="C668" t="s">
        <v>90</v>
      </c>
      <c r="D668" t="s">
        <v>81</v>
      </c>
      <c r="E668" t="s">
        <v>82</v>
      </c>
      <c r="F668" t="s">
        <v>84</v>
      </c>
      <c r="G668">
        <v>315321.48673620168</v>
      </c>
      <c r="H668">
        <v>3.0003378933902289</v>
      </c>
      <c r="I668">
        <v>135576.4292261446</v>
      </c>
      <c r="J668">
        <v>296907.66595392162</v>
      </c>
      <c r="K668">
        <v>108382.431158807</v>
      </c>
      <c r="L668">
        <v>4025035.2280188161</v>
      </c>
      <c r="M668">
        <v>1469288.784144175</v>
      </c>
    </row>
    <row r="669" spans="1:13">
      <c r="A669">
        <v>2039</v>
      </c>
      <c r="B669" t="s">
        <v>74</v>
      </c>
      <c r="C669" t="s">
        <v>90</v>
      </c>
      <c r="D669" t="s">
        <v>85</v>
      </c>
      <c r="E669" t="s">
        <v>82</v>
      </c>
      <c r="F669" t="s">
        <v>86</v>
      </c>
      <c r="G669">
        <v>286899.78149797593</v>
      </c>
      <c r="H669">
        <v>2.7419867532065729</v>
      </c>
      <c r="I669">
        <v>34161.150547059158</v>
      </c>
      <c r="J669">
        <v>61750.596414194268</v>
      </c>
      <c r="K669">
        <v>20026.619914827152</v>
      </c>
      <c r="L669">
        <v>837123.30269329471</v>
      </c>
      <c r="M669">
        <v>271491.30823665683</v>
      </c>
    </row>
    <row r="670" spans="1:13">
      <c r="A670">
        <v>2039</v>
      </c>
      <c r="B670" t="s">
        <v>74</v>
      </c>
      <c r="C670" t="s">
        <v>90</v>
      </c>
      <c r="D670" t="s">
        <v>85</v>
      </c>
      <c r="E670" t="s">
        <v>82</v>
      </c>
      <c r="F670" t="s">
        <v>87</v>
      </c>
      <c r="G670">
        <v>286899.78149797593</v>
      </c>
      <c r="H670">
        <v>2.7419867532065729</v>
      </c>
      <c r="I670">
        <v>34161.150547059158</v>
      </c>
      <c r="J670">
        <v>61750.596414194268</v>
      </c>
      <c r="K670">
        <v>20026.619914827152</v>
      </c>
      <c r="L670">
        <v>837123.30269329471</v>
      </c>
      <c r="M670">
        <v>271491.30823665683</v>
      </c>
    </row>
    <row r="671" spans="1:13">
      <c r="A671">
        <v>2039</v>
      </c>
      <c r="B671" t="s">
        <v>74</v>
      </c>
      <c r="C671" t="s">
        <v>90</v>
      </c>
      <c r="D671" t="s">
        <v>85</v>
      </c>
      <c r="E671" t="s">
        <v>88</v>
      </c>
      <c r="F671" t="s">
        <v>89</v>
      </c>
      <c r="G671">
        <v>286899.78149797593</v>
      </c>
      <c r="H671">
        <v>2.7419867532065729</v>
      </c>
      <c r="I671">
        <v>34161.150547059158</v>
      </c>
      <c r="J671">
        <v>61750.596414194268</v>
      </c>
      <c r="K671">
        <v>20026.619914827152</v>
      </c>
      <c r="L671">
        <v>837123.30269329471</v>
      </c>
      <c r="M671">
        <v>271491.30823665683</v>
      </c>
    </row>
    <row r="672" spans="1:13">
      <c r="A672">
        <v>2039</v>
      </c>
      <c r="B672" t="s">
        <v>74</v>
      </c>
      <c r="C672" t="s">
        <v>91</v>
      </c>
      <c r="D672" t="s">
        <v>81</v>
      </c>
      <c r="E672" t="s">
        <v>82</v>
      </c>
      <c r="F672" t="s">
        <v>83</v>
      </c>
      <c r="G672">
        <v>803247.39378833398</v>
      </c>
      <c r="H672">
        <v>7.6318260336525334</v>
      </c>
      <c r="I672">
        <v>455369.88198707573</v>
      </c>
      <c r="J672">
        <v>1015783.641194023</v>
      </c>
      <c r="K672">
        <v>372915.08237065107</v>
      </c>
      <c r="L672">
        <v>13770493.01409984</v>
      </c>
      <c r="M672">
        <v>5055431.4210073482</v>
      </c>
    </row>
    <row r="673" spans="1:13">
      <c r="A673">
        <v>2039</v>
      </c>
      <c r="B673" t="s">
        <v>74</v>
      </c>
      <c r="C673" t="s">
        <v>91</v>
      </c>
      <c r="D673" t="s">
        <v>81</v>
      </c>
      <c r="E673" t="s">
        <v>82</v>
      </c>
      <c r="F673" t="s">
        <v>84</v>
      </c>
      <c r="G673">
        <v>791902.37407909799</v>
      </c>
      <c r="H673">
        <v>7.5284352781956692</v>
      </c>
      <c r="I673">
        <v>405755.43522715027</v>
      </c>
      <c r="J673">
        <v>899590.06842706667</v>
      </c>
      <c r="K673">
        <v>329639.54600801709</v>
      </c>
      <c r="L673">
        <v>12195312.318937359</v>
      </c>
      <c r="M673">
        <v>4468765.671534772</v>
      </c>
    </row>
    <row r="674" spans="1:13">
      <c r="A674">
        <v>2039</v>
      </c>
      <c r="B674" t="s">
        <v>74</v>
      </c>
      <c r="C674" t="s">
        <v>91</v>
      </c>
      <c r="D674" t="s">
        <v>85</v>
      </c>
      <c r="E674" t="s">
        <v>82</v>
      </c>
      <c r="F674" t="s">
        <v>86</v>
      </c>
      <c r="G674">
        <v>720584.78785764438</v>
      </c>
      <c r="H674">
        <v>6.8785209674720118</v>
      </c>
      <c r="I674">
        <v>94741.772660735267</v>
      </c>
      <c r="J674">
        <v>171307.6553963435</v>
      </c>
      <c r="K674">
        <v>58365.958774476792</v>
      </c>
      <c r="L674">
        <v>2322335.954459996</v>
      </c>
      <c r="M674">
        <v>791239.38895138539</v>
      </c>
    </row>
    <row r="675" spans="1:13">
      <c r="A675">
        <v>2039</v>
      </c>
      <c r="B675" t="s">
        <v>74</v>
      </c>
      <c r="C675" t="s">
        <v>91</v>
      </c>
      <c r="D675" t="s">
        <v>85</v>
      </c>
      <c r="E675" t="s">
        <v>82</v>
      </c>
      <c r="F675" t="s">
        <v>87</v>
      </c>
      <c r="G675">
        <v>720584.78785764438</v>
      </c>
      <c r="H675">
        <v>6.8785209674720118</v>
      </c>
      <c r="I675">
        <v>94741.772660735267</v>
      </c>
      <c r="J675">
        <v>171307.6553963435</v>
      </c>
      <c r="K675">
        <v>58365.958774476792</v>
      </c>
      <c r="L675">
        <v>2322335.954459996</v>
      </c>
      <c r="M675">
        <v>791239.38895138539</v>
      </c>
    </row>
    <row r="676" spans="1:13">
      <c r="A676">
        <v>2039</v>
      </c>
      <c r="B676" t="s">
        <v>74</v>
      </c>
      <c r="C676" t="s">
        <v>91</v>
      </c>
      <c r="D676" t="s">
        <v>85</v>
      </c>
      <c r="E676" t="s">
        <v>88</v>
      </c>
      <c r="F676" t="s">
        <v>89</v>
      </c>
      <c r="G676">
        <v>705464.12692965555</v>
      </c>
      <c r="H676">
        <v>6.7423310007547119</v>
      </c>
      <c r="I676">
        <v>83999.597768127394</v>
      </c>
      <c r="J676">
        <v>151839.88764045961</v>
      </c>
      <c r="K676">
        <v>49243.892274157282</v>
      </c>
      <c r="L676">
        <v>2058420.7376650141</v>
      </c>
      <c r="M676">
        <v>667575.89613401052</v>
      </c>
    </row>
    <row r="677" spans="1:13">
      <c r="A677">
        <v>2040</v>
      </c>
      <c r="B677" t="s">
        <v>72</v>
      </c>
      <c r="C677" t="s">
        <v>80</v>
      </c>
      <c r="D677" t="s">
        <v>81</v>
      </c>
      <c r="E677" t="s">
        <v>82</v>
      </c>
      <c r="F677" t="s">
        <v>83</v>
      </c>
      <c r="G677">
        <v>2342467.0297556031</v>
      </c>
      <c r="H677">
        <v>21.638226581294852</v>
      </c>
      <c r="I677">
        <v>289986.38230912189</v>
      </c>
      <c r="J677">
        <v>535336.7431624179</v>
      </c>
      <c r="K677">
        <v>233417.21536580101</v>
      </c>
      <c r="L677">
        <v>303.84184535846282</v>
      </c>
      <c r="M677">
        <v>4255030.1255601523</v>
      </c>
    </row>
    <row r="678" spans="1:13">
      <c r="A678">
        <v>2040</v>
      </c>
      <c r="B678" t="s">
        <v>72</v>
      </c>
      <c r="C678" t="s">
        <v>80</v>
      </c>
      <c r="D678" t="s">
        <v>81</v>
      </c>
      <c r="E678" t="s">
        <v>82</v>
      </c>
      <c r="F678" t="s">
        <v>84</v>
      </c>
      <c r="G678">
        <v>2342401.5758711179</v>
      </c>
      <c r="H678">
        <v>21.637632193177229</v>
      </c>
      <c r="I678">
        <v>289893.01091557468</v>
      </c>
      <c r="J678">
        <v>535163.36945067556</v>
      </c>
      <c r="K678">
        <v>233335.5511321649</v>
      </c>
      <c r="L678">
        <v>303.71908081756652</v>
      </c>
      <c r="M678">
        <v>4254626.3939938899</v>
      </c>
    </row>
    <row r="679" spans="1:13">
      <c r="A679">
        <v>2040</v>
      </c>
      <c r="B679" t="s">
        <v>72</v>
      </c>
      <c r="C679" t="s">
        <v>80</v>
      </c>
      <c r="D679" t="s">
        <v>85</v>
      </c>
      <c r="E679" t="s">
        <v>82</v>
      </c>
      <c r="F679" t="s">
        <v>86</v>
      </c>
      <c r="G679">
        <v>2334676.1255811141</v>
      </c>
      <c r="H679">
        <v>21.567477214725759</v>
      </c>
      <c r="I679">
        <v>278872.48761070601</v>
      </c>
      <c r="J679">
        <v>514700.2601607691</v>
      </c>
      <c r="K679">
        <v>223696.8110880256</v>
      </c>
      <c r="L679">
        <v>289.22931652721849</v>
      </c>
      <c r="M679">
        <v>4206974.3994603958</v>
      </c>
    </row>
    <row r="680" spans="1:13">
      <c r="A680">
        <v>2040</v>
      </c>
      <c r="B680" t="s">
        <v>72</v>
      </c>
      <c r="C680" t="s">
        <v>80</v>
      </c>
      <c r="D680" t="s">
        <v>85</v>
      </c>
      <c r="E680" t="s">
        <v>82</v>
      </c>
      <c r="F680" t="s">
        <v>87</v>
      </c>
      <c r="G680">
        <v>2334676.1255811141</v>
      </c>
      <c r="H680">
        <v>21.567477214725759</v>
      </c>
      <c r="I680">
        <v>278872.48761070601</v>
      </c>
      <c r="J680">
        <v>514700.2601607691</v>
      </c>
      <c r="K680">
        <v>223696.8110880256</v>
      </c>
      <c r="L680">
        <v>289.22931652721849</v>
      </c>
      <c r="M680">
        <v>4206974.3994603958</v>
      </c>
    </row>
    <row r="681" spans="1:13">
      <c r="A681">
        <v>2040</v>
      </c>
      <c r="B681" t="s">
        <v>72</v>
      </c>
      <c r="C681" t="s">
        <v>80</v>
      </c>
      <c r="D681" t="s">
        <v>85</v>
      </c>
      <c r="E681" t="s">
        <v>88</v>
      </c>
      <c r="F681" t="s">
        <v>89</v>
      </c>
      <c r="G681">
        <v>2334422.7258888488</v>
      </c>
      <c r="H681">
        <v>21.56519744916654</v>
      </c>
      <c r="I681">
        <v>278548.42935428838</v>
      </c>
      <c r="J681">
        <v>514080.91420193092</v>
      </c>
      <c r="K681">
        <v>223411.38165475291</v>
      </c>
      <c r="L681">
        <v>289.19395551684761</v>
      </c>
      <c r="M681">
        <v>4206882.4308046037</v>
      </c>
    </row>
    <row r="682" spans="1:13">
      <c r="A682">
        <v>2040</v>
      </c>
      <c r="B682" t="s">
        <v>72</v>
      </c>
      <c r="C682" t="s">
        <v>90</v>
      </c>
      <c r="D682" t="s">
        <v>81</v>
      </c>
      <c r="E682" t="s">
        <v>82</v>
      </c>
      <c r="F682" t="s">
        <v>83</v>
      </c>
      <c r="G682">
        <v>879514.80825310247</v>
      </c>
      <c r="H682">
        <v>8.124400668542302</v>
      </c>
      <c r="I682">
        <v>108879.78963752079</v>
      </c>
      <c r="J682">
        <v>201000.3073821099</v>
      </c>
      <c r="K682">
        <v>87640.037109442055</v>
      </c>
      <c r="L682">
        <v>114.08203358473671</v>
      </c>
      <c r="M682">
        <v>1597615.6579602589</v>
      </c>
    </row>
    <row r="683" spans="1:13">
      <c r="A683">
        <v>2040</v>
      </c>
      <c r="B683" t="s">
        <v>72</v>
      </c>
      <c r="C683" t="s">
        <v>90</v>
      </c>
      <c r="D683" t="s">
        <v>81</v>
      </c>
      <c r="E683" t="s">
        <v>82</v>
      </c>
      <c r="F683" t="s">
        <v>84</v>
      </c>
      <c r="G683">
        <v>879449.35436861776</v>
      </c>
      <c r="H683">
        <v>8.123806280424688</v>
      </c>
      <c r="I683">
        <v>108786.4182439736</v>
      </c>
      <c r="J683">
        <v>200826.9336703677</v>
      </c>
      <c r="K683">
        <v>87558.372875806002</v>
      </c>
      <c r="L683">
        <v>113.95926904384039</v>
      </c>
      <c r="M683">
        <v>1597211.9263939981</v>
      </c>
    </row>
    <row r="684" spans="1:13">
      <c r="A684">
        <v>2040</v>
      </c>
      <c r="B684" t="s">
        <v>72</v>
      </c>
      <c r="C684" t="s">
        <v>90</v>
      </c>
      <c r="D684" t="s">
        <v>85</v>
      </c>
      <c r="E684" t="s">
        <v>82</v>
      </c>
      <c r="F684" t="s">
        <v>86</v>
      </c>
      <c r="G684">
        <v>871723.9040786128</v>
      </c>
      <c r="H684">
        <v>8.0536513019732165</v>
      </c>
      <c r="I684">
        <v>97765.894939104852</v>
      </c>
      <c r="J684">
        <v>180363.82438046121</v>
      </c>
      <c r="K684">
        <v>77919.632831666662</v>
      </c>
      <c r="L684">
        <v>99.469504753492473</v>
      </c>
      <c r="M684">
        <v>1549559.931860503</v>
      </c>
    </row>
    <row r="685" spans="1:13">
      <c r="A685">
        <v>2040</v>
      </c>
      <c r="B685" t="s">
        <v>72</v>
      </c>
      <c r="C685" t="s">
        <v>90</v>
      </c>
      <c r="D685" t="s">
        <v>85</v>
      </c>
      <c r="E685" t="s">
        <v>82</v>
      </c>
      <c r="F685" t="s">
        <v>87</v>
      </c>
      <c r="G685">
        <v>871723.9040786128</v>
      </c>
      <c r="H685">
        <v>8.0536513019732165</v>
      </c>
      <c r="I685">
        <v>97765.894939104852</v>
      </c>
      <c r="J685">
        <v>180363.82438046121</v>
      </c>
      <c r="K685">
        <v>77919.632831666662</v>
      </c>
      <c r="L685">
        <v>99.469504753492473</v>
      </c>
      <c r="M685">
        <v>1549559.931860503</v>
      </c>
    </row>
    <row r="686" spans="1:13">
      <c r="A686">
        <v>2040</v>
      </c>
      <c r="B686" t="s">
        <v>72</v>
      </c>
      <c r="C686" t="s">
        <v>90</v>
      </c>
      <c r="D686" t="s">
        <v>85</v>
      </c>
      <c r="E686" t="s">
        <v>88</v>
      </c>
      <c r="F686" t="s">
        <v>89</v>
      </c>
      <c r="G686">
        <v>871470.50438634923</v>
      </c>
      <c r="H686">
        <v>8.0513715364139955</v>
      </c>
      <c r="I686">
        <v>97441.836682687339</v>
      </c>
      <c r="J686">
        <v>179744.47842162309</v>
      </c>
      <c r="K686">
        <v>77634.203398393962</v>
      </c>
      <c r="L686">
        <v>99.434143743121567</v>
      </c>
      <c r="M686">
        <v>1549467.963204711</v>
      </c>
    </row>
    <row r="687" spans="1:13">
      <c r="A687">
        <v>2040</v>
      </c>
      <c r="B687" t="s">
        <v>72</v>
      </c>
      <c r="C687" t="s">
        <v>91</v>
      </c>
      <c r="D687" t="s">
        <v>81</v>
      </c>
      <c r="E687" t="s">
        <v>82</v>
      </c>
      <c r="F687" t="s">
        <v>83</v>
      </c>
      <c r="G687">
        <v>2227416.5556906979</v>
      </c>
      <c r="H687">
        <v>20.575463180795019</v>
      </c>
      <c r="I687">
        <v>275743.6756527503</v>
      </c>
      <c r="J687">
        <v>509043.63196690002</v>
      </c>
      <c r="K687">
        <v>221952.9083161742</v>
      </c>
      <c r="L687">
        <v>288.91862641655359</v>
      </c>
      <c r="M687">
        <v>4046043.946934097</v>
      </c>
    </row>
    <row r="688" spans="1:13">
      <c r="A688">
        <v>2040</v>
      </c>
      <c r="B688" t="s">
        <v>72</v>
      </c>
      <c r="C688" t="s">
        <v>91</v>
      </c>
      <c r="D688" t="s">
        <v>81</v>
      </c>
      <c r="E688" t="s">
        <v>82</v>
      </c>
      <c r="F688" t="s">
        <v>84</v>
      </c>
      <c r="G688">
        <v>2227351.1018062141</v>
      </c>
      <c r="H688">
        <v>20.57486879267741</v>
      </c>
      <c r="I688">
        <v>275650.30425920308</v>
      </c>
      <c r="J688">
        <v>508870.25825515791</v>
      </c>
      <c r="K688">
        <v>221871.24408253821</v>
      </c>
      <c r="L688">
        <v>288.79586187565718</v>
      </c>
      <c r="M688">
        <v>4045640.2153678359</v>
      </c>
    </row>
    <row r="689" spans="1:13">
      <c r="A689">
        <v>2040</v>
      </c>
      <c r="B689" t="s">
        <v>72</v>
      </c>
      <c r="C689" t="s">
        <v>91</v>
      </c>
      <c r="D689" t="s">
        <v>85</v>
      </c>
      <c r="E689" t="s">
        <v>82</v>
      </c>
      <c r="F689" t="s">
        <v>86</v>
      </c>
      <c r="G689">
        <v>2219625.651516208</v>
      </c>
      <c r="H689">
        <v>20.50471381422593</v>
      </c>
      <c r="I689">
        <v>264629.78095433442</v>
      </c>
      <c r="J689">
        <v>488407.14896525128</v>
      </c>
      <c r="K689">
        <v>212232.50403839879</v>
      </c>
      <c r="L689">
        <v>274.30609758530932</v>
      </c>
      <c r="M689">
        <v>3997988.2208343409</v>
      </c>
    </row>
    <row r="690" spans="1:13">
      <c r="A690">
        <v>2040</v>
      </c>
      <c r="B690" t="s">
        <v>72</v>
      </c>
      <c r="C690" t="s">
        <v>91</v>
      </c>
      <c r="D690" t="s">
        <v>85</v>
      </c>
      <c r="E690" t="s">
        <v>82</v>
      </c>
      <c r="F690" t="s">
        <v>87</v>
      </c>
      <c r="G690">
        <v>2219625.651516208</v>
      </c>
      <c r="H690">
        <v>20.50471381422593</v>
      </c>
      <c r="I690">
        <v>264629.78095433442</v>
      </c>
      <c r="J690">
        <v>488407.14896525128</v>
      </c>
      <c r="K690">
        <v>212232.50403839879</v>
      </c>
      <c r="L690">
        <v>274.30609758530932</v>
      </c>
      <c r="M690">
        <v>3997988.2208343409</v>
      </c>
    </row>
    <row r="691" spans="1:13">
      <c r="A691">
        <v>2040</v>
      </c>
      <c r="B691" t="s">
        <v>72</v>
      </c>
      <c r="C691" t="s">
        <v>91</v>
      </c>
      <c r="D691" t="s">
        <v>85</v>
      </c>
      <c r="E691" t="s">
        <v>88</v>
      </c>
      <c r="F691" t="s">
        <v>89</v>
      </c>
      <c r="G691">
        <v>2219372.251823945</v>
      </c>
      <c r="H691">
        <v>20.502434048666711</v>
      </c>
      <c r="I691">
        <v>264305.72269791679</v>
      </c>
      <c r="J691">
        <v>487787.80300641299</v>
      </c>
      <c r="K691">
        <v>211947.07460512611</v>
      </c>
      <c r="L691">
        <v>274.27073657493833</v>
      </c>
      <c r="M691">
        <v>3997896.2521785488</v>
      </c>
    </row>
    <row r="692" spans="1:13">
      <c r="A692">
        <v>2040</v>
      </c>
      <c r="B692" t="s">
        <v>73</v>
      </c>
      <c r="C692" t="s">
        <v>80</v>
      </c>
      <c r="D692" t="s">
        <v>81</v>
      </c>
      <c r="E692" t="s">
        <v>82</v>
      </c>
      <c r="F692" t="s">
        <v>83</v>
      </c>
      <c r="G692">
        <v>80267415.843812585</v>
      </c>
      <c r="H692">
        <v>93.210364345767758</v>
      </c>
      <c r="I692">
        <v>924202.7422512481</v>
      </c>
      <c r="J692">
        <v>1533473.997844927</v>
      </c>
      <c r="K692">
        <v>807322.27283953375</v>
      </c>
      <c r="L692">
        <v>1191.5855428139371</v>
      </c>
      <c r="M692">
        <v>19062377.797577132</v>
      </c>
    </row>
    <row r="693" spans="1:13">
      <c r="A693">
        <v>2040</v>
      </c>
      <c r="B693" t="s">
        <v>73</v>
      </c>
      <c r="C693" t="s">
        <v>80</v>
      </c>
      <c r="D693" t="s">
        <v>81</v>
      </c>
      <c r="E693" t="s">
        <v>82</v>
      </c>
      <c r="F693" t="s">
        <v>84</v>
      </c>
      <c r="G693">
        <v>80191115.960199788</v>
      </c>
      <c r="H693">
        <v>91.082291187468641</v>
      </c>
      <c r="I693">
        <v>874546.47809913883</v>
      </c>
      <c r="J693">
        <v>1456691.4922128471</v>
      </c>
      <c r="K693">
        <v>755084.74568944087</v>
      </c>
      <c r="L693">
        <v>1098.301544669589</v>
      </c>
      <c r="M693">
        <v>18966468.731132999</v>
      </c>
    </row>
    <row r="694" spans="1:13">
      <c r="A694">
        <v>2040</v>
      </c>
      <c r="B694" t="s">
        <v>73</v>
      </c>
      <c r="C694" t="s">
        <v>80</v>
      </c>
      <c r="D694" t="s">
        <v>85</v>
      </c>
      <c r="E694" t="s">
        <v>82</v>
      </c>
      <c r="F694" t="s">
        <v>86</v>
      </c>
      <c r="G694">
        <v>79796236.334791273</v>
      </c>
      <c r="H694">
        <v>80.068739242152049</v>
      </c>
      <c r="I694">
        <v>617557.2658078064</v>
      </c>
      <c r="J694">
        <v>1059314.122467546</v>
      </c>
      <c r="K694">
        <v>484736.55934124958</v>
      </c>
      <c r="L694">
        <v>615.52295445855316</v>
      </c>
      <c r="M694">
        <v>18470104.458509289</v>
      </c>
    </row>
    <row r="695" spans="1:13">
      <c r="A695">
        <v>2040</v>
      </c>
      <c r="B695" t="s">
        <v>73</v>
      </c>
      <c r="C695" t="s">
        <v>80</v>
      </c>
      <c r="D695" t="s">
        <v>85</v>
      </c>
      <c r="E695" t="s">
        <v>82</v>
      </c>
      <c r="F695" t="s">
        <v>87</v>
      </c>
      <c r="G695">
        <v>79796236.334791273</v>
      </c>
      <c r="H695">
        <v>80.068739242152049</v>
      </c>
      <c r="I695">
        <v>617557.2658078064</v>
      </c>
      <c r="J695">
        <v>1059314.122467546</v>
      </c>
      <c r="K695">
        <v>484736.55934124958</v>
      </c>
      <c r="L695">
        <v>615.52295445855316</v>
      </c>
      <c r="M695">
        <v>18470104.458509289</v>
      </c>
    </row>
    <row r="696" spans="1:13">
      <c r="A696">
        <v>2040</v>
      </c>
      <c r="B696" t="s">
        <v>73</v>
      </c>
      <c r="C696" t="s">
        <v>80</v>
      </c>
      <c r="D696" t="s">
        <v>85</v>
      </c>
      <c r="E696" t="s">
        <v>88</v>
      </c>
      <c r="F696" t="s">
        <v>89</v>
      </c>
      <c r="G696">
        <v>78062594.835407168</v>
      </c>
      <c r="H696">
        <v>72.55268438057837</v>
      </c>
      <c r="I696">
        <v>572166.08037965791</v>
      </c>
      <c r="J696">
        <v>977052.84252063837</v>
      </c>
      <c r="K696">
        <v>446191.16084016621</v>
      </c>
      <c r="L696">
        <v>570.23754927165794</v>
      </c>
      <c r="M696">
        <v>18568805.72168329</v>
      </c>
    </row>
    <row r="697" spans="1:13">
      <c r="A697">
        <v>2040</v>
      </c>
      <c r="B697" t="s">
        <v>73</v>
      </c>
      <c r="C697" t="s">
        <v>90</v>
      </c>
      <c r="D697" t="s">
        <v>81</v>
      </c>
      <c r="E697" t="s">
        <v>82</v>
      </c>
      <c r="F697" t="s">
        <v>83</v>
      </c>
      <c r="G697">
        <v>59870028.968810111</v>
      </c>
      <c r="H697">
        <v>69.523942622411383</v>
      </c>
      <c r="I697">
        <v>689346.2854130395</v>
      </c>
      <c r="J697">
        <v>1143790.8111124269</v>
      </c>
      <c r="K697">
        <v>602167.2350349417</v>
      </c>
      <c r="L697">
        <v>888.78233112552618</v>
      </c>
      <c r="M697">
        <v>14218286.44858909</v>
      </c>
    </row>
    <row r="698" spans="1:13">
      <c r="A698">
        <v>2040</v>
      </c>
      <c r="B698" t="s">
        <v>73</v>
      </c>
      <c r="C698" t="s">
        <v>90</v>
      </c>
      <c r="D698" t="s">
        <v>81</v>
      </c>
      <c r="E698" t="s">
        <v>82</v>
      </c>
      <c r="F698" t="s">
        <v>84</v>
      </c>
      <c r="G698">
        <v>59793729.085197307</v>
      </c>
      <c r="H698">
        <v>67.395869464112266</v>
      </c>
      <c r="I698">
        <v>639690.02126093034</v>
      </c>
      <c r="J698">
        <v>1067008.305480347</v>
      </c>
      <c r="K698">
        <v>549929.70788484893</v>
      </c>
      <c r="L698">
        <v>795.49833298117824</v>
      </c>
      <c r="M698">
        <v>14122377.38214496</v>
      </c>
    </row>
    <row r="699" spans="1:13">
      <c r="A699">
        <v>2040</v>
      </c>
      <c r="B699" t="s">
        <v>73</v>
      </c>
      <c r="C699" t="s">
        <v>90</v>
      </c>
      <c r="D699" t="s">
        <v>85</v>
      </c>
      <c r="E699" t="s">
        <v>82</v>
      </c>
      <c r="F699" t="s">
        <v>86</v>
      </c>
      <c r="G699">
        <v>59398849.459788807</v>
      </c>
      <c r="H699">
        <v>56.382317518795688</v>
      </c>
      <c r="I699">
        <v>382700.80896959797</v>
      </c>
      <c r="J699">
        <v>669630.93573504523</v>
      </c>
      <c r="K699">
        <v>279581.52153665782</v>
      </c>
      <c r="L699">
        <v>312.71974277014209</v>
      </c>
      <c r="M699">
        <v>13626013.109521249</v>
      </c>
    </row>
    <row r="700" spans="1:13">
      <c r="A700">
        <v>2040</v>
      </c>
      <c r="B700" t="s">
        <v>73</v>
      </c>
      <c r="C700" t="s">
        <v>90</v>
      </c>
      <c r="D700" t="s">
        <v>85</v>
      </c>
      <c r="E700" t="s">
        <v>82</v>
      </c>
      <c r="F700" t="s">
        <v>87</v>
      </c>
      <c r="G700">
        <v>59398849.459788807</v>
      </c>
      <c r="H700">
        <v>56.382317518795688</v>
      </c>
      <c r="I700">
        <v>382700.80896959797</v>
      </c>
      <c r="J700">
        <v>669630.93573504523</v>
      </c>
      <c r="K700">
        <v>279581.52153665782</v>
      </c>
      <c r="L700">
        <v>312.71974277014209</v>
      </c>
      <c r="M700">
        <v>13626013.109521249</v>
      </c>
    </row>
    <row r="701" spans="1:13">
      <c r="A701">
        <v>2040</v>
      </c>
      <c r="B701" t="s">
        <v>73</v>
      </c>
      <c r="C701" t="s">
        <v>90</v>
      </c>
      <c r="D701" t="s">
        <v>85</v>
      </c>
      <c r="E701" t="s">
        <v>88</v>
      </c>
      <c r="F701" t="s">
        <v>89</v>
      </c>
      <c r="G701">
        <v>57665207.960404679</v>
      </c>
      <c r="H701">
        <v>48.866262657221988</v>
      </c>
      <c r="I701">
        <v>337309.62354144937</v>
      </c>
      <c r="J701">
        <v>587369.65578813769</v>
      </c>
      <c r="K701">
        <v>241036.1230355741</v>
      </c>
      <c r="L701">
        <v>267.4343375832467</v>
      </c>
      <c r="M701">
        <v>13724714.372695239</v>
      </c>
    </row>
    <row r="702" spans="1:13">
      <c r="A702">
        <v>2040</v>
      </c>
      <c r="B702" t="s">
        <v>73</v>
      </c>
      <c r="C702" t="s">
        <v>91</v>
      </c>
      <c r="D702" t="s">
        <v>81</v>
      </c>
      <c r="E702" t="s">
        <v>82</v>
      </c>
      <c r="F702" t="s">
        <v>83</v>
      </c>
      <c r="G702">
        <v>75095076.39709264</v>
      </c>
      <c r="H702">
        <v>87.203996266261228</v>
      </c>
      <c r="I702">
        <v>864648.18639243545</v>
      </c>
      <c r="J702">
        <v>1434658.706905372</v>
      </c>
      <c r="K702">
        <v>755299.3592559091</v>
      </c>
      <c r="L702">
        <v>1114.8011485183681</v>
      </c>
      <c r="M702">
        <v>17834020.218176041</v>
      </c>
    </row>
    <row r="703" spans="1:13">
      <c r="A703">
        <v>2040</v>
      </c>
      <c r="B703" t="s">
        <v>73</v>
      </c>
      <c r="C703" t="s">
        <v>91</v>
      </c>
      <c r="D703" t="s">
        <v>81</v>
      </c>
      <c r="E703" t="s">
        <v>82</v>
      </c>
      <c r="F703" t="s">
        <v>84</v>
      </c>
      <c r="G703">
        <v>75018776.513479888</v>
      </c>
      <c r="H703">
        <v>85.075923107962154</v>
      </c>
      <c r="I703">
        <v>814991.92224032676</v>
      </c>
      <c r="J703">
        <v>1357876.2012732921</v>
      </c>
      <c r="K703">
        <v>703061.83210581669</v>
      </c>
      <c r="L703">
        <v>1021.517150374021</v>
      </c>
      <c r="M703">
        <v>17738111.151731919</v>
      </c>
    </row>
    <row r="704" spans="1:13">
      <c r="A704">
        <v>2040</v>
      </c>
      <c r="B704" t="s">
        <v>73</v>
      </c>
      <c r="C704" t="s">
        <v>91</v>
      </c>
      <c r="D704" t="s">
        <v>85</v>
      </c>
      <c r="E704" t="s">
        <v>82</v>
      </c>
      <c r="F704" t="s">
        <v>86</v>
      </c>
      <c r="G704">
        <v>74623896.888071343</v>
      </c>
      <c r="H704">
        <v>74.062371162645533</v>
      </c>
      <c r="I704">
        <v>558002.70994899399</v>
      </c>
      <c r="J704">
        <v>960498.83152799006</v>
      </c>
      <c r="K704">
        <v>432713.64575762523</v>
      </c>
      <c r="L704">
        <v>538.73856016298419</v>
      </c>
      <c r="M704">
        <v>17241746.879108202</v>
      </c>
    </row>
    <row r="705" spans="1:13">
      <c r="A705">
        <v>2040</v>
      </c>
      <c r="B705" t="s">
        <v>73</v>
      </c>
      <c r="C705" t="s">
        <v>91</v>
      </c>
      <c r="D705" t="s">
        <v>85</v>
      </c>
      <c r="E705" t="s">
        <v>82</v>
      </c>
      <c r="F705" t="s">
        <v>87</v>
      </c>
      <c r="G705">
        <v>74623896.888071343</v>
      </c>
      <c r="H705">
        <v>74.062371162645533</v>
      </c>
      <c r="I705">
        <v>558002.70994899399</v>
      </c>
      <c r="J705">
        <v>960498.83152799006</v>
      </c>
      <c r="K705">
        <v>432713.64575762523</v>
      </c>
      <c r="L705">
        <v>538.73856016298419</v>
      </c>
      <c r="M705">
        <v>17241746.879108202</v>
      </c>
    </row>
    <row r="706" spans="1:13">
      <c r="A706">
        <v>2040</v>
      </c>
      <c r="B706" t="s">
        <v>73</v>
      </c>
      <c r="C706" t="s">
        <v>91</v>
      </c>
      <c r="D706" t="s">
        <v>85</v>
      </c>
      <c r="E706" t="s">
        <v>88</v>
      </c>
      <c r="F706" t="s">
        <v>89</v>
      </c>
      <c r="G706">
        <v>72890255.388687208</v>
      </c>
      <c r="H706">
        <v>66.54631630107184</v>
      </c>
      <c r="I706">
        <v>512611.52452084539</v>
      </c>
      <c r="J706">
        <v>878237.55158108252</v>
      </c>
      <c r="K706">
        <v>394168.24725654151</v>
      </c>
      <c r="L706">
        <v>493.45315497608868</v>
      </c>
      <c r="M706">
        <v>17340448.142282192</v>
      </c>
    </row>
    <row r="707" spans="1:13">
      <c r="A707">
        <v>2040</v>
      </c>
      <c r="B707" t="s">
        <v>74</v>
      </c>
      <c r="C707" t="s">
        <v>80</v>
      </c>
      <c r="D707" t="s">
        <v>81</v>
      </c>
      <c r="E707" t="s">
        <v>82</v>
      </c>
      <c r="F707" t="s">
        <v>83</v>
      </c>
      <c r="G707">
        <v>868516.53070577781</v>
      </c>
      <c r="H707">
        <v>8.2519621239438408</v>
      </c>
      <c r="I707">
        <v>492371.68168831029</v>
      </c>
      <c r="J707">
        <v>1098322.746914499</v>
      </c>
      <c r="K707">
        <v>403216.88696790778</v>
      </c>
      <c r="L707">
        <v>14889436.19512786</v>
      </c>
      <c r="M707">
        <v>5466218.4937649416</v>
      </c>
    </row>
    <row r="708" spans="1:13">
      <c r="A708">
        <v>2040</v>
      </c>
      <c r="B708" t="s">
        <v>74</v>
      </c>
      <c r="C708" t="s">
        <v>80</v>
      </c>
      <c r="D708" t="s">
        <v>81</v>
      </c>
      <c r="E708" t="s">
        <v>82</v>
      </c>
      <c r="F708" t="s">
        <v>84</v>
      </c>
      <c r="G708">
        <v>857171.51099654147</v>
      </c>
      <c r="H708">
        <v>8.1485713684869747</v>
      </c>
      <c r="I708">
        <v>442757.23492838477</v>
      </c>
      <c r="J708">
        <v>982129.17414754257</v>
      </c>
      <c r="K708">
        <v>359941.35060527379</v>
      </c>
      <c r="L708">
        <v>13314255.499965381</v>
      </c>
      <c r="M708">
        <v>4879552.7442923645</v>
      </c>
    </row>
    <row r="709" spans="1:13">
      <c r="A709">
        <v>2040</v>
      </c>
      <c r="B709" t="s">
        <v>74</v>
      </c>
      <c r="C709" t="s">
        <v>80</v>
      </c>
      <c r="D709" t="s">
        <v>85</v>
      </c>
      <c r="E709" t="s">
        <v>82</v>
      </c>
      <c r="F709" t="s">
        <v>86</v>
      </c>
      <c r="G709">
        <v>782009.38210735191</v>
      </c>
      <c r="H709">
        <v>7.4635950981264214</v>
      </c>
      <c r="I709">
        <v>114055.5193113256</v>
      </c>
      <c r="J709">
        <v>212332.68932563841</v>
      </c>
      <c r="K709">
        <v>73235.683695856307</v>
      </c>
      <c r="L709">
        <v>2878492.718771046</v>
      </c>
      <c r="M709">
        <v>992821.13810295635</v>
      </c>
    </row>
    <row r="710" spans="1:13">
      <c r="A710">
        <v>2040</v>
      </c>
      <c r="B710" t="s">
        <v>74</v>
      </c>
      <c r="C710" t="s">
        <v>80</v>
      </c>
      <c r="D710" t="s">
        <v>85</v>
      </c>
      <c r="E710" t="s">
        <v>82</v>
      </c>
      <c r="F710" t="s">
        <v>87</v>
      </c>
      <c r="G710">
        <v>782009.38210735191</v>
      </c>
      <c r="H710">
        <v>7.4635950981264214</v>
      </c>
      <c r="I710">
        <v>114055.5193113256</v>
      </c>
      <c r="J710">
        <v>212332.68932563841</v>
      </c>
      <c r="K710">
        <v>73235.683695856307</v>
      </c>
      <c r="L710">
        <v>2878492.718771046</v>
      </c>
      <c r="M710">
        <v>992821.13810295635</v>
      </c>
    </row>
    <row r="711" spans="1:13">
      <c r="A711">
        <v>2040</v>
      </c>
      <c r="B711" t="s">
        <v>74</v>
      </c>
      <c r="C711" t="s">
        <v>80</v>
      </c>
      <c r="D711" t="s">
        <v>85</v>
      </c>
      <c r="E711" t="s">
        <v>88</v>
      </c>
      <c r="F711" t="s">
        <v>89</v>
      </c>
      <c r="G711">
        <v>762787.72990302555</v>
      </c>
      <c r="H711">
        <v>7.2901897658551036</v>
      </c>
      <c r="I711">
        <v>90825.117888249748</v>
      </c>
      <c r="J711">
        <v>164177.87776974469</v>
      </c>
      <c r="K711">
        <v>53245.282595551573</v>
      </c>
      <c r="L711">
        <v>2225680.9690698441</v>
      </c>
      <c r="M711">
        <v>721820.83101273829</v>
      </c>
    </row>
    <row r="712" spans="1:13">
      <c r="A712">
        <v>2040</v>
      </c>
      <c r="B712" t="s">
        <v>74</v>
      </c>
      <c r="C712" t="s">
        <v>90</v>
      </c>
      <c r="D712" t="s">
        <v>81</v>
      </c>
      <c r="E712" t="s">
        <v>82</v>
      </c>
      <c r="F712" t="s">
        <v>83</v>
      </c>
      <c r="G712">
        <v>339111.01503305993</v>
      </c>
      <c r="H712">
        <v>3.2219665981382861</v>
      </c>
      <c r="I712">
        <v>192245.80632354211</v>
      </c>
      <c r="J712">
        <v>428838.51760128228</v>
      </c>
      <c r="K712">
        <v>157435.4465159614</v>
      </c>
      <c r="L712">
        <v>5813558.6864382541</v>
      </c>
      <c r="M712">
        <v>2134277.0532033378</v>
      </c>
    </row>
    <row r="713" spans="1:13">
      <c r="A713">
        <v>2040</v>
      </c>
      <c r="B713" t="s">
        <v>74</v>
      </c>
      <c r="C713" t="s">
        <v>90</v>
      </c>
      <c r="D713" t="s">
        <v>81</v>
      </c>
      <c r="E713" t="s">
        <v>82</v>
      </c>
      <c r="F713" t="s">
        <v>84</v>
      </c>
      <c r="G713">
        <v>327765.99532382359</v>
      </c>
      <c r="H713">
        <v>3.1185758426814192</v>
      </c>
      <c r="I713">
        <v>142631.35956361651</v>
      </c>
      <c r="J713">
        <v>312644.94483432593</v>
      </c>
      <c r="K713">
        <v>114159.91015332739</v>
      </c>
      <c r="L713">
        <v>4238377.9912757752</v>
      </c>
      <c r="M713">
        <v>1547611.30373076</v>
      </c>
    </row>
    <row r="714" spans="1:13">
      <c r="A714">
        <v>2040</v>
      </c>
      <c r="B714" t="s">
        <v>74</v>
      </c>
      <c r="C714" t="s">
        <v>90</v>
      </c>
      <c r="D714" t="s">
        <v>85</v>
      </c>
      <c r="E714" t="s">
        <v>82</v>
      </c>
      <c r="F714" t="s">
        <v>86</v>
      </c>
      <c r="G714">
        <v>297829.35867896181</v>
      </c>
      <c r="H714">
        <v>2.8464439810648079</v>
      </c>
      <c r="I714">
        <v>35462.53505682043</v>
      </c>
      <c r="J714">
        <v>64103.013366054533</v>
      </c>
      <c r="K714">
        <v>20789.543075278969</v>
      </c>
      <c r="L714">
        <v>869013.89424068725</v>
      </c>
      <c r="M714">
        <v>281833.89264660788</v>
      </c>
    </row>
    <row r="715" spans="1:13">
      <c r="A715">
        <v>2040</v>
      </c>
      <c r="B715" t="s">
        <v>74</v>
      </c>
      <c r="C715" t="s">
        <v>90</v>
      </c>
      <c r="D715" t="s">
        <v>85</v>
      </c>
      <c r="E715" t="s">
        <v>82</v>
      </c>
      <c r="F715" t="s">
        <v>87</v>
      </c>
      <c r="G715">
        <v>297829.35867896181</v>
      </c>
      <c r="H715">
        <v>2.8464439810648079</v>
      </c>
      <c r="I715">
        <v>35462.53505682043</v>
      </c>
      <c r="J715">
        <v>64103.013366054533</v>
      </c>
      <c r="K715">
        <v>20789.543075278969</v>
      </c>
      <c r="L715">
        <v>869013.89424068725</v>
      </c>
      <c r="M715">
        <v>281833.89264660788</v>
      </c>
    </row>
    <row r="716" spans="1:13">
      <c r="A716">
        <v>2040</v>
      </c>
      <c r="B716" t="s">
        <v>74</v>
      </c>
      <c r="C716" t="s">
        <v>90</v>
      </c>
      <c r="D716" t="s">
        <v>85</v>
      </c>
      <c r="E716" t="s">
        <v>88</v>
      </c>
      <c r="F716" t="s">
        <v>89</v>
      </c>
      <c r="G716">
        <v>297829.35867896181</v>
      </c>
      <c r="H716">
        <v>2.8464439810648079</v>
      </c>
      <c r="I716">
        <v>35462.53505682043</v>
      </c>
      <c r="J716">
        <v>64103.013366054533</v>
      </c>
      <c r="K716">
        <v>20789.543075278969</v>
      </c>
      <c r="L716">
        <v>869013.89424068725</v>
      </c>
      <c r="M716">
        <v>281833.89264660788</v>
      </c>
    </row>
    <row r="717" spans="1:13">
      <c r="A717">
        <v>2040</v>
      </c>
      <c r="B717" t="s">
        <v>74</v>
      </c>
      <c r="C717" t="s">
        <v>91</v>
      </c>
      <c r="D717" t="s">
        <v>81</v>
      </c>
      <c r="E717" t="s">
        <v>82</v>
      </c>
      <c r="F717" t="s">
        <v>83</v>
      </c>
      <c r="G717">
        <v>831149.12556223257</v>
      </c>
      <c r="H717">
        <v>7.8969263807968177</v>
      </c>
      <c r="I717">
        <v>471187.68407815008</v>
      </c>
      <c r="J717">
        <v>1051068.0665355611</v>
      </c>
      <c r="K717">
        <v>385868.72116638313</v>
      </c>
      <c r="L717">
        <v>14248827.093295131</v>
      </c>
      <c r="M717">
        <v>5231037.7069425322</v>
      </c>
    </row>
    <row r="718" spans="1:13">
      <c r="A718">
        <v>2040</v>
      </c>
      <c r="B718" t="s">
        <v>74</v>
      </c>
      <c r="C718" t="s">
        <v>91</v>
      </c>
      <c r="D718" t="s">
        <v>81</v>
      </c>
      <c r="E718" t="s">
        <v>82</v>
      </c>
      <c r="F718" t="s">
        <v>84</v>
      </c>
      <c r="G718">
        <v>819804.10585299623</v>
      </c>
      <c r="H718">
        <v>7.7935356253399526</v>
      </c>
      <c r="I718">
        <v>421573.23731822468</v>
      </c>
      <c r="J718">
        <v>934874.49376860471</v>
      </c>
      <c r="K718">
        <v>342593.18480374903</v>
      </c>
      <c r="L718">
        <v>12673646.39813265</v>
      </c>
      <c r="M718">
        <v>4644371.9574699551</v>
      </c>
    </row>
    <row r="719" spans="1:13">
      <c r="A719">
        <v>2040</v>
      </c>
      <c r="B719" t="s">
        <v>74</v>
      </c>
      <c r="C719" t="s">
        <v>91</v>
      </c>
      <c r="D719" t="s">
        <v>85</v>
      </c>
      <c r="E719" t="s">
        <v>82</v>
      </c>
      <c r="F719" t="s">
        <v>86</v>
      </c>
      <c r="G719">
        <v>744939.98963719257</v>
      </c>
      <c r="H719">
        <v>7.111373408395095</v>
      </c>
      <c r="I719">
        <v>97553.092467086914</v>
      </c>
      <c r="J719">
        <v>176388.97617536361</v>
      </c>
      <c r="K719">
        <v>59986.061405090113</v>
      </c>
      <c r="L719">
        <v>2391220.9900642778</v>
      </c>
      <c r="M719">
        <v>813202.34548291727</v>
      </c>
    </row>
    <row r="720" spans="1:13">
      <c r="A720">
        <v>2040</v>
      </c>
      <c r="B720" t="s">
        <v>74</v>
      </c>
      <c r="C720" t="s">
        <v>91</v>
      </c>
      <c r="D720" t="s">
        <v>85</v>
      </c>
      <c r="E720" t="s">
        <v>82</v>
      </c>
      <c r="F720" t="s">
        <v>87</v>
      </c>
      <c r="G720">
        <v>744939.98963719257</v>
      </c>
      <c r="H720">
        <v>7.111373408395095</v>
      </c>
      <c r="I720">
        <v>97553.092467086914</v>
      </c>
      <c r="J720">
        <v>176388.97617536361</v>
      </c>
      <c r="K720">
        <v>59986.061405090113</v>
      </c>
      <c r="L720">
        <v>2391220.9900642778</v>
      </c>
      <c r="M720">
        <v>813202.34548291727</v>
      </c>
    </row>
    <row r="721" spans="1:13">
      <c r="A721">
        <v>2040</v>
      </c>
      <c r="B721" t="s">
        <v>74</v>
      </c>
      <c r="C721" t="s">
        <v>91</v>
      </c>
      <c r="D721" t="s">
        <v>85</v>
      </c>
      <c r="E721" t="s">
        <v>88</v>
      </c>
      <c r="F721" t="s">
        <v>89</v>
      </c>
      <c r="G721">
        <v>729969.2432834917</v>
      </c>
      <c r="H721">
        <v>6.9765337041418478</v>
      </c>
      <c r="I721">
        <v>86917.421422665473</v>
      </c>
      <c r="J721">
        <v>157114.22260909501</v>
      </c>
      <c r="K721">
        <v>50954.436104565721</v>
      </c>
      <c r="L721">
        <v>2129922.3743267749</v>
      </c>
      <c r="M721">
        <v>690764.92075667798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9"/>
  <sheetViews>
    <sheetView tabSelected="1" topLeftCell="D40" workbookViewId="0">
      <selection activeCell="I2" sqref="I2"/>
    </sheetView>
  </sheetViews>
  <sheetFormatPr baseColWidth="10" defaultColWidth="9.140625" defaultRowHeight="15"/>
  <cols>
    <col min="1" max="1" width="9.5703125" bestFit="1" customWidth="1"/>
    <col min="2" max="2" width="12" bestFit="1" customWidth="1"/>
    <col min="3" max="3" width="24.7109375" bestFit="1" customWidth="1"/>
    <col min="4" max="4" width="26.7109375" bestFit="1" customWidth="1"/>
    <col min="5" max="5" width="45.140625" bestFit="1" customWidth="1"/>
    <col min="6" max="6" width="29.5703125" bestFit="1" customWidth="1"/>
    <col min="7" max="7" width="20.7109375" bestFit="1" customWidth="1"/>
    <col min="8" max="8" width="16.140625" style="4" bestFit="1" customWidth="1"/>
    <col min="9" max="9" width="16.5703125" style="4" bestFit="1" customWidth="1"/>
    <col min="10" max="10" width="29.85546875" style="4" bestFit="1" customWidth="1"/>
    <col min="11" max="11" width="30.28515625" style="4" bestFit="1" customWidth="1"/>
    <col min="12" max="12" width="30.7109375" style="4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f>[1]Result_notebook_retravaill!A2</f>
        <v>2025</v>
      </c>
      <c r="B2" t="str">
        <f>[1]Result_notebook_retravaill!B2</f>
        <v>Cobalt</v>
      </c>
      <c r="C2" t="str">
        <f>[1]Result_notebook_retravaill!C2</f>
        <v>Canada Net-zero</v>
      </c>
      <c r="D2" t="str">
        <f>[1]Result_notebook_retravaill!D2</f>
        <v>Existing production</v>
      </c>
      <c r="E2" t="str">
        <f>[1]Result_notebook_retravaill!E2</f>
        <v>Current shares</v>
      </c>
      <c r="F2" t="str">
        <f>[1]Result_notebook_retravaill!F2</f>
        <v>NIMBY</v>
      </c>
      <c r="G2">
        <f>[1]Result_notebook_retravaill!G2</f>
        <v>9556.3203859726327</v>
      </c>
      <c r="H2" s="3">
        <f>IF([1]Result_notebook_retravaill!I2&gt;[1]Result_notebook_retravaill!G2,[1]Result_notebook_retravaill!I2/[1]Result_notebook_retravaill!N2,[1]Result_notebook_retravaill!H2)</f>
        <v>0</v>
      </c>
      <c r="I2" s="3">
        <f>[1]Result_notebook_retravaill!K2</f>
        <v>21718.90996811962</v>
      </c>
      <c r="J2" s="3">
        <f>MIN(G2,[1]Result_notebook_retravaill!I2)</f>
        <v>0</v>
      </c>
      <c r="K2" s="3">
        <f>IF([1]Result_notebook_retravaill!I2&gt;[1]Result_notebook_retravaill!G2,0,IF([1]Result_notebook_retravaill!I2+[1]Result_notebook_retravaill!J2&gt;[1]Result_notebook_retravaill!G2,[1]Result_notebook_retravaill!G2-[1]Result_notebook_retravaill!I2,[1]Result_notebook_retravaill!J2))</f>
        <v>0</v>
      </c>
      <c r="L2" s="3">
        <f>IF([1]Result_notebook_retravaill!I2&gt;[1]Result_notebook_retravaill!G2,0,IF([1]Result_notebook_retravaill!I2+[1]Result_notebook_retravaill!J2&gt;[1]Result_notebook_retravaill!G2,0,[1]Result_notebook_retravaill!M2))</f>
        <v>9556.3203859726327</v>
      </c>
    </row>
    <row r="3" spans="1:12">
      <c r="A3">
        <f>[1]Result_notebook_retravaill!A3</f>
        <v>2025</v>
      </c>
      <c r="B3" t="str">
        <f>[1]Result_notebook_retravaill!B3</f>
        <v>Cobalt</v>
      </c>
      <c r="C3" t="str">
        <f>[1]Result_notebook_retravaill!C3</f>
        <v>Canada Net-zero</v>
      </c>
      <c r="D3" t="str">
        <f>[1]Result_notebook_retravaill!D3</f>
        <v>Existing production</v>
      </c>
      <c r="E3" t="str">
        <f>[1]Result_notebook_retravaill!E3</f>
        <v>Current shares</v>
      </c>
      <c r="F3" t="str">
        <f>[1]Result_notebook_retravaill!F3</f>
        <v>Status Quo</v>
      </c>
      <c r="G3">
        <f>[1]Result_notebook_retravaill!G3</f>
        <v>9556.3203859726327</v>
      </c>
      <c r="H3" s="3">
        <f>IF([1]Result_notebook_retravaill!I3&gt;[1]Result_notebook_retravaill!G3,[1]Result_notebook_retravaill!I3/[1]Result_notebook_retravaill!N3,[1]Result_notebook_retravaill!H3)</f>
        <v>3494</v>
      </c>
      <c r="I3" s="3">
        <f>[1]Result_notebook_retravaill!K3</f>
        <v>18224.90996811962</v>
      </c>
      <c r="J3" s="3">
        <f>MIN(G3,[1]Result_notebook_retravaill!I3)</f>
        <v>1482.0913083373639</v>
      </c>
      <c r="K3" s="3">
        <f>IF([1]Result_notebook_retravaill!I3&gt;[1]Result_notebook_retravaill!G3,0,IF([1]Result_notebook_retravaill!I3+[1]Result_notebook_retravaill!J3&gt;[1]Result_notebook_retravaill!G3,[1]Result_notebook_retravaill!G3-[1]Result_notebook_retravaill!I3,[1]Result_notebook_retravaill!J3))</f>
        <v>52.985592172937231</v>
      </c>
      <c r="L3" s="3">
        <f>IF([1]Result_notebook_retravaill!I3&gt;[1]Result_notebook_retravaill!G3,0,IF([1]Result_notebook_retravaill!I3+[1]Result_notebook_retravaill!J3&gt;[1]Result_notebook_retravaill!G3,0,[1]Result_notebook_retravaill!M3))</f>
        <v>8021.2434854623316</v>
      </c>
    </row>
    <row r="4" spans="1:12">
      <c r="A4">
        <f>[1]Result_notebook_retravaill!A4</f>
        <v>2025</v>
      </c>
      <c r="B4" t="str">
        <f>[1]Result_notebook_retravaill!B4</f>
        <v>Cobalt</v>
      </c>
      <c r="C4" t="str">
        <f>[1]Result_notebook_retravaill!C4</f>
        <v>Canada Net-zero</v>
      </c>
      <c r="D4" t="str">
        <f>[1]Result_notebook_retravaill!D4</f>
        <v>Production potential</v>
      </c>
      <c r="E4" t="str">
        <f>[1]Result_notebook_retravaill!E4</f>
        <v>Current shares</v>
      </c>
      <c r="F4" t="str">
        <f>[1]Result_notebook_retravaill!F4</f>
        <v>Expansion Extractive</v>
      </c>
      <c r="G4">
        <f>[1]Result_notebook_retravaill!G4</f>
        <v>9556.3203859726327</v>
      </c>
      <c r="H4" s="3">
        <f>IF([1]Result_notebook_retravaill!I4&gt;[1]Result_notebook_retravaill!G4,[1]Result_notebook_retravaill!I4/[1]Result_notebook_retravaill!N4,[1]Result_notebook_retravaill!H4)</f>
        <v>3850.4060559825398</v>
      </c>
      <c r="I4" s="3">
        <f>[1]Result_notebook_retravaill!K4</f>
        <v>17868.503912137079</v>
      </c>
      <c r="J4" s="3">
        <f>MIN(G4,[1]Result_notebook_retravaill!I4)</f>
        <v>1633.272280807462</v>
      </c>
      <c r="K4" s="3">
        <f>IF([1]Result_notebook_retravaill!I4&gt;[1]Result_notebook_retravaill!G4,0,IF([1]Result_notebook_retravaill!I4+[1]Result_notebook_retravaill!J4&gt;[1]Result_notebook_retravaill!G4,[1]Result_notebook_retravaill!G4-[1]Result_notebook_retravaill!I4,[1]Result_notebook_retravaill!J4))</f>
        <v>58.390396388808767</v>
      </c>
      <c r="L4" s="3">
        <f>IF([1]Result_notebook_retravaill!I4&gt;[1]Result_notebook_retravaill!G4,0,IF([1]Result_notebook_retravaill!I4+[1]Result_notebook_retravaill!J4&gt;[1]Result_notebook_retravaill!G4,0,[1]Result_notebook_retravaill!M4))</f>
        <v>7864.6577087763617</v>
      </c>
    </row>
    <row r="5" spans="1:12">
      <c r="A5">
        <f>[1]Result_notebook_retravaill!A5</f>
        <v>2025</v>
      </c>
      <c r="B5" t="str">
        <f>[1]Result_notebook_retravaill!B5</f>
        <v>Cobalt</v>
      </c>
      <c r="C5" t="str">
        <f>[1]Result_notebook_retravaill!C5</f>
        <v>Canada Net-zero</v>
      </c>
      <c r="D5" t="str">
        <f>[1]Result_notebook_retravaill!D5</f>
        <v>Production potential</v>
      </c>
      <c r="E5" t="str">
        <f>[1]Result_notebook_retravaill!E5</f>
        <v>Current shares</v>
      </c>
      <c r="F5" t="str">
        <f>[1]Result_notebook_retravaill!F5</f>
        <v>Expansion Extractive+Circularity</v>
      </c>
      <c r="G5">
        <f>[1]Result_notebook_retravaill!G5</f>
        <v>9556.3203859726327</v>
      </c>
      <c r="H5" s="3">
        <f>IF([1]Result_notebook_retravaill!I5&gt;[1]Result_notebook_retravaill!G5,[1]Result_notebook_retravaill!I5/[1]Result_notebook_retravaill!N5,[1]Result_notebook_retravaill!H5)</f>
        <v>3850.4060559825398</v>
      </c>
      <c r="I5" s="3">
        <f>[1]Result_notebook_retravaill!K5</f>
        <v>17868.503912137079</v>
      </c>
      <c r="J5" s="3">
        <f>MIN(G5,[1]Result_notebook_retravaill!I5)</f>
        <v>1633.272280807462</v>
      </c>
      <c r="K5" s="3">
        <f>IF([1]Result_notebook_retravaill!I5&gt;[1]Result_notebook_retravaill!G5,0,IF([1]Result_notebook_retravaill!I5+[1]Result_notebook_retravaill!J5&gt;[1]Result_notebook_retravaill!G5,[1]Result_notebook_retravaill!G5-[1]Result_notebook_retravaill!I5,[1]Result_notebook_retravaill!J5))</f>
        <v>58.390396388808767</v>
      </c>
      <c r="L5" s="3">
        <f>IF([1]Result_notebook_retravaill!I5&gt;[1]Result_notebook_retravaill!G5,0,IF([1]Result_notebook_retravaill!I5+[1]Result_notebook_retravaill!J5&gt;[1]Result_notebook_retravaill!G5,0,[1]Result_notebook_retravaill!M5))</f>
        <v>7864.6577087763617</v>
      </c>
    </row>
    <row r="6" spans="1:12">
      <c r="A6">
        <f>[1]Result_notebook_retravaill!A6</f>
        <v>2025</v>
      </c>
      <c r="B6" t="str">
        <f>[1]Result_notebook_retravaill!B6</f>
        <v>Cobalt</v>
      </c>
      <c r="C6" t="str">
        <f>[1]Result_notebook_retravaill!C6</f>
        <v>Canada Net-zero</v>
      </c>
      <c r="D6" t="str">
        <f>[1]Result_notebook_retravaill!D6</f>
        <v>Production potential</v>
      </c>
      <c r="E6" t="str">
        <f>[1]Result_notebook_retravaill!E6</f>
        <v>100% CAN</v>
      </c>
      <c r="F6" t="str">
        <f>[1]Result_notebook_retravaill!F6</f>
        <v>Integrated</v>
      </c>
      <c r="G6">
        <f>[1]Result_notebook_retravaill!G6</f>
        <v>9556.3203859726327</v>
      </c>
      <c r="H6" s="3">
        <f>IF([1]Result_notebook_retravaill!I6&gt;[1]Result_notebook_retravaill!G6,[1]Result_notebook_retravaill!I6/[1]Result_notebook_retravaill!N6,[1]Result_notebook_retravaill!H6)</f>
        <v>3850.4060559825398</v>
      </c>
      <c r="I6" s="3">
        <f>[1]Result_notebook_retravaill!K6</f>
        <v>17868.503912137079</v>
      </c>
      <c r="J6" s="3">
        <f>MIN(G6,[1]Result_notebook_retravaill!I6)</f>
        <v>1691.6626771962719</v>
      </c>
      <c r="K6" s="3">
        <f>IF([1]Result_notebook_retravaill!I6&gt;[1]Result_notebook_retravaill!G6,0,IF([1]Result_notebook_retravaill!I6+[1]Result_notebook_retravaill!J6&gt;[1]Result_notebook_retravaill!G6,[1]Result_notebook_retravaill!G6-[1]Result_notebook_retravaill!I6,[1]Result_notebook_retravaill!J6))</f>
        <v>0</v>
      </c>
      <c r="L6" s="3">
        <f>IF([1]Result_notebook_retravaill!I6&gt;[1]Result_notebook_retravaill!G6,0,IF([1]Result_notebook_retravaill!I6+[1]Result_notebook_retravaill!J6&gt;[1]Result_notebook_retravaill!G6,0,[1]Result_notebook_retravaill!M6))</f>
        <v>7864.6577087763599</v>
      </c>
    </row>
    <row r="7" spans="1:12">
      <c r="A7">
        <f>[1]Result_notebook_retravaill!A7</f>
        <v>2025</v>
      </c>
      <c r="B7" t="str">
        <f>[1]Result_notebook_retravaill!B7</f>
        <v>Cobalt</v>
      </c>
      <c r="C7" t="str">
        <f>[1]Result_notebook_retravaill!C7</f>
        <v>Current Measures</v>
      </c>
      <c r="D7" t="str">
        <f>[1]Result_notebook_retravaill!D7</f>
        <v>Existing production</v>
      </c>
      <c r="E7" t="str">
        <f>[1]Result_notebook_retravaill!E7</f>
        <v>Current shares</v>
      </c>
      <c r="F7" t="str">
        <f>[1]Result_notebook_retravaill!F7</f>
        <v>NIMBY</v>
      </c>
      <c r="G7">
        <f>[1]Result_notebook_retravaill!G7</f>
        <v>8776.8728698047889</v>
      </c>
      <c r="H7" s="3">
        <f>IF([1]Result_notebook_retravaill!I7&gt;[1]Result_notebook_retravaill!G7,[1]Result_notebook_retravaill!I7/[1]Result_notebook_retravaill!N7,[1]Result_notebook_retravaill!H7)</f>
        <v>0</v>
      </c>
      <c r="I7" s="3">
        <f>[1]Result_notebook_retravaill!K7</f>
        <v>19947.438340465429</v>
      </c>
      <c r="J7" s="3">
        <f>MIN(G7,[1]Result_notebook_retravaill!I7)</f>
        <v>0</v>
      </c>
      <c r="K7" s="3">
        <f>IF([1]Result_notebook_retravaill!I7&gt;[1]Result_notebook_retravaill!G7,0,IF([1]Result_notebook_retravaill!I7+[1]Result_notebook_retravaill!J7&gt;[1]Result_notebook_retravaill!G7,[1]Result_notebook_retravaill!G7-[1]Result_notebook_retravaill!I7,[1]Result_notebook_retravaill!J7))</f>
        <v>0</v>
      </c>
      <c r="L7" s="3">
        <f>IF([1]Result_notebook_retravaill!I7&gt;[1]Result_notebook_retravaill!G7,0,IF([1]Result_notebook_retravaill!I7+[1]Result_notebook_retravaill!J7&gt;[1]Result_notebook_retravaill!G7,0,[1]Result_notebook_retravaill!M7))</f>
        <v>8776.8728698047889</v>
      </c>
    </row>
    <row r="8" spans="1:12">
      <c r="A8">
        <f>[1]Result_notebook_retravaill!A8</f>
        <v>2025</v>
      </c>
      <c r="B8" t="str">
        <f>[1]Result_notebook_retravaill!B8</f>
        <v>Cobalt</v>
      </c>
      <c r="C8" t="str">
        <f>[1]Result_notebook_retravaill!C8</f>
        <v>Current Measures</v>
      </c>
      <c r="D8" t="str">
        <f>[1]Result_notebook_retravaill!D8</f>
        <v>Existing production</v>
      </c>
      <c r="E8" t="str">
        <f>[1]Result_notebook_retravaill!E8</f>
        <v>Current shares</v>
      </c>
      <c r="F8" t="str">
        <f>[1]Result_notebook_retravaill!F8</f>
        <v>Status Quo</v>
      </c>
      <c r="G8">
        <f>[1]Result_notebook_retravaill!G8</f>
        <v>8776.8728698047889</v>
      </c>
      <c r="H8" s="3">
        <f>IF([1]Result_notebook_retravaill!I8&gt;[1]Result_notebook_retravaill!G8,[1]Result_notebook_retravaill!I8/[1]Result_notebook_retravaill!N8,[1]Result_notebook_retravaill!H8)</f>
        <v>3494</v>
      </c>
      <c r="I8" s="3">
        <f>[1]Result_notebook_retravaill!K8</f>
        <v>16453.438340465429</v>
      </c>
      <c r="J8" s="3">
        <f>MIN(G8,[1]Result_notebook_retravaill!I8)</f>
        <v>1482.0913083373639</v>
      </c>
      <c r="K8" s="3">
        <f>IF([1]Result_notebook_retravaill!I8&gt;[1]Result_notebook_retravaill!G8,0,IF([1]Result_notebook_retravaill!I8+[1]Result_notebook_retravaill!J8&gt;[1]Result_notebook_retravaill!G8,[1]Result_notebook_retravaill!G8-[1]Result_notebook_retravaill!I8,[1]Result_notebook_retravaill!J8))</f>
        <v>52.985592172937231</v>
      </c>
      <c r="L8" s="3">
        <f>IF([1]Result_notebook_retravaill!I8&gt;[1]Result_notebook_retravaill!G8,0,IF([1]Result_notebook_retravaill!I8+[1]Result_notebook_retravaill!J8&gt;[1]Result_notebook_retravaill!G8,0,[1]Result_notebook_retravaill!M8))</f>
        <v>7241.7959692944878</v>
      </c>
    </row>
    <row r="9" spans="1:12">
      <c r="A9">
        <f>[1]Result_notebook_retravaill!A9</f>
        <v>2025</v>
      </c>
      <c r="B9" t="str">
        <f>[1]Result_notebook_retravaill!B9</f>
        <v>Cobalt</v>
      </c>
      <c r="C9" t="str">
        <f>[1]Result_notebook_retravaill!C9</f>
        <v>Current Measures</v>
      </c>
      <c r="D9" t="str">
        <f>[1]Result_notebook_retravaill!D9</f>
        <v>Production potential</v>
      </c>
      <c r="E9" t="str">
        <f>[1]Result_notebook_retravaill!E9</f>
        <v>Current shares</v>
      </c>
      <c r="F9" t="str">
        <f>[1]Result_notebook_retravaill!F9</f>
        <v>Expansion Extractive</v>
      </c>
      <c r="G9">
        <f>[1]Result_notebook_retravaill!G9</f>
        <v>8776.8728698047889</v>
      </c>
      <c r="H9" s="3">
        <f>IF([1]Result_notebook_retravaill!I9&gt;[1]Result_notebook_retravaill!G9,[1]Result_notebook_retravaill!I9/[1]Result_notebook_retravaill!N9,[1]Result_notebook_retravaill!H9)</f>
        <v>3850.4060559825398</v>
      </c>
      <c r="I9" s="3">
        <f>[1]Result_notebook_retravaill!K9</f>
        <v>16097.03228448289</v>
      </c>
      <c r="J9" s="3">
        <f>MIN(G9,[1]Result_notebook_retravaill!I9)</f>
        <v>1633.272280807462</v>
      </c>
      <c r="K9" s="3">
        <f>IF([1]Result_notebook_retravaill!I9&gt;[1]Result_notebook_retravaill!G9,0,IF([1]Result_notebook_retravaill!I9+[1]Result_notebook_retravaill!J9&gt;[1]Result_notebook_retravaill!G9,[1]Result_notebook_retravaill!G9-[1]Result_notebook_retravaill!I9,[1]Result_notebook_retravaill!J9))</f>
        <v>58.390396388808767</v>
      </c>
      <c r="L9" s="3">
        <f>IF([1]Result_notebook_retravaill!I9&gt;[1]Result_notebook_retravaill!G9,0,IF([1]Result_notebook_retravaill!I9+[1]Result_notebook_retravaill!J9&gt;[1]Result_notebook_retravaill!G9,0,[1]Result_notebook_retravaill!M9))</f>
        <v>7085.2101926085179</v>
      </c>
    </row>
    <row r="10" spans="1:12">
      <c r="A10">
        <f>[1]Result_notebook_retravaill!A10</f>
        <v>2025</v>
      </c>
      <c r="B10" t="str">
        <f>[1]Result_notebook_retravaill!B10</f>
        <v>Cobalt</v>
      </c>
      <c r="C10" t="str">
        <f>[1]Result_notebook_retravaill!C10</f>
        <v>Current Measures</v>
      </c>
      <c r="D10" t="str">
        <f>[1]Result_notebook_retravaill!D10</f>
        <v>Production potential</v>
      </c>
      <c r="E10" t="str">
        <f>[1]Result_notebook_retravaill!E10</f>
        <v>Current shares</v>
      </c>
      <c r="F10" t="str">
        <f>[1]Result_notebook_retravaill!F10</f>
        <v>Expansion Extractive+Circularity</v>
      </c>
      <c r="G10">
        <f>[1]Result_notebook_retravaill!G10</f>
        <v>8776.8728698047889</v>
      </c>
      <c r="H10" s="3">
        <f>IF([1]Result_notebook_retravaill!I10&gt;[1]Result_notebook_retravaill!G10,[1]Result_notebook_retravaill!I10/[1]Result_notebook_retravaill!N10,[1]Result_notebook_retravaill!H10)</f>
        <v>3850.4060559825398</v>
      </c>
      <c r="I10" s="3">
        <f>[1]Result_notebook_retravaill!K10</f>
        <v>16097.03228448289</v>
      </c>
      <c r="J10" s="3">
        <f>MIN(G10,[1]Result_notebook_retravaill!I10)</f>
        <v>1633.272280807462</v>
      </c>
      <c r="K10" s="3">
        <f>IF([1]Result_notebook_retravaill!I10&gt;[1]Result_notebook_retravaill!G10,0,IF([1]Result_notebook_retravaill!I10+[1]Result_notebook_retravaill!J10&gt;[1]Result_notebook_retravaill!G10,[1]Result_notebook_retravaill!G10-[1]Result_notebook_retravaill!I10,[1]Result_notebook_retravaill!J10))</f>
        <v>58.390396388808767</v>
      </c>
      <c r="L10" s="3">
        <f>IF([1]Result_notebook_retravaill!I10&gt;[1]Result_notebook_retravaill!G10,0,IF([1]Result_notebook_retravaill!I10+[1]Result_notebook_retravaill!J10&gt;[1]Result_notebook_retravaill!G10,0,[1]Result_notebook_retravaill!M10))</f>
        <v>7085.2101926085179</v>
      </c>
    </row>
    <row r="11" spans="1:12">
      <c r="A11">
        <f>[1]Result_notebook_retravaill!A11</f>
        <v>2025</v>
      </c>
      <c r="B11" t="str">
        <f>[1]Result_notebook_retravaill!B11</f>
        <v>Cobalt</v>
      </c>
      <c r="C11" t="str">
        <f>[1]Result_notebook_retravaill!C11</f>
        <v>Current Measures</v>
      </c>
      <c r="D11" t="str">
        <f>[1]Result_notebook_retravaill!D11</f>
        <v>Production potential</v>
      </c>
      <c r="E11" t="str">
        <f>[1]Result_notebook_retravaill!E11</f>
        <v>100% CAN</v>
      </c>
      <c r="F11" t="str">
        <f>[1]Result_notebook_retravaill!F11</f>
        <v>Integrated</v>
      </c>
      <c r="G11">
        <f>[1]Result_notebook_retravaill!G11</f>
        <v>8776.8728698047889</v>
      </c>
      <c r="H11" s="3">
        <f>IF([1]Result_notebook_retravaill!I11&gt;[1]Result_notebook_retravaill!G11,[1]Result_notebook_retravaill!I11/[1]Result_notebook_retravaill!N11,[1]Result_notebook_retravaill!H11)</f>
        <v>3850.4060559825398</v>
      </c>
      <c r="I11" s="3">
        <f>[1]Result_notebook_retravaill!K11</f>
        <v>16097.03228448289</v>
      </c>
      <c r="J11" s="3">
        <f>MIN(G11,[1]Result_notebook_retravaill!I11)</f>
        <v>1691.6626771962719</v>
      </c>
      <c r="K11" s="3">
        <f>IF([1]Result_notebook_retravaill!I11&gt;[1]Result_notebook_retravaill!G11,0,IF([1]Result_notebook_retravaill!I11+[1]Result_notebook_retravaill!J11&gt;[1]Result_notebook_retravaill!G11,[1]Result_notebook_retravaill!G11-[1]Result_notebook_retravaill!I11,[1]Result_notebook_retravaill!J11))</f>
        <v>0</v>
      </c>
      <c r="L11" s="3">
        <f>IF([1]Result_notebook_retravaill!I11&gt;[1]Result_notebook_retravaill!G11,0,IF([1]Result_notebook_retravaill!I11+[1]Result_notebook_retravaill!J11&gt;[1]Result_notebook_retravaill!G11,0,[1]Result_notebook_retravaill!M11))</f>
        <v>7085.2101926085161</v>
      </c>
    </row>
    <row r="12" spans="1:12">
      <c r="A12">
        <f>[1]Result_notebook_retravaill!A12</f>
        <v>2025</v>
      </c>
      <c r="B12" t="str">
        <f>[1]Result_notebook_retravaill!B12</f>
        <v>Cobalt</v>
      </c>
      <c r="C12" t="str">
        <f>[1]Result_notebook_retravaill!C12</f>
        <v>Global Net-zero</v>
      </c>
      <c r="D12" t="str">
        <f>[1]Result_notebook_retravaill!D12</f>
        <v>Existing production</v>
      </c>
      <c r="E12" t="str">
        <f>[1]Result_notebook_retravaill!E12</f>
        <v>Current shares</v>
      </c>
      <c r="F12" t="str">
        <f>[1]Result_notebook_retravaill!F12</f>
        <v>NIMBY</v>
      </c>
      <c r="G12">
        <f>[1]Result_notebook_retravaill!G12</f>
        <v>9422.7255621447621</v>
      </c>
      <c r="H12" s="3">
        <f>IF([1]Result_notebook_retravaill!I12&gt;[1]Result_notebook_retravaill!G12,[1]Result_notebook_retravaill!I12/[1]Result_notebook_retravaill!N12,[1]Result_notebook_retravaill!H12)</f>
        <v>0</v>
      </c>
      <c r="I12" s="3">
        <f>[1]Result_notebook_retravaill!K12</f>
        <v>21415.28536851082</v>
      </c>
      <c r="J12" s="3">
        <f>MIN(G12,[1]Result_notebook_retravaill!I12)</f>
        <v>0</v>
      </c>
      <c r="K12" s="3">
        <f>IF([1]Result_notebook_retravaill!I12&gt;[1]Result_notebook_retravaill!G12,0,IF([1]Result_notebook_retravaill!I12+[1]Result_notebook_retravaill!J12&gt;[1]Result_notebook_retravaill!G12,[1]Result_notebook_retravaill!G12-[1]Result_notebook_retravaill!I12,[1]Result_notebook_retravaill!J12))</f>
        <v>0</v>
      </c>
      <c r="L12" s="3">
        <f>IF([1]Result_notebook_retravaill!I12&gt;[1]Result_notebook_retravaill!G12,0,IF([1]Result_notebook_retravaill!I12+[1]Result_notebook_retravaill!J12&gt;[1]Result_notebook_retravaill!G12,0,[1]Result_notebook_retravaill!M12))</f>
        <v>9422.7255621447621</v>
      </c>
    </row>
    <row r="13" spans="1:12">
      <c r="A13">
        <f>[1]Result_notebook_retravaill!A13</f>
        <v>2025</v>
      </c>
      <c r="B13" t="str">
        <f>[1]Result_notebook_retravaill!B13</f>
        <v>Cobalt</v>
      </c>
      <c r="C13" t="str">
        <f>[1]Result_notebook_retravaill!C13</f>
        <v>Global Net-zero</v>
      </c>
      <c r="D13" t="str">
        <f>[1]Result_notebook_retravaill!D13</f>
        <v>Existing production</v>
      </c>
      <c r="E13" t="str">
        <f>[1]Result_notebook_retravaill!E13</f>
        <v>Current shares</v>
      </c>
      <c r="F13" t="str">
        <f>[1]Result_notebook_retravaill!F13</f>
        <v>Status Quo</v>
      </c>
      <c r="G13">
        <f>[1]Result_notebook_retravaill!G13</f>
        <v>9422.7255621447621</v>
      </c>
      <c r="H13" s="3">
        <f>IF([1]Result_notebook_retravaill!I13&gt;[1]Result_notebook_retravaill!G13,[1]Result_notebook_retravaill!I13/[1]Result_notebook_retravaill!N13,[1]Result_notebook_retravaill!H13)</f>
        <v>3494</v>
      </c>
      <c r="I13" s="3">
        <f>[1]Result_notebook_retravaill!K13</f>
        <v>17921.28536851082</v>
      </c>
      <c r="J13" s="3">
        <f>MIN(G13,[1]Result_notebook_retravaill!I13)</f>
        <v>1482.0913083373639</v>
      </c>
      <c r="K13" s="3">
        <f>IF([1]Result_notebook_retravaill!I13&gt;[1]Result_notebook_retravaill!G13,0,IF([1]Result_notebook_retravaill!I13+[1]Result_notebook_retravaill!J13&gt;[1]Result_notebook_retravaill!G13,[1]Result_notebook_retravaill!G13-[1]Result_notebook_retravaill!I13,[1]Result_notebook_retravaill!J13))</f>
        <v>52.985592172937231</v>
      </c>
      <c r="L13" s="3">
        <f>IF([1]Result_notebook_retravaill!I13&gt;[1]Result_notebook_retravaill!G13,0,IF([1]Result_notebook_retravaill!I13+[1]Result_notebook_retravaill!J13&gt;[1]Result_notebook_retravaill!G13,0,[1]Result_notebook_retravaill!M13))</f>
        <v>7887.648661634461</v>
      </c>
    </row>
    <row r="14" spans="1:12">
      <c r="A14">
        <f>[1]Result_notebook_retravaill!A14</f>
        <v>2025</v>
      </c>
      <c r="B14" t="str">
        <f>[1]Result_notebook_retravaill!B14</f>
        <v>Cobalt</v>
      </c>
      <c r="C14" t="str">
        <f>[1]Result_notebook_retravaill!C14</f>
        <v>Global Net-zero</v>
      </c>
      <c r="D14" t="str">
        <f>[1]Result_notebook_retravaill!D14</f>
        <v>Production potential</v>
      </c>
      <c r="E14" t="str">
        <f>[1]Result_notebook_retravaill!E14</f>
        <v>Current shares</v>
      </c>
      <c r="F14" t="str">
        <f>[1]Result_notebook_retravaill!F14</f>
        <v>Expansion Extractive</v>
      </c>
      <c r="G14">
        <f>[1]Result_notebook_retravaill!G14</f>
        <v>9422.7255621447621</v>
      </c>
      <c r="H14" s="3">
        <f>IF([1]Result_notebook_retravaill!I14&gt;[1]Result_notebook_retravaill!G14,[1]Result_notebook_retravaill!I14/[1]Result_notebook_retravaill!N14,[1]Result_notebook_retravaill!H14)</f>
        <v>3850.4060559825398</v>
      </c>
      <c r="I14" s="3">
        <f>[1]Result_notebook_retravaill!K14</f>
        <v>17564.879312528279</v>
      </c>
      <c r="J14" s="3">
        <f>MIN(G14,[1]Result_notebook_retravaill!I14)</f>
        <v>1633.272280807462</v>
      </c>
      <c r="K14" s="3">
        <f>IF([1]Result_notebook_retravaill!I14&gt;[1]Result_notebook_retravaill!G14,0,IF([1]Result_notebook_retravaill!I14+[1]Result_notebook_retravaill!J14&gt;[1]Result_notebook_retravaill!G14,[1]Result_notebook_retravaill!G14-[1]Result_notebook_retravaill!I14,[1]Result_notebook_retravaill!J14))</f>
        <v>58.390396388808767</v>
      </c>
      <c r="L14" s="3">
        <f>IF([1]Result_notebook_retravaill!I14&gt;[1]Result_notebook_retravaill!G14,0,IF([1]Result_notebook_retravaill!I14+[1]Result_notebook_retravaill!J14&gt;[1]Result_notebook_retravaill!G14,0,[1]Result_notebook_retravaill!M14))</f>
        <v>7731.062884948491</v>
      </c>
    </row>
    <row r="15" spans="1:12">
      <c r="A15">
        <f>[1]Result_notebook_retravaill!A15</f>
        <v>2025</v>
      </c>
      <c r="B15" t="str">
        <f>[1]Result_notebook_retravaill!B15</f>
        <v>Cobalt</v>
      </c>
      <c r="C15" t="str">
        <f>[1]Result_notebook_retravaill!C15</f>
        <v>Global Net-zero</v>
      </c>
      <c r="D15" t="str">
        <f>[1]Result_notebook_retravaill!D15</f>
        <v>Production potential</v>
      </c>
      <c r="E15" t="str">
        <f>[1]Result_notebook_retravaill!E15</f>
        <v>Current shares</v>
      </c>
      <c r="F15" t="str">
        <f>[1]Result_notebook_retravaill!F15</f>
        <v>Expansion Extractive+Circularity</v>
      </c>
      <c r="G15">
        <f>[1]Result_notebook_retravaill!G15</f>
        <v>9422.7255621447621</v>
      </c>
      <c r="H15" s="3">
        <f>IF([1]Result_notebook_retravaill!I15&gt;[1]Result_notebook_retravaill!G15,[1]Result_notebook_retravaill!I15/[1]Result_notebook_retravaill!N15,[1]Result_notebook_retravaill!H15)</f>
        <v>3850.4060559825398</v>
      </c>
      <c r="I15" s="3">
        <f>[1]Result_notebook_retravaill!K15</f>
        <v>17564.879312528279</v>
      </c>
      <c r="J15" s="3">
        <f>MIN(G15,[1]Result_notebook_retravaill!I15)</f>
        <v>1633.272280807462</v>
      </c>
      <c r="K15" s="3">
        <f>IF([1]Result_notebook_retravaill!I15&gt;[1]Result_notebook_retravaill!G15,0,IF([1]Result_notebook_retravaill!I15+[1]Result_notebook_retravaill!J15&gt;[1]Result_notebook_retravaill!G15,[1]Result_notebook_retravaill!G15-[1]Result_notebook_retravaill!I15,[1]Result_notebook_retravaill!J15))</f>
        <v>58.390396388808767</v>
      </c>
      <c r="L15" s="3">
        <f>IF([1]Result_notebook_retravaill!I15&gt;[1]Result_notebook_retravaill!G15,0,IF([1]Result_notebook_retravaill!I15+[1]Result_notebook_retravaill!J15&gt;[1]Result_notebook_retravaill!G15,0,[1]Result_notebook_retravaill!M15))</f>
        <v>7731.062884948491</v>
      </c>
    </row>
    <row r="16" spans="1:12">
      <c r="A16">
        <f>[1]Result_notebook_retravaill!A16</f>
        <v>2025</v>
      </c>
      <c r="B16" t="str">
        <f>[1]Result_notebook_retravaill!B16</f>
        <v>Cobalt</v>
      </c>
      <c r="C16" t="str">
        <f>[1]Result_notebook_retravaill!C16</f>
        <v>Global Net-zero</v>
      </c>
      <c r="D16" t="str">
        <f>[1]Result_notebook_retravaill!D16</f>
        <v>Production potential</v>
      </c>
      <c r="E16" t="str">
        <f>[1]Result_notebook_retravaill!E16</f>
        <v>100% CAN</v>
      </c>
      <c r="F16" t="str">
        <f>[1]Result_notebook_retravaill!F16</f>
        <v>Integrated</v>
      </c>
      <c r="G16">
        <f>[1]Result_notebook_retravaill!G16</f>
        <v>9422.7255621447621</v>
      </c>
      <c r="H16" s="3">
        <f>IF([1]Result_notebook_retravaill!I16&gt;[1]Result_notebook_retravaill!G16,[1]Result_notebook_retravaill!I16/[1]Result_notebook_retravaill!N16,[1]Result_notebook_retravaill!H16)</f>
        <v>3850.4060559825398</v>
      </c>
      <c r="I16" s="3">
        <f>[1]Result_notebook_retravaill!K16</f>
        <v>17564.879312528279</v>
      </c>
      <c r="J16" s="3">
        <f>MIN(G16,[1]Result_notebook_retravaill!I16)</f>
        <v>1691.6626771962719</v>
      </c>
      <c r="K16" s="3">
        <f>IF([1]Result_notebook_retravaill!I16&gt;[1]Result_notebook_retravaill!G16,0,IF([1]Result_notebook_retravaill!I16+[1]Result_notebook_retravaill!J16&gt;[1]Result_notebook_retravaill!G16,[1]Result_notebook_retravaill!G16-[1]Result_notebook_retravaill!I16,[1]Result_notebook_retravaill!J16))</f>
        <v>0</v>
      </c>
      <c r="L16" s="3">
        <f>IF([1]Result_notebook_retravaill!I16&gt;[1]Result_notebook_retravaill!G16,0,IF([1]Result_notebook_retravaill!I16+[1]Result_notebook_retravaill!J16&gt;[1]Result_notebook_retravaill!G16,0,[1]Result_notebook_retravaill!M16))</f>
        <v>7731.0628849484892</v>
      </c>
    </row>
    <row r="17" spans="1:12">
      <c r="A17">
        <f>[1]Result_notebook_retravaill!A17</f>
        <v>2025</v>
      </c>
      <c r="B17" t="str">
        <f>[1]Result_notebook_retravaill!B17</f>
        <v>Copper</v>
      </c>
      <c r="C17" t="str">
        <f>[1]Result_notebook_retravaill!C17</f>
        <v>Canada Net-zero</v>
      </c>
      <c r="D17" t="str">
        <f>[1]Result_notebook_retravaill!D17</f>
        <v>Existing production</v>
      </c>
      <c r="E17" t="str">
        <f>[1]Result_notebook_retravaill!E17</f>
        <v>Current shares</v>
      </c>
      <c r="F17" t="str">
        <f>[1]Result_notebook_retravaill!F17</f>
        <v>NIMBY</v>
      </c>
      <c r="G17">
        <f>[1]Result_notebook_retravaill!G17</f>
        <v>816152.33242339652</v>
      </c>
      <c r="H17" s="3">
        <f>IF([1]Result_notebook_retravaill!I17&gt;[1]Result_notebook_retravaill!G17,[1]Result_notebook_retravaill!I17/[1]Result_notebook_retravaill!N17,[1]Result_notebook_retravaill!H17)</f>
        <v>0</v>
      </c>
      <c r="I17" s="3">
        <f>[1]Result_notebook_retravaill!K17</f>
        <v>983316.06316071877</v>
      </c>
      <c r="J17" s="3">
        <f>MIN(G17,[1]Result_notebook_retravaill!I17)</f>
        <v>0</v>
      </c>
      <c r="K17" s="3">
        <f>IF([1]Result_notebook_retravaill!I17&gt;[1]Result_notebook_retravaill!G17,0,IF([1]Result_notebook_retravaill!I17+[1]Result_notebook_retravaill!J17&gt;[1]Result_notebook_retravaill!G17,[1]Result_notebook_retravaill!G17-[1]Result_notebook_retravaill!I17,[1]Result_notebook_retravaill!J17))</f>
        <v>0</v>
      </c>
      <c r="L17" s="3">
        <f>IF([1]Result_notebook_retravaill!I17&gt;[1]Result_notebook_retravaill!G17,0,IF([1]Result_notebook_retravaill!I17+[1]Result_notebook_retravaill!J17&gt;[1]Result_notebook_retravaill!G17,0,[1]Result_notebook_retravaill!M17))</f>
        <v>816152.33242339652</v>
      </c>
    </row>
    <row r="18" spans="1:12">
      <c r="A18">
        <f>[1]Result_notebook_retravaill!A18</f>
        <v>2025</v>
      </c>
      <c r="B18" t="str">
        <f>[1]Result_notebook_retravaill!B18</f>
        <v>Copper</v>
      </c>
      <c r="C18" t="str">
        <f>[1]Result_notebook_retravaill!C18</f>
        <v>Canada Net-zero</v>
      </c>
      <c r="D18" t="str">
        <f>[1]Result_notebook_retravaill!D18</f>
        <v>Existing production</v>
      </c>
      <c r="E18" t="str">
        <f>[1]Result_notebook_retravaill!E18</f>
        <v>Current shares</v>
      </c>
      <c r="F18" t="str">
        <f>[1]Result_notebook_retravaill!F18</f>
        <v>Status Quo</v>
      </c>
      <c r="G18">
        <f>[1]Result_notebook_retravaill!G18</f>
        <v>816152.33242339652</v>
      </c>
      <c r="H18" s="3">
        <f>IF([1]Result_notebook_retravaill!I18&gt;[1]Result_notebook_retravaill!G18,[1]Result_notebook_retravaill!I18/[1]Result_notebook_retravaill!N18,[1]Result_notebook_retravaill!H18)</f>
        <v>483888</v>
      </c>
      <c r="I18" s="3">
        <f>[1]Result_notebook_retravaill!K18</f>
        <v>499428.06316071883</v>
      </c>
      <c r="J18" s="3">
        <f>MIN(G18,[1]Result_notebook_retravaill!I18)</f>
        <v>254335.73656839409</v>
      </c>
      <c r="K18" s="3">
        <f>IF([1]Result_notebook_retravaill!I18&gt;[1]Result_notebook_retravaill!G18,0,IF([1]Result_notebook_retravaill!I18+[1]Result_notebook_retravaill!J18&gt;[1]Result_notebook_retravaill!G18,[1]Result_notebook_retravaill!G18-[1]Result_notebook_retravaill!I18,[1]Result_notebook_retravaill!J18))</f>
        <v>149587.72105872436</v>
      </c>
      <c r="L18" s="3">
        <f>IF([1]Result_notebook_retravaill!I18&gt;[1]Result_notebook_retravaill!G18,0,IF([1]Result_notebook_retravaill!I18+[1]Result_notebook_retravaill!J18&gt;[1]Result_notebook_retravaill!G18,0,[1]Result_notebook_retravaill!M18))</f>
        <v>412228.87479627819</v>
      </c>
    </row>
    <row r="19" spans="1:12">
      <c r="A19">
        <f>[1]Result_notebook_retravaill!A19</f>
        <v>2025</v>
      </c>
      <c r="B19" t="str">
        <f>[1]Result_notebook_retravaill!B19</f>
        <v>Copper</v>
      </c>
      <c r="C19" t="str">
        <f>[1]Result_notebook_retravaill!C19</f>
        <v>Canada Net-zero</v>
      </c>
      <c r="D19" t="str">
        <f>[1]Result_notebook_retravaill!D19</f>
        <v>Production potential</v>
      </c>
      <c r="E19" t="str">
        <f>[1]Result_notebook_retravaill!E19</f>
        <v>Current shares</v>
      </c>
      <c r="F19" t="str">
        <f>[1]Result_notebook_retravaill!F19</f>
        <v>Expansion Extractive</v>
      </c>
      <c r="G19">
        <f>[1]Result_notebook_retravaill!G19</f>
        <v>816152.33242339652</v>
      </c>
      <c r="H19" s="3">
        <f>IF([1]Result_notebook_retravaill!I19&gt;[1]Result_notebook_retravaill!G19,[1]Result_notebook_retravaill!I19/[1]Result_notebook_retravaill!N19,[1]Result_notebook_retravaill!H19)</f>
        <v>534750.25845525716</v>
      </c>
      <c r="I19" s="3">
        <f>[1]Result_notebook_retravaill!K19</f>
        <v>448565.8047054616</v>
      </c>
      <c r="J19" s="3">
        <f>MIN(G19,[1]Result_notebook_retravaill!I19)</f>
        <v>281069.38147744298</v>
      </c>
      <c r="K19" s="3">
        <f>IF([1]Result_notebook_retravaill!I19&gt;[1]Result_notebook_retravaill!G19,0,IF([1]Result_notebook_retravaill!I19+[1]Result_notebook_retravaill!J19&gt;[1]Result_notebook_retravaill!G19,[1]Result_notebook_retravaill!G19-[1]Result_notebook_retravaill!I19,[1]Result_notebook_retravaill!J19))</f>
        <v>165311.13087715703</v>
      </c>
      <c r="L19" s="3">
        <f>IF([1]Result_notebook_retravaill!I19&gt;[1]Result_notebook_retravaill!G19,0,IF([1]Result_notebook_retravaill!I19+[1]Result_notebook_retravaill!J19&gt;[1]Result_notebook_retravaill!G19,0,[1]Result_notebook_retravaill!M19))</f>
        <v>369771.82006879657</v>
      </c>
    </row>
    <row r="20" spans="1:12">
      <c r="A20">
        <f>[1]Result_notebook_retravaill!A20</f>
        <v>2025</v>
      </c>
      <c r="B20" t="str">
        <f>[1]Result_notebook_retravaill!B20</f>
        <v>Copper</v>
      </c>
      <c r="C20" t="str">
        <f>[1]Result_notebook_retravaill!C20</f>
        <v>Canada Net-zero</v>
      </c>
      <c r="D20" t="str">
        <f>[1]Result_notebook_retravaill!D20</f>
        <v>Production potential</v>
      </c>
      <c r="E20" t="str">
        <f>[1]Result_notebook_retravaill!E20</f>
        <v>Current shares</v>
      </c>
      <c r="F20" t="str">
        <f>[1]Result_notebook_retravaill!F20</f>
        <v>Expansion Extractive+Circularity</v>
      </c>
      <c r="G20">
        <f>[1]Result_notebook_retravaill!G20</f>
        <v>816152.33242339652</v>
      </c>
      <c r="H20" s="3">
        <f>IF([1]Result_notebook_retravaill!I20&gt;[1]Result_notebook_retravaill!G20,[1]Result_notebook_retravaill!I20/[1]Result_notebook_retravaill!N20,[1]Result_notebook_retravaill!H20)</f>
        <v>534750.25845525716</v>
      </c>
      <c r="I20" s="3">
        <f>[1]Result_notebook_retravaill!K20</f>
        <v>448565.8047054616</v>
      </c>
      <c r="J20" s="3">
        <f>MIN(G20,[1]Result_notebook_retravaill!I20)</f>
        <v>281069.38147744298</v>
      </c>
      <c r="K20" s="3">
        <f>IF([1]Result_notebook_retravaill!I20&gt;[1]Result_notebook_retravaill!G20,0,IF([1]Result_notebook_retravaill!I20+[1]Result_notebook_retravaill!J20&gt;[1]Result_notebook_retravaill!G20,[1]Result_notebook_retravaill!G20-[1]Result_notebook_retravaill!I20,[1]Result_notebook_retravaill!J20))</f>
        <v>165311.13087715703</v>
      </c>
      <c r="L20" s="3">
        <f>IF([1]Result_notebook_retravaill!I20&gt;[1]Result_notebook_retravaill!G20,0,IF([1]Result_notebook_retravaill!I20+[1]Result_notebook_retravaill!J20&gt;[1]Result_notebook_retravaill!G20,0,[1]Result_notebook_retravaill!M20))</f>
        <v>369771.82006879657</v>
      </c>
    </row>
    <row r="21" spans="1:12">
      <c r="A21">
        <f>[1]Result_notebook_retravaill!A21</f>
        <v>2025</v>
      </c>
      <c r="B21" t="str">
        <f>[1]Result_notebook_retravaill!B21</f>
        <v>Copper</v>
      </c>
      <c r="C21" t="str">
        <f>[1]Result_notebook_retravaill!C21</f>
        <v>Canada Net-zero</v>
      </c>
      <c r="D21" t="str">
        <f>[1]Result_notebook_retravaill!D21</f>
        <v>Production potential</v>
      </c>
      <c r="E21" t="str">
        <f>[1]Result_notebook_retravaill!E21</f>
        <v>100% CAN</v>
      </c>
      <c r="F21" t="str">
        <f>[1]Result_notebook_retravaill!F21</f>
        <v>Integrated</v>
      </c>
      <c r="G21">
        <f>[1]Result_notebook_retravaill!G21</f>
        <v>816152.33242339652</v>
      </c>
      <c r="H21" s="3">
        <f>IF([1]Result_notebook_retravaill!I21&gt;[1]Result_notebook_retravaill!G21,[1]Result_notebook_retravaill!I21/[1]Result_notebook_retravaill!N21,[1]Result_notebook_retravaill!H21)</f>
        <v>534750.25845525716</v>
      </c>
      <c r="I21" s="3">
        <f>[1]Result_notebook_retravaill!K21</f>
        <v>448565.8047054616</v>
      </c>
      <c r="J21" s="3">
        <f>MIN(G21,[1]Result_notebook_retravaill!I21)</f>
        <v>446380.51235460019</v>
      </c>
      <c r="K21" s="3">
        <f>IF([1]Result_notebook_retravaill!I21&gt;[1]Result_notebook_retravaill!G21,0,IF([1]Result_notebook_retravaill!I21+[1]Result_notebook_retravaill!J21&gt;[1]Result_notebook_retravaill!G21,[1]Result_notebook_retravaill!G21-[1]Result_notebook_retravaill!I21,[1]Result_notebook_retravaill!J21))</f>
        <v>0</v>
      </c>
      <c r="L21" s="3">
        <f>IF([1]Result_notebook_retravaill!I21&gt;[1]Result_notebook_retravaill!G21,0,IF([1]Result_notebook_retravaill!I21+[1]Result_notebook_retravaill!J21&gt;[1]Result_notebook_retravaill!G21,0,[1]Result_notebook_retravaill!M21))</f>
        <v>369771.82006879628</v>
      </c>
    </row>
    <row r="22" spans="1:12">
      <c r="A22">
        <f>[1]Result_notebook_retravaill!A22</f>
        <v>2025</v>
      </c>
      <c r="B22" t="str">
        <f>[1]Result_notebook_retravaill!B22</f>
        <v>Copper</v>
      </c>
      <c r="C22" t="str">
        <f>[1]Result_notebook_retravaill!C22</f>
        <v>Current Measures</v>
      </c>
      <c r="D22" t="str">
        <f>[1]Result_notebook_retravaill!D22</f>
        <v>Existing production</v>
      </c>
      <c r="E22" t="str">
        <f>[1]Result_notebook_retravaill!E22</f>
        <v>Current shares</v>
      </c>
      <c r="F22" t="str">
        <f>[1]Result_notebook_retravaill!F22</f>
        <v>NIMBY</v>
      </c>
      <c r="G22">
        <f>[1]Result_notebook_retravaill!G22</f>
        <v>825658.90499835368</v>
      </c>
      <c r="H22" s="3">
        <f>IF([1]Result_notebook_retravaill!I22&gt;[1]Result_notebook_retravaill!G22,[1]Result_notebook_retravaill!I22/[1]Result_notebook_retravaill!N22,[1]Result_notebook_retravaill!H22)</f>
        <v>0</v>
      </c>
      <c r="I22" s="3">
        <f>[1]Result_notebook_retravaill!K22</f>
        <v>994769.7650582575</v>
      </c>
      <c r="J22" s="3">
        <f>MIN(G22,[1]Result_notebook_retravaill!I22)</f>
        <v>0</v>
      </c>
      <c r="K22" s="3">
        <f>IF([1]Result_notebook_retravaill!I22&gt;[1]Result_notebook_retravaill!G22,0,IF([1]Result_notebook_retravaill!I22+[1]Result_notebook_retravaill!J22&gt;[1]Result_notebook_retravaill!G22,[1]Result_notebook_retravaill!G22-[1]Result_notebook_retravaill!I22,[1]Result_notebook_retravaill!J22))</f>
        <v>0</v>
      </c>
      <c r="L22" s="3">
        <f>IF([1]Result_notebook_retravaill!I22&gt;[1]Result_notebook_retravaill!G22,0,IF([1]Result_notebook_retravaill!I22+[1]Result_notebook_retravaill!J22&gt;[1]Result_notebook_retravaill!G22,0,[1]Result_notebook_retravaill!M22))</f>
        <v>825658.90499835368</v>
      </c>
    </row>
    <row r="23" spans="1:12">
      <c r="A23">
        <f>[1]Result_notebook_retravaill!A23</f>
        <v>2025</v>
      </c>
      <c r="B23" t="str">
        <f>[1]Result_notebook_retravaill!B23</f>
        <v>Copper</v>
      </c>
      <c r="C23" t="str">
        <f>[1]Result_notebook_retravaill!C23</f>
        <v>Current Measures</v>
      </c>
      <c r="D23" t="str">
        <f>[1]Result_notebook_retravaill!D23</f>
        <v>Existing production</v>
      </c>
      <c r="E23" t="str">
        <f>[1]Result_notebook_retravaill!E23</f>
        <v>Current shares</v>
      </c>
      <c r="F23" t="str">
        <f>[1]Result_notebook_retravaill!F23</f>
        <v>Status Quo</v>
      </c>
      <c r="G23">
        <f>[1]Result_notebook_retravaill!G23</f>
        <v>825658.90499835368</v>
      </c>
      <c r="H23" s="3">
        <f>IF([1]Result_notebook_retravaill!I23&gt;[1]Result_notebook_retravaill!G23,[1]Result_notebook_retravaill!I23/[1]Result_notebook_retravaill!N23,[1]Result_notebook_retravaill!H23)</f>
        <v>483888</v>
      </c>
      <c r="I23" s="3">
        <f>[1]Result_notebook_retravaill!K23</f>
        <v>510881.7650582575</v>
      </c>
      <c r="J23" s="3">
        <f>MIN(G23,[1]Result_notebook_retravaill!I23)</f>
        <v>254335.73656839409</v>
      </c>
      <c r="K23" s="3">
        <f>IF([1]Result_notebook_retravaill!I23&gt;[1]Result_notebook_retravaill!G23,0,IF([1]Result_notebook_retravaill!I23+[1]Result_notebook_retravaill!J23&gt;[1]Result_notebook_retravaill!G23,[1]Result_notebook_retravaill!G23-[1]Result_notebook_retravaill!I23,[1]Result_notebook_retravaill!J23))</f>
        <v>149587.72105872436</v>
      </c>
      <c r="L23" s="3">
        <f>IF([1]Result_notebook_retravaill!I23&gt;[1]Result_notebook_retravaill!G23,0,IF([1]Result_notebook_retravaill!I23+[1]Result_notebook_retravaill!J23&gt;[1]Result_notebook_retravaill!G23,0,[1]Result_notebook_retravaill!M23))</f>
        <v>421735.44737123523</v>
      </c>
    </row>
    <row r="24" spans="1:12">
      <c r="A24">
        <f>[1]Result_notebook_retravaill!A24</f>
        <v>2025</v>
      </c>
      <c r="B24" t="str">
        <f>[1]Result_notebook_retravaill!B24</f>
        <v>Copper</v>
      </c>
      <c r="C24" t="str">
        <f>[1]Result_notebook_retravaill!C24</f>
        <v>Current Measures</v>
      </c>
      <c r="D24" t="str">
        <f>[1]Result_notebook_retravaill!D24</f>
        <v>Production potential</v>
      </c>
      <c r="E24" t="str">
        <f>[1]Result_notebook_retravaill!E24</f>
        <v>Current shares</v>
      </c>
      <c r="F24" t="str">
        <f>[1]Result_notebook_retravaill!F24</f>
        <v>Expansion Extractive</v>
      </c>
      <c r="G24">
        <f>[1]Result_notebook_retravaill!G24</f>
        <v>825658.90499835368</v>
      </c>
      <c r="H24" s="3">
        <f>IF([1]Result_notebook_retravaill!I24&gt;[1]Result_notebook_retravaill!G24,[1]Result_notebook_retravaill!I24/[1]Result_notebook_retravaill!N24,[1]Result_notebook_retravaill!H24)</f>
        <v>534750.25845525716</v>
      </c>
      <c r="I24" s="3">
        <f>[1]Result_notebook_retravaill!K24</f>
        <v>460019.50660300028</v>
      </c>
      <c r="J24" s="3">
        <f>MIN(G24,[1]Result_notebook_retravaill!I24)</f>
        <v>281069.38147744298</v>
      </c>
      <c r="K24" s="3">
        <f>IF([1]Result_notebook_retravaill!I24&gt;[1]Result_notebook_retravaill!G24,0,IF([1]Result_notebook_retravaill!I24+[1]Result_notebook_retravaill!J24&gt;[1]Result_notebook_retravaill!G24,[1]Result_notebook_retravaill!G24-[1]Result_notebook_retravaill!I24,[1]Result_notebook_retravaill!J24))</f>
        <v>165311.13087715703</v>
      </c>
      <c r="L24" s="3">
        <f>IF([1]Result_notebook_retravaill!I24&gt;[1]Result_notebook_retravaill!G24,0,IF([1]Result_notebook_retravaill!I24+[1]Result_notebook_retravaill!J24&gt;[1]Result_notebook_retravaill!G24,0,[1]Result_notebook_retravaill!M24))</f>
        <v>379278.39264375361</v>
      </c>
    </row>
    <row r="25" spans="1:12">
      <c r="A25">
        <f>[1]Result_notebook_retravaill!A25</f>
        <v>2025</v>
      </c>
      <c r="B25" t="str">
        <f>[1]Result_notebook_retravaill!B25</f>
        <v>Copper</v>
      </c>
      <c r="C25" t="str">
        <f>[1]Result_notebook_retravaill!C25</f>
        <v>Current Measures</v>
      </c>
      <c r="D25" t="str">
        <f>[1]Result_notebook_retravaill!D25</f>
        <v>Production potential</v>
      </c>
      <c r="E25" t="str">
        <f>[1]Result_notebook_retravaill!E25</f>
        <v>Current shares</v>
      </c>
      <c r="F25" t="str">
        <f>[1]Result_notebook_retravaill!F25</f>
        <v>Expansion Extractive+Circularity</v>
      </c>
      <c r="G25">
        <f>[1]Result_notebook_retravaill!G25</f>
        <v>825658.90499835368</v>
      </c>
      <c r="H25" s="3">
        <f>IF([1]Result_notebook_retravaill!I25&gt;[1]Result_notebook_retravaill!G25,[1]Result_notebook_retravaill!I25/[1]Result_notebook_retravaill!N25,[1]Result_notebook_retravaill!H25)</f>
        <v>534750.25845525716</v>
      </c>
      <c r="I25" s="3">
        <f>[1]Result_notebook_retravaill!K25</f>
        <v>460019.50660300028</v>
      </c>
      <c r="J25" s="3">
        <f>MIN(G25,[1]Result_notebook_retravaill!I25)</f>
        <v>281069.38147744298</v>
      </c>
      <c r="K25" s="3">
        <f>IF([1]Result_notebook_retravaill!I25&gt;[1]Result_notebook_retravaill!G25,0,IF([1]Result_notebook_retravaill!I25+[1]Result_notebook_retravaill!J25&gt;[1]Result_notebook_retravaill!G25,[1]Result_notebook_retravaill!G25-[1]Result_notebook_retravaill!I25,[1]Result_notebook_retravaill!J25))</f>
        <v>165311.13087715703</v>
      </c>
      <c r="L25" s="3">
        <f>IF([1]Result_notebook_retravaill!I25&gt;[1]Result_notebook_retravaill!G25,0,IF([1]Result_notebook_retravaill!I25+[1]Result_notebook_retravaill!J25&gt;[1]Result_notebook_retravaill!G25,0,[1]Result_notebook_retravaill!M25))</f>
        <v>379278.39264375361</v>
      </c>
    </row>
    <row r="26" spans="1:12">
      <c r="A26">
        <f>[1]Result_notebook_retravaill!A26</f>
        <v>2025</v>
      </c>
      <c r="B26" t="str">
        <f>[1]Result_notebook_retravaill!B26</f>
        <v>Copper</v>
      </c>
      <c r="C26" t="str">
        <f>[1]Result_notebook_retravaill!C26</f>
        <v>Current Measures</v>
      </c>
      <c r="D26" t="str">
        <f>[1]Result_notebook_retravaill!D26</f>
        <v>Production potential</v>
      </c>
      <c r="E26" t="str">
        <f>[1]Result_notebook_retravaill!E26</f>
        <v>100% CAN</v>
      </c>
      <c r="F26" t="str">
        <f>[1]Result_notebook_retravaill!F26</f>
        <v>Integrated</v>
      </c>
      <c r="G26">
        <f>[1]Result_notebook_retravaill!G26</f>
        <v>825658.90499835368</v>
      </c>
      <c r="H26" s="3">
        <f>IF([1]Result_notebook_retravaill!I26&gt;[1]Result_notebook_retravaill!G26,[1]Result_notebook_retravaill!I26/[1]Result_notebook_retravaill!N26,[1]Result_notebook_retravaill!H26)</f>
        <v>534750.25845525716</v>
      </c>
      <c r="I26" s="3">
        <f>[1]Result_notebook_retravaill!K26</f>
        <v>460019.50660300028</v>
      </c>
      <c r="J26" s="3">
        <f>MIN(G26,[1]Result_notebook_retravaill!I26)</f>
        <v>446380.51235460019</v>
      </c>
      <c r="K26" s="3">
        <f>IF([1]Result_notebook_retravaill!I26&gt;[1]Result_notebook_retravaill!G26,0,IF([1]Result_notebook_retravaill!I26+[1]Result_notebook_retravaill!J26&gt;[1]Result_notebook_retravaill!G26,[1]Result_notebook_retravaill!G26-[1]Result_notebook_retravaill!I26,[1]Result_notebook_retravaill!J26))</f>
        <v>0</v>
      </c>
      <c r="L26" s="3">
        <f>IF([1]Result_notebook_retravaill!I26&gt;[1]Result_notebook_retravaill!G26,0,IF([1]Result_notebook_retravaill!I26+[1]Result_notebook_retravaill!J26&gt;[1]Result_notebook_retravaill!G26,0,[1]Result_notebook_retravaill!M26))</f>
        <v>379278.39264375338</v>
      </c>
    </row>
    <row r="27" spans="1:12">
      <c r="A27">
        <f>[1]Result_notebook_retravaill!A27</f>
        <v>2025</v>
      </c>
      <c r="B27" t="str">
        <f>[1]Result_notebook_retravaill!B27</f>
        <v>Copper</v>
      </c>
      <c r="C27" t="str">
        <f>[1]Result_notebook_retravaill!C27</f>
        <v>Global Net-zero</v>
      </c>
      <c r="D27" t="str">
        <f>[1]Result_notebook_retravaill!D27</f>
        <v>Existing production</v>
      </c>
      <c r="E27" t="str">
        <f>[1]Result_notebook_retravaill!E27</f>
        <v>Current shares</v>
      </c>
      <c r="F27" t="str">
        <f>[1]Result_notebook_retravaill!F27</f>
        <v>NIMBY</v>
      </c>
      <c r="G27">
        <f>[1]Result_notebook_retravaill!G27</f>
        <v>813205.98217637825</v>
      </c>
      <c r="H27" s="3">
        <f>IF([1]Result_notebook_retravaill!I27&gt;[1]Result_notebook_retravaill!G27,[1]Result_notebook_retravaill!I27/[1]Result_notebook_retravaill!N27,[1]Result_notebook_retravaill!H27)</f>
        <v>0</v>
      </c>
      <c r="I27" s="3">
        <f>[1]Result_notebook_retravaill!K27</f>
        <v>979766.24358599796</v>
      </c>
      <c r="J27" s="3">
        <f>MIN(G27,[1]Result_notebook_retravaill!I27)</f>
        <v>0</v>
      </c>
      <c r="K27" s="3">
        <f>IF([1]Result_notebook_retravaill!I27&gt;[1]Result_notebook_retravaill!G27,0,IF([1]Result_notebook_retravaill!I27+[1]Result_notebook_retravaill!J27&gt;[1]Result_notebook_retravaill!G27,[1]Result_notebook_retravaill!G27-[1]Result_notebook_retravaill!I27,[1]Result_notebook_retravaill!J27))</f>
        <v>0</v>
      </c>
      <c r="L27" s="3">
        <f>IF([1]Result_notebook_retravaill!I27&gt;[1]Result_notebook_retravaill!G27,0,IF([1]Result_notebook_retravaill!I27+[1]Result_notebook_retravaill!J27&gt;[1]Result_notebook_retravaill!G27,0,[1]Result_notebook_retravaill!M27))</f>
        <v>813205.98217637825</v>
      </c>
    </row>
    <row r="28" spans="1:12">
      <c r="A28">
        <f>[1]Result_notebook_retravaill!A28</f>
        <v>2025</v>
      </c>
      <c r="B28" t="str">
        <f>[1]Result_notebook_retravaill!B28</f>
        <v>Copper</v>
      </c>
      <c r="C28" t="str">
        <f>[1]Result_notebook_retravaill!C28</f>
        <v>Global Net-zero</v>
      </c>
      <c r="D28" t="str">
        <f>[1]Result_notebook_retravaill!D28</f>
        <v>Existing production</v>
      </c>
      <c r="E28" t="str">
        <f>[1]Result_notebook_retravaill!E28</f>
        <v>Current shares</v>
      </c>
      <c r="F28" t="str">
        <f>[1]Result_notebook_retravaill!F28</f>
        <v>Status Quo</v>
      </c>
      <c r="G28">
        <f>[1]Result_notebook_retravaill!G28</f>
        <v>813205.98217637825</v>
      </c>
      <c r="H28" s="3">
        <f>IF([1]Result_notebook_retravaill!I28&gt;[1]Result_notebook_retravaill!G28,[1]Result_notebook_retravaill!I28/[1]Result_notebook_retravaill!N28,[1]Result_notebook_retravaill!H28)</f>
        <v>483888</v>
      </c>
      <c r="I28" s="3">
        <f>[1]Result_notebook_retravaill!K28</f>
        <v>495878.24358599802</v>
      </c>
      <c r="J28" s="3">
        <f>MIN(G28,[1]Result_notebook_retravaill!I28)</f>
        <v>254335.73656839409</v>
      </c>
      <c r="K28" s="3">
        <f>IF([1]Result_notebook_retravaill!I28&gt;[1]Result_notebook_retravaill!G28,0,IF([1]Result_notebook_retravaill!I28+[1]Result_notebook_retravaill!J28&gt;[1]Result_notebook_retravaill!G28,[1]Result_notebook_retravaill!G28-[1]Result_notebook_retravaill!I28,[1]Result_notebook_retravaill!J28))</f>
        <v>149587.72105872436</v>
      </c>
      <c r="L28" s="3">
        <f>IF([1]Result_notebook_retravaill!I28&gt;[1]Result_notebook_retravaill!G28,0,IF([1]Result_notebook_retravaill!I28+[1]Result_notebook_retravaill!J28&gt;[1]Result_notebook_retravaill!G28,0,[1]Result_notebook_retravaill!M28))</f>
        <v>409282.52454925992</v>
      </c>
    </row>
    <row r="29" spans="1:12">
      <c r="A29">
        <f>[1]Result_notebook_retravaill!A29</f>
        <v>2025</v>
      </c>
      <c r="B29" t="str">
        <f>[1]Result_notebook_retravaill!B29</f>
        <v>Copper</v>
      </c>
      <c r="C29" t="str">
        <f>[1]Result_notebook_retravaill!C29</f>
        <v>Global Net-zero</v>
      </c>
      <c r="D29" t="str">
        <f>[1]Result_notebook_retravaill!D29</f>
        <v>Production potential</v>
      </c>
      <c r="E29" t="str">
        <f>[1]Result_notebook_retravaill!E29</f>
        <v>Current shares</v>
      </c>
      <c r="F29" t="str">
        <f>[1]Result_notebook_retravaill!F29</f>
        <v>Expansion Extractive</v>
      </c>
      <c r="G29">
        <f>[1]Result_notebook_retravaill!G29</f>
        <v>813205.98217637825</v>
      </c>
      <c r="H29" s="3">
        <f>IF([1]Result_notebook_retravaill!I29&gt;[1]Result_notebook_retravaill!G29,[1]Result_notebook_retravaill!I29/[1]Result_notebook_retravaill!N29,[1]Result_notebook_retravaill!H29)</f>
        <v>534750.25845525716</v>
      </c>
      <c r="I29" s="3">
        <f>[1]Result_notebook_retravaill!K29</f>
        <v>445015.9851307408</v>
      </c>
      <c r="J29" s="3">
        <f>MIN(G29,[1]Result_notebook_retravaill!I29)</f>
        <v>281069.38147744298</v>
      </c>
      <c r="K29" s="3">
        <f>IF([1]Result_notebook_retravaill!I29&gt;[1]Result_notebook_retravaill!G29,0,IF([1]Result_notebook_retravaill!I29+[1]Result_notebook_retravaill!J29&gt;[1]Result_notebook_retravaill!G29,[1]Result_notebook_retravaill!G29-[1]Result_notebook_retravaill!I29,[1]Result_notebook_retravaill!J29))</f>
        <v>165311.13087715703</v>
      </c>
      <c r="L29" s="3">
        <f>IF([1]Result_notebook_retravaill!I29&gt;[1]Result_notebook_retravaill!G29,0,IF([1]Result_notebook_retravaill!I29+[1]Result_notebook_retravaill!J29&gt;[1]Result_notebook_retravaill!G29,0,[1]Result_notebook_retravaill!M29))</f>
        <v>366825.4698217783</v>
      </c>
    </row>
    <row r="30" spans="1:12">
      <c r="A30">
        <f>[1]Result_notebook_retravaill!A30</f>
        <v>2025</v>
      </c>
      <c r="B30" t="str">
        <f>[1]Result_notebook_retravaill!B30</f>
        <v>Copper</v>
      </c>
      <c r="C30" t="str">
        <f>[1]Result_notebook_retravaill!C30</f>
        <v>Global Net-zero</v>
      </c>
      <c r="D30" t="str">
        <f>[1]Result_notebook_retravaill!D30</f>
        <v>Production potential</v>
      </c>
      <c r="E30" t="str">
        <f>[1]Result_notebook_retravaill!E30</f>
        <v>Current shares</v>
      </c>
      <c r="F30" t="str">
        <f>[1]Result_notebook_retravaill!F30</f>
        <v>Expansion Extractive+Circularity</v>
      </c>
      <c r="G30">
        <f>[1]Result_notebook_retravaill!G30</f>
        <v>813205.98217637825</v>
      </c>
      <c r="H30" s="3">
        <f>IF([1]Result_notebook_retravaill!I30&gt;[1]Result_notebook_retravaill!G30,[1]Result_notebook_retravaill!I30/[1]Result_notebook_retravaill!N30,[1]Result_notebook_retravaill!H30)</f>
        <v>534750.25845525716</v>
      </c>
      <c r="I30" s="3">
        <f>[1]Result_notebook_retravaill!K30</f>
        <v>445015.9851307408</v>
      </c>
      <c r="J30" s="3">
        <f>MIN(G30,[1]Result_notebook_retravaill!I30)</f>
        <v>281069.38147744298</v>
      </c>
      <c r="K30" s="3">
        <f>IF([1]Result_notebook_retravaill!I30&gt;[1]Result_notebook_retravaill!G30,0,IF([1]Result_notebook_retravaill!I30+[1]Result_notebook_retravaill!J30&gt;[1]Result_notebook_retravaill!G30,[1]Result_notebook_retravaill!G30-[1]Result_notebook_retravaill!I30,[1]Result_notebook_retravaill!J30))</f>
        <v>165311.13087715703</v>
      </c>
      <c r="L30" s="3">
        <f>IF([1]Result_notebook_retravaill!I30&gt;[1]Result_notebook_retravaill!G30,0,IF([1]Result_notebook_retravaill!I30+[1]Result_notebook_retravaill!J30&gt;[1]Result_notebook_retravaill!G30,0,[1]Result_notebook_retravaill!M30))</f>
        <v>366825.4698217783</v>
      </c>
    </row>
    <row r="31" spans="1:12">
      <c r="A31">
        <f>[1]Result_notebook_retravaill!A31</f>
        <v>2025</v>
      </c>
      <c r="B31" t="str">
        <f>[1]Result_notebook_retravaill!B31</f>
        <v>Copper</v>
      </c>
      <c r="C31" t="str">
        <f>[1]Result_notebook_retravaill!C31</f>
        <v>Global Net-zero</v>
      </c>
      <c r="D31" t="str">
        <f>[1]Result_notebook_retravaill!D31</f>
        <v>Production potential</v>
      </c>
      <c r="E31" t="str">
        <f>[1]Result_notebook_retravaill!E31</f>
        <v>100% CAN</v>
      </c>
      <c r="F31" t="str">
        <f>[1]Result_notebook_retravaill!F31</f>
        <v>Integrated</v>
      </c>
      <c r="G31">
        <f>[1]Result_notebook_retravaill!G31</f>
        <v>813205.98217637825</v>
      </c>
      <c r="H31" s="3">
        <f>IF([1]Result_notebook_retravaill!I31&gt;[1]Result_notebook_retravaill!G31,[1]Result_notebook_retravaill!I31/[1]Result_notebook_retravaill!N31,[1]Result_notebook_retravaill!H31)</f>
        <v>534750.25845525716</v>
      </c>
      <c r="I31" s="3">
        <f>[1]Result_notebook_retravaill!K31</f>
        <v>445015.9851307408</v>
      </c>
      <c r="J31" s="3">
        <f>MIN(G31,[1]Result_notebook_retravaill!I31)</f>
        <v>446380.51235460019</v>
      </c>
      <c r="K31" s="3">
        <f>IF([1]Result_notebook_retravaill!I31&gt;[1]Result_notebook_retravaill!G31,0,IF([1]Result_notebook_retravaill!I31+[1]Result_notebook_retravaill!J31&gt;[1]Result_notebook_retravaill!G31,[1]Result_notebook_retravaill!G31-[1]Result_notebook_retravaill!I31,[1]Result_notebook_retravaill!J31))</f>
        <v>0</v>
      </c>
      <c r="L31" s="3">
        <f>IF([1]Result_notebook_retravaill!I31&gt;[1]Result_notebook_retravaill!G31,0,IF([1]Result_notebook_retravaill!I31+[1]Result_notebook_retravaill!J31&gt;[1]Result_notebook_retravaill!G31,0,[1]Result_notebook_retravaill!M31))</f>
        <v>366825.46982177801</v>
      </c>
    </row>
    <row r="32" spans="1:12">
      <c r="A32">
        <f>[1]Result_notebook_retravaill!A32</f>
        <v>2025</v>
      </c>
      <c r="B32" t="str">
        <f>[1]Result_notebook_retravaill!B32</f>
        <v>Neodymium</v>
      </c>
      <c r="C32" t="str">
        <f>[1]Result_notebook_retravaill!C32</f>
        <v>Canada Net-zero</v>
      </c>
      <c r="D32" t="str">
        <f>[1]Result_notebook_retravaill!D32</f>
        <v>Existing production</v>
      </c>
      <c r="E32" t="str">
        <f>[1]Result_notebook_retravaill!E32</f>
        <v>Current shares</v>
      </c>
      <c r="F32" t="str">
        <f>[1]Result_notebook_retravaill!F32</f>
        <v>NIMBY</v>
      </c>
      <c r="G32">
        <f>[1]Result_notebook_retravaill!G32</f>
        <v>325.38476223044881</v>
      </c>
      <c r="H32" s="3">
        <f>IF([1]Result_notebook_retravaill!I32&gt;[1]Result_notebook_retravaill!G32,[1]Result_notebook_retravaill!I32/[1]Result_notebook_retravaill!N32,[1]Result_notebook_retravaill!H32)</f>
        <v>0</v>
      </c>
      <c r="I32" s="3">
        <f>[1]Result_notebook_retravaill!K32</f>
        <v>542.30793705074802</v>
      </c>
      <c r="J32" s="3">
        <f>MIN(G32,[1]Result_notebook_retravaill!I32)</f>
        <v>0</v>
      </c>
      <c r="K32" s="3">
        <f>IF([1]Result_notebook_retravaill!I32&gt;[1]Result_notebook_retravaill!G32,0,IF([1]Result_notebook_retravaill!I32+[1]Result_notebook_retravaill!J32&gt;[1]Result_notebook_retravaill!G32,[1]Result_notebook_retravaill!G32-[1]Result_notebook_retravaill!I32,[1]Result_notebook_retravaill!J32))</f>
        <v>0</v>
      </c>
      <c r="L32" s="3">
        <f>IF([1]Result_notebook_retravaill!I32&gt;[1]Result_notebook_retravaill!G32,0,IF([1]Result_notebook_retravaill!I32+[1]Result_notebook_retravaill!J32&gt;[1]Result_notebook_retravaill!G32,0,[1]Result_notebook_retravaill!M32))</f>
        <v>325.38476223044881</v>
      </c>
    </row>
    <row r="33" spans="1:12">
      <c r="A33">
        <f>[1]Result_notebook_retravaill!A33</f>
        <v>2025</v>
      </c>
      <c r="B33" t="str">
        <f>[1]Result_notebook_retravaill!B33</f>
        <v>Neodymium</v>
      </c>
      <c r="C33" t="str">
        <f>[1]Result_notebook_retravaill!C33</f>
        <v>Canada Net-zero</v>
      </c>
      <c r="D33" t="str">
        <f>[1]Result_notebook_retravaill!D33</f>
        <v>Existing production</v>
      </c>
      <c r="E33" t="str">
        <f>[1]Result_notebook_retravaill!E33</f>
        <v>Current shares</v>
      </c>
      <c r="F33" t="str">
        <f>[1]Result_notebook_retravaill!F33</f>
        <v>Status Quo</v>
      </c>
      <c r="G33">
        <f>[1]Result_notebook_retravaill!G33</f>
        <v>325.38476223044881</v>
      </c>
      <c r="H33" s="3">
        <f>IF([1]Result_notebook_retravaill!I33&gt;[1]Result_notebook_retravaill!G33,[1]Result_notebook_retravaill!I33/[1]Result_notebook_retravaill!N33,[1]Result_notebook_retravaill!H33)</f>
        <v>0</v>
      </c>
      <c r="I33" s="3">
        <f>[1]Result_notebook_retravaill!K33</f>
        <v>542.30793705074802</v>
      </c>
      <c r="J33" s="3">
        <f>MIN(G33,[1]Result_notebook_retravaill!I33)</f>
        <v>0</v>
      </c>
      <c r="K33" s="3">
        <f>IF([1]Result_notebook_retravaill!I33&gt;[1]Result_notebook_retravaill!G33,0,IF([1]Result_notebook_retravaill!I33+[1]Result_notebook_retravaill!J33&gt;[1]Result_notebook_retravaill!G33,[1]Result_notebook_retravaill!G33-[1]Result_notebook_retravaill!I33,[1]Result_notebook_retravaill!J33))</f>
        <v>0</v>
      </c>
      <c r="L33" s="3">
        <f>IF([1]Result_notebook_retravaill!I33&gt;[1]Result_notebook_retravaill!G33,0,IF([1]Result_notebook_retravaill!I33+[1]Result_notebook_retravaill!J33&gt;[1]Result_notebook_retravaill!G33,0,[1]Result_notebook_retravaill!M33))</f>
        <v>325.38476223044881</v>
      </c>
    </row>
    <row r="34" spans="1:12">
      <c r="A34">
        <f>[1]Result_notebook_retravaill!A34</f>
        <v>2025</v>
      </c>
      <c r="B34" t="str">
        <f>[1]Result_notebook_retravaill!B34</f>
        <v>Neodymium</v>
      </c>
      <c r="C34" t="str">
        <f>[1]Result_notebook_retravaill!C34</f>
        <v>Canada Net-zero</v>
      </c>
      <c r="D34" t="str">
        <f>[1]Result_notebook_retravaill!D34</f>
        <v>Production potential</v>
      </c>
      <c r="E34" t="str">
        <f>[1]Result_notebook_retravaill!E34</f>
        <v>Current shares</v>
      </c>
      <c r="F34" t="str">
        <f>[1]Result_notebook_retravaill!F34</f>
        <v>Expansion Extractive</v>
      </c>
      <c r="G34">
        <f>[1]Result_notebook_retravaill!G34</f>
        <v>325.38476223044881</v>
      </c>
      <c r="H34" s="3">
        <f>IF([1]Result_notebook_retravaill!I34&gt;[1]Result_notebook_retravaill!G34,[1]Result_notebook_retravaill!I34/[1]Result_notebook_retravaill!N34,[1]Result_notebook_retravaill!H34)</f>
        <v>2.7492305175562488</v>
      </c>
      <c r="I34" s="3">
        <f>[1]Result_notebook_retravaill!K34</f>
        <v>539.55870653319175</v>
      </c>
      <c r="J34" s="3">
        <f>MIN(G34,[1]Result_notebook_retravaill!I34)</f>
        <v>1.6455351944387819</v>
      </c>
      <c r="K34" s="3">
        <f>IF([1]Result_notebook_retravaill!I34&gt;[1]Result_notebook_retravaill!G34,0,IF([1]Result_notebook_retravaill!I34+[1]Result_notebook_retravaill!J34&gt;[1]Result_notebook_retravaill!G34,[1]Result_notebook_retravaill!G34-[1]Result_notebook_retravaill!I34,[1]Result_notebook_retravaill!J34))</f>
        <v>1.1036953231174669</v>
      </c>
      <c r="L34" s="3">
        <f>IF([1]Result_notebook_retravaill!I34&gt;[1]Result_notebook_retravaill!G34,0,IF([1]Result_notebook_retravaill!I34+[1]Result_notebook_retravaill!J34&gt;[1]Result_notebook_retravaill!G34,0,[1]Result_notebook_retravaill!M34))</f>
        <v>322.63553171289254</v>
      </c>
    </row>
    <row r="35" spans="1:12">
      <c r="A35">
        <f>[1]Result_notebook_retravaill!A35</f>
        <v>2025</v>
      </c>
      <c r="B35" t="str">
        <f>[1]Result_notebook_retravaill!B35</f>
        <v>Neodymium</v>
      </c>
      <c r="C35" t="str">
        <f>[1]Result_notebook_retravaill!C35</f>
        <v>Canada Net-zero</v>
      </c>
      <c r="D35" t="str">
        <f>[1]Result_notebook_retravaill!D35</f>
        <v>Production potential</v>
      </c>
      <c r="E35" t="str">
        <f>[1]Result_notebook_retravaill!E35</f>
        <v>Current shares</v>
      </c>
      <c r="F35" t="str">
        <f>[1]Result_notebook_retravaill!F35</f>
        <v>Expansion Extractive+Circularity</v>
      </c>
      <c r="G35">
        <f>[1]Result_notebook_retravaill!G35</f>
        <v>325.38476223044881</v>
      </c>
      <c r="H35" s="3">
        <f>IF([1]Result_notebook_retravaill!I35&gt;[1]Result_notebook_retravaill!G35,[1]Result_notebook_retravaill!I35/[1]Result_notebook_retravaill!N35,[1]Result_notebook_retravaill!H35)</f>
        <v>2.7492305175562488</v>
      </c>
      <c r="I35" s="3">
        <f>[1]Result_notebook_retravaill!K35</f>
        <v>539.55870653319175</v>
      </c>
      <c r="J35" s="3">
        <f>MIN(G35,[1]Result_notebook_retravaill!I35)</f>
        <v>1.6455351944387819</v>
      </c>
      <c r="K35" s="3">
        <f>IF([1]Result_notebook_retravaill!I35&gt;[1]Result_notebook_retravaill!G35,0,IF([1]Result_notebook_retravaill!I35+[1]Result_notebook_retravaill!J35&gt;[1]Result_notebook_retravaill!G35,[1]Result_notebook_retravaill!G35-[1]Result_notebook_retravaill!I35,[1]Result_notebook_retravaill!J35))</f>
        <v>1.1036953231174669</v>
      </c>
      <c r="L35" s="3">
        <f>IF([1]Result_notebook_retravaill!I35&gt;[1]Result_notebook_retravaill!G35,0,IF([1]Result_notebook_retravaill!I35+[1]Result_notebook_retravaill!J35&gt;[1]Result_notebook_retravaill!G35,0,[1]Result_notebook_retravaill!M35))</f>
        <v>322.63553171289254</v>
      </c>
    </row>
    <row r="36" spans="1:12">
      <c r="A36">
        <f>[1]Result_notebook_retravaill!A36</f>
        <v>2025</v>
      </c>
      <c r="B36" t="str">
        <f>[1]Result_notebook_retravaill!B36</f>
        <v>Neodymium</v>
      </c>
      <c r="C36" t="str">
        <f>[1]Result_notebook_retravaill!C36</f>
        <v>Canada Net-zero</v>
      </c>
      <c r="D36" t="str">
        <f>[1]Result_notebook_retravaill!D36</f>
        <v>Production potential</v>
      </c>
      <c r="E36" t="str">
        <f>[1]Result_notebook_retravaill!E36</f>
        <v>100% CAN</v>
      </c>
      <c r="F36" t="str">
        <f>[1]Result_notebook_retravaill!F36</f>
        <v>Integrated</v>
      </c>
      <c r="G36">
        <f>[1]Result_notebook_retravaill!G36</f>
        <v>325.38476223044881</v>
      </c>
      <c r="H36" s="3">
        <f>IF([1]Result_notebook_retravaill!I36&gt;[1]Result_notebook_retravaill!G36,[1]Result_notebook_retravaill!I36/[1]Result_notebook_retravaill!N36,[1]Result_notebook_retravaill!H36)</f>
        <v>2.7492305175562488</v>
      </c>
      <c r="I36" s="3">
        <f>[1]Result_notebook_retravaill!K36</f>
        <v>539.55870653319175</v>
      </c>
      <c r="J36" s="3">
        <f>MIN(G36,[1]Result_notebook_retravaill!I36)</f>
        <v>1.6455351944387819</v>
      </c>
      <c r="K36" s="3">
        <f>IF([1]Result_notebook_retravaill!I36&gt;[1]Result_notebook_retravaill!G36,0,IF([1]Result_notebook_retravaill!I36+[1]Result_notebook_retravaill!J36&gt;[1]Result_notebook_retravaill!G36,[1]Result_notebook_retravaill!G36-[1]Result_notebook_retravaill!I36,[1]Result_notebook_retravaill!J36))</f>
        <v>1.1036953231174669</v>
      </c>
      <c r="L36" s="3">
        <f>IF([1]Result_notebook_retravaill!I36&gt;[1]Result_notebook_retravaill!G36,0,IF([1]Result_notebook_retravaill!I36+[1]Result_notebook_retravaill!J36&gt;[1]Result_notebook_retravaill!G36,0,[1]Result_notebook_retravaill!M36))</f>
        <v>322.63553171289254</v>
      </c>
    </row>
    <row r="37" spans="1:12">
      <c r="A37">
        <f>[1]Result_notebook_retravaill!A37</f>
        <v>2025</v>
      </c>
      <c r="B37" t="str">
        <f>[1]Result_notebook_retravaill!B37</f>
        <v>Neodymium</v>
      </c>
      <c r="C37" t="str">
        <f>[1]Result_notebook_retravaill!C37</f>
        <v>Current Measures</v>
      </c>
      <c r="D37" t="str">
        <f>[1]Result_notebook_retravaill!D37</f>
        <v>Existing production</v>
      </c>
      <c r="E37" t="str">
        <f>[1]Result_notebook_retravaill!E37</f>
        <v>Current shares</v>
      </c>
      <c r="F37" t="str">
        <f>[1]Result_notebook_retravaill!F37</f>
        <v>NIMBY</v>
      </c>
      <c r="G37">
        <f>[1]Result_notebook_retravaill!G37</f>
        <v>293.15719353433781</v>
      </c>
      <c r="H37" s="3">
        <f>IF([1]Result_notebook_retravaill!I37&gt;[1]Result_notebook_retravaill!G37,[1]Result_notebook_retravaill!I37/[1]Result_notebook_retravaill!N37,[1]Result_notebook_retravaill!H37)</f>
        <v>0</v>
      </c>
      <c r="I37" s="3">
        <f>[1]Result_notebook_retravaill!K37</f>
        <v>488.59532255722968</v>
      </c>
      <c r="J37" s="3">
        <f>MIN(G37,[1]Result_notebook_retravaill!I37)</f>
        <v>0</v>
      </c>
      <c r="K37" s="3">
        <f>IF([1]Result_notebook_retravaill!I37&gt;[1]Result_notebook_retravaill!G37,0,IF([1]Result_notebook_retravaill!I37+[1]Result_notebook_retravaill!J37&gt;[1]Result_notebook_retravaill!G37,[1]Result_notebook_retravaill!G37-[1]Result_notebook_retravaill!I37,[1]Result_notebook_retravaill!J37))</f>
        <v>0</v>
      </c>
      <c r="L37" s="3">
        <f>IF([1]Result_notebook_retravaill!I37&gt;[1]Result_notebook_retravaill!G37,0,IF([1]Result_notebook_retravaill!I37+[1]Result_notebook_retravaill!J37&gt;[1]Result_notebook_retravaill!G37,0,[1]Result_notebook_retravaill!M37))</f>
        <v>293.15719353433781</v>
      </c>
    </row>
    <row r="38" spans="1:12">
      <c r="A38">
        <f>[1]Result_notebook_retravaill!A38</f>
        <v>2025</v>
      </c>
      <c r="B38" t="str">
        <f>[1]Result_notebook_retravaill!B38</f>
        <v>Neodymium</v>
      </c>
      <c r="C38" t="str">
        <f>[1]Result_notebook_retravaill!C38</f>
        <v>Current Measures</v>
      </c>
      <c r="D38" t="str">
        <f>[1]Result_notebook_retravaill!D38</f>
        <v>Existing production</v>
      </c>
      <c r="E38" t="str">
        <f>[1]Result_notebook_retravaill!E38</f>
        <v>Current shares</v>
      </c>
      <c r="F38" t="str">
        <f>[1]Result_notebook_retravaill!F38</f>
        <v>Status Quo</v>
      </c>
      <c r="G38">
        <f>[1]Result_notebook_retravaill!G38</f>
        <v>293.15719353433781</v>
      </c>
      <c r="H38" s="3">
        <f>IF([1]Result_notebook_retravaill!I38&gt;[1]Result_notebook_retravaill!G38,[1]Result_notebook_retravaill!I38/[1]Result_notebook_retravaill!N38,[1]Result_notebook_retravaill!H38)</f>
        <v>0</v>
      </c>
      <c r="I38" s="3">
        <f>[1]Result_notebook_retravaill!K38</f>
        <v>488.59532255722968</v>
      </c>
      <c r="J38" s="3">
        <f>MIN(G38,[1]Result_notebook_retravaill!I38)</f>
        <v>0</v>
      </c>
      <c r="K38" s="3">
        <f>IF([1]Result_notebook_retravaill!I38&gt;[1]Result_notebook_retravaill!G38,0,IF([1]Result_notebook_retravaill!I38+[1]Result_notebook_retravaill!J38&gt;[1]Result_notebook_retravaill!G38,[1]Result_notebook_retravaill!G38-[1]Result_notebook_retravaill!I38,[1]Result_notebook_retravaill!J38))</f>
        <v>0</v>
      </c>
      <c r="L38" s="3">
        <f>IF([1]Result_notebook_retravaill!I38&gt;[1]Result_notebook_retravaill!G38,0,IF([1]Result_notebook_retravaill!I38+[1]Result_notebook_retravaill!J38&gt;[1]Result_notebook_retravaill!G38,0,[1]Result_notebook_retravaill!M38))</f>
        <v>293.15719353433781</v>
      </c>
    </row>
    <row r="39" spans="1:12">
      <c r="A39">
        <f>[1]Result_notebook_retravaill!A39</f>
        <v>2025</v>
      </c>
      <c r="B39" t="str">
        <f>[1]Result_notebook_retravaill!B39</f>
        <v>Neodymium</v>
      </c>
      <c r="C39" t="str">
        <f>[1]Result_notebook_retravaill!C39</f>
        <v>Current Measures</v>
      </c>
      <c r="D39" t="str">
        <f>[1]Result_notebook_retravaill!D39</f>
        <v>Production potential</v>
      </c>
      <c r="E39" t="str">
        <f>[1]Result_notebook_retravaill!E39</f>
        <v>Current shares</v>
      </c>
      <c r="F39" t="str">
        <f>[1]Result_notebook_retravaill!F39</f>
        <v>Expansion Extractive</v>
      </c>
      <c r="G39">
        <f>[1]Result_notebook_retravaill!G39</f>
        <v>293.15719353433781</v>
      </c>
      <c r="H39" s="3">
        <f>IF([1]Result_notebook_retravaill!I39&gt;[1]Result_notebook_retravaill!G39,[1]Result_notebook_retravaill!I39/[1]Result_notebook_retravaill!N39,[1]Result_notebook_retravaill!H39)</f>
        <v>2.7492305175562488</v>
      </c>
      <c r="I39" s="3">
        <f>[1]Result_notebook_retravaill!K39</f>
        <v>485.84609203967341</v>
      </c>
      <c r="J39" s="3">
        <f>MIN(G39,[1]Result_notebook_retravaill!I39)</f>
        <v>1.6455351944387819</v>
      </c>
      <c r="K39" s="3">
        <f>IF([1]Result_notebook_retravaill!I39&gt;[1]Result_notebook_retravaill!G39,0,IF([1]Result_notebook_retravaill!I39+[1]Result_notebook_retravaill!J39&gt;[1]Result_notebook_retravaill!G39,[1]Result_notebook_retravaill!G39-[1]Result_notebook_retravaill!I39,[1]Result_notebook_retravaill!J39))</f>
        <v>1.1036953231174669</v>
      </c>
      <c r="L39" s="3">
        <f>IF([1]Result_notebook_retravaill!I39&gt;[1]Result_notebook_retravaill!G39,0,IF([1]Result_notebook_retravaill!I39+[1]Result_notebook_retravaill!J39&gt;[1]Result_notebook_retravaill!G39,0,[1]Result_notebook_retravaill!M39))</f>
        <v>290.40796301678154</v>
      </c>
    </row>
    <row r="40" spans="1:12">
      <c r="A40">
        <f>[1]Result_notebook_retravaill!A40</f>
        <v>2025</v>
      </c>
      <c r="B40" t="str">
        <f>[1]Result_notebook_retravaill!B40</f>
        <v>Neodymium</v>
      </c>
      <c r="C40" t="str">
        <f>[1]Result_notebook_retravaill!C40</f>
        <v>Current Measures</v>
      </c>
      <c r="D40" t="str">
        <f>[1]Result_notebook_retravaill!D40</f>
        <v>Production potential</v>
      </c>
      <c r="E40" t="str">
        <f>[1]Result_notebook_retravaill!E40</f>
        <v>Current shares</v>
      </c>
      <c r="F40" t="str">
        <f>[1]Result_notebook_retravaill!F40</f>
        <v>Expansion Extractive+Circularity</v>
      </c>
      <c r="G40">
        <f>[1]Result_notebook_retravaill!G40</f>
        <v>293.15719353433781</v>
      </c>
      <c r="H40" s="3">
        <f>IF([1]Result_notebook_retravaill!I40&gt;[1]Result_notebook_retravaill!G40,[1]Result_notebook_retravaill!I40/[1]Result_notebook_retravaill!N40,[1]Result_notebook_retravaill!H40)</f>
        <v>2.7492305175562488</v>
      </c>
      <c r="I40" s="3">
        <f>[1]Result_notebook_retravaill!K40</f>
        <v>485.84609203967341</v>
      </c>
      <c r="J40" s="3">
        <f>MIN(G40,[1]Result_notebook_retravaill!I40)</f>
        <v>1.6455351944387819</v>
      </c>
      <c r="K40" s="3">
        <f>IF([1]Result_notebook_retravaill!I40&gt;[1]Result_notebook_retravaill!G40,0,IF([1]Result_notebook_retravaill!I40+[1]Result_notebook_retravaill!J40&gt;[1]Result_notebook_retravaill!G40,[1]Result_notebook_retravaill!G40-[1]Result_notebook_retravaill!I40,[1]Result_notebook_retravaill!J40))</f>
        <v>1.1036953231174669</v>
      </c>
      <c r="L40" s="3">
        <f>IF([1]Result_notebook_retravaill!I40&gt;[1]Result_notebook_retravaill!G40,0,IF([1]Result_notebook_retravaill!I40+[1]Result_notebook_retravaill!J40&gt;[1]Result_notebook_retravaill!G40,0,[1]Result_notebook_retravaill!M40))</f>
        <v>290.40796301678154</v>
      </c>
    </row>
    <row r="41" spans="1:12">
      <c r="A41">
        <f>[1]Result_notebook_retravaill!A41</f>
        <v>2025</v>
      </c>
      <c r="B41" t="str">
        <f>[1]Result_notebook_retravaill!B41</f>
        <v>Neodymium</v>
      </c>
      <c r="C41" t="str">
        <f>[1]Result_notebook_retravaill!C41</f>
        <v>Current Measures</v>
      </c>
      <c r="D41" t="str">
        <f>[1]Result_notebook_retravaill!D41</f>
        <v>Production potential</v>
      </c>
      <c r="E41" t="str">
        <f>[1]Result_notebook_retravaill!E41</f>
        <v>100% CAN</v>
      </c>
      <c r="F41" t="str">
        <f>[1]Result_notebook_retravaill!F41</f>
        <v>Integrated</v>
      </c>
      <c r="G41">
        <f>[1]Result_notebook_retravaill!G41</f>
        <v>293.15719353433781</v>
      </c>
      <c r="H41" s="3">
        <f>IF([1]Result_notebook_retravaill!I41&gt;[1]Result_notebook_retravaill!G41,[1]Result_notebook_retravaill!I41/[1]Result_notebook_retravaill!N41,[1]Result_notebook_retravaill!H41)</f>
        <v>2.7492305175562488</v>
      </c>
      <c r="I41" s="3">
        <f>[1]Result_notebook_retravaill!K41</f>
        <v>485.84609203967341</v>
      </c>
      <c r="J41" s="3">
        <f>MIN(G41,[1]Result_notebook_retravaill!I41)</f>
        <v>1.6455351944387819</v>
      </c>
      <c r="K41" s="3">
        <f>IF([1]Result_notebook_retravaill!I41&gt;[1]Result_notebook_retravaill!G41,0,IF([1]Result_notebook_retravaill!I41+[1]Result_notebook_retravaill!J41&gt;[1]Result_notebook_retravaill!G41,[1]Result_notebook_retravaill!G41-[1]Result_notebook_retravaill!I41,[1]Result_notebook_retravaill!J41))</f>
        <v>1.1036953231174669</v>
      </c>
      <c r="L41" s="3">
        <f>IF([1]Result_notebook_retravaill!I41&gt;[1]Result_notebook_retravaill!G41,0,IF([1]Result_notebook_retravaill!I41+[1]Result_notebook_retravaill!J41&gt;[1]Result_notebook_retravaill!G41,0,[1]Result_notebook_retravaill!M41))</f>
        <v>290.40796301678154</v>
      </c>
    </row>
    <row r="42" spans="1:12">
      <c r="A42">
        <f>[1]Result_notebook_retravaill!A42</f>
        <v>2025</v>
      </c>
      <c r="B42" t="str">
        <f>[1]Result_notebook_retravaill!B42</f>
        <v>Neodymium</v>
      </c>
      <c r="C42" t="str">
        <f>[1]Result_notebook_retravaill!C42</f>
        <v>Global Net-zero</v>
      </c>
      <c r="D42" t="str">
        <f>[1]Result_notebook_retravaill!D42</f>
        <v>Existing production</v>
      </c>
      <c r="E42" t="str">
        <f>[1]Result_notebook_retravaill!E42</f>
        <v>Current shares</v>
      </c>
      <c r="F42" t="str">
        <f>[1]Result_notebook_retravaill!F42</f>
        <v>NIMBY</v>
      </c>
      <c r="G42">
        <f>[1]Result_notebook_retravaill!G42</f>
        <v>324.20432339207548</v>
      </c>
      <c r="H42" s="3">
        <f>IF([1]Result_notebook_retravaill!I42&gt;[1]Result_notebook_retravaill!G42,[1]Result_notebook_retravaill!I42/[1]Result_notebook_retravaill!N42,[1]Result_notebook_retravaill!H42)</f>
        <v>0</v>
      </c>
      <c r="I42" s="3">
        <f>[1]Result_notebook_retravaill!K42</f>
        <v>540.34053898679247</v>
      </c>
      <c r="J42" s="3">
        <f>MIN(G42,[1]Result_notebook_retravaill!I42)</f>
        <v>0</v>
      </c>
      <c r="K42" s="3">
        <f>IF([1]Result_notebook_retravaill!I42&gt;[1]Result_notebook_retravaill!G42,0,IF([1]Result_notebook_retravaill!I42+[1]Result_notebook_retravaill!J42&gt;[1]Result_notebook_retravaill!G42,[1]Result_notebook_retravaill!G42-[1]Result_notebook_retravaill!I42,[1]Result_notebook_retravaill!J42))</f>
        <v>0</v>
      </c>
      <c r="L42" s="3">
        <f>IF([1]Result_notebook_retravaill!I42&gt;[1]Result_notebook_retravaill!G42,0,IF([1]Result_notebook_retravaill!I42+[1]Result_notebook_retravaill!J42&gt;[1]Result_notebook_retravaill!G42,0,[1]Result_notebook_retravaill!M42))</f>
        <v>324.20432339207548</v>
      </c>
    </row>
    <row r="43" spans="1:12">
      <c r="A43">
        <f>[1]Result_notebook_retravaill!A43</f>
        <v>2025</v>
      </c>
      <c r="B43" t="str">
        <f>[1]Result_notebook_retravaill!B43</f>
        <v>Neodymium</v>
      </c>
      <c r="C43" t="str">
        <f>[1]Result_notebook_retravaill!C43</f>
        <v>Global Net-zero</v>
      </c>
      <c r="D43" t="str">
        <f>[1]Result_notebook_retravaill!D43</f>
        <v>Existing production</v>
      </c>
      <c r="E43" t="str">
        <f>[1]Result_notebook_retravaill!E43</f>
        <v>Current shares</v>
      </c>
      <c r="F43" t="str">
        <f>[1]Result_notebook_retravaill!F43</f>
        <v>Status Quo</v>
      </c>
      <c r="G43">
        <f>[1]Result_notebook_retravaill!G43</f>
        <v>324.20432339207548</v>
      </c>
      <c r="H43" s="3">
        <f>IF([1]Result_notebook_retravaill!I43&gt;[1]Result_notebook_retravaill!G43,[1]Result_notebook_retravaill!I43/[1]Result_notebook_retravaill!N43,[1]Result_notebook_retravaill!H43)</f>
        <v>0</v>
      </c>
      <c r="I43" s="3">
        <f>[1]Result_notebook_retravaill!K43</f>
        <v>540.34053898679247</v>
      </c>
      <c r="J43" s="3">
        <f>MIN(G43,[1]Result_notebook_retravaill!I43)</f>
        <v>0</v>
      </c>
      <c r="K43" s="3">
        <f>IF([1]Result_notebook_retravaill!I43&gt;[1]Result_notebook_retravaill!G43,0,IF([1]Result_notebook_retravaill!I43+[1]Result_notebook_retravaill!J43&gt;[1]Result_notebook_retravaill!G43,[1]Result_notebook_retravaill!G43-[1]Result_notebook_retravaill!I43,[1]Result_notebook_retravaill!J43))</f>
        <v>0</v>
      </c>
      <c r="L43" s="3">
        <f>IF([1]Result_notebook_retravaill!I43&gt;[1]Result_notebook_retravaill!G43,0,IF([1]Result_notebook_retravaill!I43+[1]Result_notebook_retravaill!J43&gt;[1]Result_notebook_retravaill!G43,0,[1]Result_notebook_retravaill!M43))</f>
        <v>324.20432339207548</v>
      </c>
    </row>
    <row r="44" spans="1:12">
      <c r="A44">
        <f>[1]Result_notebook_retravaill!A44</f>
        <v>2025</v>
      </c>
      <c r="B44" t="str">
        <f>[1]Result_notebook_retravaill!B44</f>
        <v>Neodymium</v>
      </c>
      <c r="C44" t="str">
        <f>[1]Result_notebook_retravaill!C44</f>
        <v>Global Net-zero</v>
      </c>
      <c r="D44" t="str">
        <f>[1]Result_notebook_retravaill!D44</f>
        <v>Production potential</v>
      </c>
      <c r="E44" t="str">
        <f>[1]Result_notebook_retravaill!E44</f>
        <v>Current shares</v>
      </c>
      <c r="F44" t="str">
        <f>[1]Result_notebook_retravaill!F44</f>
        <v>Expansion Extractive</v>
      </c>
      <c r="G44">
        <f>[1]Result_notebook_retravaill!G44</f>
        <v>324.20432339207548</v>
      </c>
      <c r="H44" s="3">
        <f>IF([1]Result_notebook_retravaill!I44&gt;[1]Result_notebook_retravaill!G44,[1]Result_notebook_retravaill!I44/[1]Result_notebook_retravaill!N44,[1]Result_notebook_retravaill!H44)</f>
        <v>2.7492305175562488</v>
      </c>
      <c r="I44" s="3">
        <f>[1]Result_notebook_retravaill!K44</f>
        <v>537.5913084692362</v>
      </c>
      <c r="J44" s="3">
        <f>MIN(G44,[1]Result_notebook_retravaill!I44)</f>
        <v>1.6455351944387819</v>
      </c>
      <c r="K44" s="3">
        <f>IF([1]Result_notebook_retravaill!I44&gt;[1]Result_notebook_retravaill!G44,0,IF([1]Result_notebook_retravaill!I44+[1]Result_notebook_retravaill!J44&gt;[1]Result_notebook_retravaill!G44,[1]Result_notebook_retravaill!G44-[1]Result_notebook_retravaill!I44,[1]Result_notebook_retravaill!J44))</f>
        <v>1.1036953231174669</v>
      </c>
      <c r="L44" s="3">
        <f>IF([1]Result_notebook_retravaill!I44&gt;[1]Result_notebook_retravaill!G44,0,IF([1]Result_notebook_retravaill!I44+[1]Result_notebook_retravaill!J44&gt;[1]Result_notebook_retravaill!G44,0,[1]Result_notebook_retravaill!M44))</f>
        <v>321.45509287451927</v>
      </c>
    </row>
    <row r="45" spans="1:12">
      <c r="A45">
        <f>[1]Result_notebook_retravaill!A45</f>
        <v>2025</v>
      </c>
      <c r="B45" t="str">
        <f>[1]Result_notebook_retravaill!B45</f>
        <v>Neodymium</v>
      </c>
      <c r="C45" t="str">
        <f>[1]Result_notebook_retravaill!C45</f>
        <v>Global Net-zero</v>
      </c>
      <c r="D45" t="str">
        <f>[1]Result_notebook_retravaill!D45</f>
        <v>Production potential</v>
      </c>
      <c r="E45" t="str">
        <f>[1]Result_notebook_retravaill!E45</f>
        <v>Current shares</v>
      </c>
      <c r="F45" t="str">
        <f>[1]Result_notebook_retravaill!F45</f>
        <v>Expansion Extractive+Circularity</v>
      </c>
      <c r="G45">
        <f>[1]Result_notebook_retravaill!G45</f>
        <v>324.20432339207548</v>
      </c>
      <c r="H45" s="3">
        <f>IF([1]Result_notebook_retravaill!I45&gt;[1]Result_notebook_retravaill!G45,[1]Result_notebook_retravaill!I45/[1]Result_notebook_retravaill!N45,[1]Result_notebook_retravaill!H45)</f>
        <v>2.7492305175562488</v>
      </c>
      <c r="I45" s="3">
        <f>[1]Result_notebook_retravaill!K45</f>
        <v>537.5913084692362</v>
      </c>
      <c r="J45" s="3">
        <f>MIN(G45,[1]Result_notebook_retravaill!I45)</f>
        <v>1.6455351944387819</v>
      </c>
      <c r="K45" s="3">
        <f>IF([1]Result_notebook_retravaill!I45&gt;[1]Result_notebook_retravaill!G45,0,IF([1]Result_notebook_retravaill!I45+[1]Result_notebook_retravaill!J45&gt;[1]Result_notebook_retravaill!G45,[1]Result_notebook_retravaill!G45-[1]Result_notebook_retravaill!I45,[1]Result_notebook_retravaill!J45))</f>
        <v>1.1036953231174669</v>
      </c>
      <c r="L45" s="3">
        <f>IF([1]Result_notebook_retravaill!I45&gt;[1]Result_notebook_retravaill!G45,0,IF([1]Result_notebook_retravaill!I45+[1]Result_notebook_retravaill!J45&gt;[1]Result_notebook_retravaill!G45,0,[1]Result_notebook_retravaill!M45))</f>
        <v>321.45509287451927</v>
      </c>
    </row>
    <row r="46" spans="1:12">
      <c r="A46">
        <f>[1]Result_notebook_retravaill!A46</f>
        <v>2025</v>
      </c>
      <c r="B46" t="str">
        <f>[1]Result_notebook_retravaill!B46</f>
        <v>Neodymium</v>
      </c>
      <c r="C46" t="str">
        <f>[1]Result_notebook_retravaill!C46</f>
        <v>Global Net-zero</v>
      </c>
      <c r="D46" t="str">
        <f>[1]Result_notebook_retravaill!D46</f>
        <v>Production potential</v>
      </c>
      <c r="E46" t="str">
        <f>[1]Result_notebook_retravaill!E46</f>
        <v>100% CAN</v>
      </c>
      <c r="F46" t="str">
        <f>[1]Result_notebook_retravaill!F46</f>
        <v>Integrated</v>
      </c>
      <c r="G46">
        <f>[1]Result_notebook_retravaill!G46</f>
        <v>324.20432339207548</v>
      </c>
      <c r="H46" s="3">
        <f>IF([1]Result_notebook_retravaill!I46&gt;[1]Result_notebook_retravaill!G46,[1]Result_notebook_retravaill!I46/[1]Result_notebook_retravaill!N46,[1]Result_notebook_retravaill!H46)</f>
        <v>2.7492305175562488</v>
      </c>
      <c r="I46" s="3">
        <f>[1]Result_notebook_retravaill!K46</f>
        <v>537.5913084692362</v>
      </c>
      <c r="J46" s="3">
        <f>MIN(G46,[1]Result_notebook_retravaill!I46)</f>
        <v>1.6455351944387819</v>
      </c>
      <c r="K46" s="3">
        <f>IF([1]Result_notebook_retravaill!I46&gt;[1]Result_notebook_retravaill!G46,0,IF([1]Result_notebook_retravaill!I46+[1]Result_notebook_retravaill!J46&gt;[1]Result_notebook_retravaill!G46,[1]Result_notebook_retravaill!G46-[1]Result_notebook_retravaill!I46,[1]Result_notebook_retravaill!J46))</f>
        <v>1.1036953231174669</v>
      </c>
      <c r="L46" s="3">
        <f>IF([1]Result_notebook_retravaill!I46&gt;[1]Result_notebook_retravaill!G46,0,IF([1]Result_notebook_retravaill!I46+[1]Result_notebook_retravaill!J46&gt;[1]Result_notebook_retravaill!G46,0,[1]Result_notebook_retravaill!M46))</f>
        <v>321.45509287451927</v>
      </c>
    </row>
    <row r="47" spans="1:12">
      <c r="A47">
        <f>[1]Result_notebook_retravaill!A47</f>
        <v>2025</v>
      </c>
      <c r="B47" t="str">
        <f>[1]Result_notebook_retravaill!B47</f>
        <v>Nickel</v>
      </c>
      <c r="C47" t="str">
        <f>[1]Result_notebook_retravaill!C47</f>
        <v>Canada Net-zero</v>
      </c>
      <c r="D47" t="str">
        <f>[1]Result_notebook_retravaill!D47</f>
        <v>Existing production</v>
      </c>
      <c r="E47" t="str">
        <f>[1]Result_notebook_retravaill!E47</f>
        <v>Current shares</v>
      </c>
      <c r="F47" t="str">
        <f>[1]Result_notebook_retravaill!F47</f>
        <v>NIMBY</v>
      </c>
      <c r="G47">
        <f>[1]Result_notebook_retravaill!G47</f>
        <v>22394.317081973011</v>
      </c>
      <c r="H47" s="3">
        <f>IF([1]Result_notebook_retravaill!I47&gt;[1]Result_notebook_retravaill!G47,[1]Result_notebook_retravaill!I47/[1]Result_notebook_retravaill!N47,[1]Result_notebook_retravaill!H47)</f>
        <v>0</v>
      </c>
      <c r="I47" s="3">
        <f>[1]Result_notebook_retravaill!K47</f>
        <v>28347.236812624069</v>
      </c>
      <c r="J47" s="3">
        <f>MIN(G47,[1]Result_notebook_retravaill!I47)</f>
        <v>0</v>
      </c>
      <c r="K47" s="3">
        <f>IF([1]Result_notebook_retravaill!I47&gt;[1]Result_notebook_retravaill!G47,0,IF([1]Result_notebook_retravaill!I47+[1]Result_notebook_retravaill!J47&gt;[1]Result_notebook_retravaill!G47,[1]Result_notebook_retravaill!G47-[1]Result_notebook_retravaill!I47,[1]Result_notebook_retravaill!J47))</f>
        <v>0</v>
      </c>
      <c r="L47" s="3">
        <f>IF([1]Result_notebook_retravaill!I47&gt;[1]Result_notebook_retravaill!G47,0,IF([1]Result_notebook_retravaill!I47+[1]Result_notebook_retravaill!J47&gt;[1]Result_notebook_retravaill!G47,0,[1]Result_notebook_retravaill!M47))</f>
        <v>22394.317081973011</v>
      </c>
    </row>
    <row r="48" spans="1:12">
      <c r="A48">
        <f>[1]Result_notebook_retravaill!A48</f>
        <v>2025</v>
      </c>
      <c r="B48" t="str">
        <f>[1]Result_notebook_retravaill!B48</f>
        <v>Nickel</v>
      </c>
      <c r="C48" t="str">
        <f>[1]Result_notebook_retravaill!C48</f>
        <v>Canada Net-zero</v>
      </c>
      <c r="D48" t="str">
        <f>[1]Result_notebook_retravaill!D48</f>
        <v>Existing production</v>
      </c>
      <c r="E48" t="str">
        <f>[1]Result_notebook_retravaill!E48</f>
        <v>Current shares</v>
      </c>
      <c r="F48" t="str">
        <f>[1]Result_notebook_retravaill!F48</f>
        <v>Status Quo</v>
      </c>
      <c r="G48">
        <f>[1]Result_notebook_retravaill!G48</f>
        <v>22394.317081973011</v>
      </c>
      <c r="H48" s="3">
        <f>IF([1]Result_notebook_retravaill!I48&gt;[1]Result_notebook_retravaill!G48,[1]Result_notebook_retravaill!I48/[1]Result_notebook_retravaill!N48,[1]Result_notebook_retravaill!H48)</f>
        <v>124010.10328178547</v>
      </c>
      <c r="I48" s="3">
        <f>[1]Result_notebook_retravaill!K48</f>
        <v>0</v>
      </c>
      <c r="J48" s="3">
        <f>MIN(G48,[1]Result_notebook_retravaill!I48)</f>
        <v>22394.317081973011</v>
      </c>
      <c r="K48" s="3">
        <f>IF([1]Result_notebook_retravaill!I48&gt;[1]Result_notebook_retravaill!G48,0,IF([1]Result_notebook_retravaill!I48+[1]Result_notebook_retravaill!J48&gt;[1]Result_notebook_retravaill!G48,[1]Result_notebook_retravaill!G48-[1]Result_notebook_retravaill!I48,[1]Result_notebook_retravaill!J48))</f>
        <v>0</v>
      </c>
      <c r="L48" s="3">
        <f>IF([1]Result_notebook_retravaill!I48&gt;[1]Result_notebook_retravaill!G48,0,IF([1]Result_notebook_retravaill!I48+[1]Result_notebook_retravaill!J48&gt;[1]Result_notebook_retravaill!G48,0,[1]Result_notebook_retravaill!M48))</f>
        <v>0</v>
      </c>
    </row>
    <row r="49" spans="1:12">
      <c r="A49">
        <f>[1]Result_notebook_retravaill!A49</f>
        <v>2025</v>
      </c>
      <c r="B49" t="str">
        <f>[1]Result_notebook_retravaill!B49</f>
        <v>Nickel</v>
      </c>
      <c r="C49" t="str">
        <f>[1]Result_notebook_retravaill!C49</f>
        <v>Canada Net-zero</v>
      </c>
      <c r="D49" t="str">
        <f>[1]Result_notebook_retravaill!D49</f>
        <v>Production potential</v>
      </c>
      <c r="E49" t="str">
        <f>[1]Result_notebook_retravaill!E49</f>
        <v>Current shares</v>
      </c>
      <c r="F49" t="str">
        <f>[1]Result_notebook_retravaill!F49</f>
        <v>Expansion Extractive</v>
      </c>
      <c r="G49">
        <f>[1]Result_notebook_retravaill!G49</f>
        <v>22394.317081973011</v>
      </c>
      <c r="H49" s="3">
        <f>IF([1]Result_notebook_retravaill!I49&gt;[1]Result_notebook_retravaill!G49,[1]Result_notebook_retravaill!I49/[1]Result_notebook_retravaill!N49,[1]Result_notebook_retravaill!H49)</f>
        <v>124010.10328178547</v>
      </c>
      <c r="I49" s="3">
        <f>[1]Result_notebook_retravaill!K49</f>
        <v>0</v>
      </c>
      <c r="J49" s="3">
        <f>MIN(G49,[1]Result_notebook_retravaill!I49)</f>
        <v>22394.317081973011</v>
      </c>
      <c r="K49" s="3">
        <f>IF([1]Result_notebook_retravaill!I49&gt;[1]Result_notebook_retravaill!G49,0,IF([1]Result_notebook_retravaill!I49+[1]Result_notebook_retravaill!J49&gt;[1]Result_notebook_retravaill!G49,[1]Result_notebook_retravaill!G49-[1]Result_notebook_retravaill!I49,[1]Result_notebook_retravaill!J49))</f>
        <v>0</v>
      </c>
      <c r="L49" s="3">
        <f>IF([1]Result_notebook_retravaill!I49&gt;[1]Result_notebook_retravaill!G49,0,IF([1]Result_notebook_retravaill!I49+[1]Result_notebook_retravaill!J49&gt;[1]Result_notebook_retravaill!G49,0,[1]Result_notebook_retravaill!M49))</f>
        <v>0</v>
      </c>
    </row>
    <row r="50" spans="1:12">
      <c r="A50">
        <f>[1]Result_notebook_retravaill!A50</f>
        <v>2025</v>
      </c>
      <c r="B50" t="str">
        <f>[1]Result_notebook_retravaill!B50</f>
        <v>Nickel</v>
      </c>
      <c r="C50" t="str">
        <f>[1]Result_notebook_retravaill!C50</f>
        <v>Canada Net-zero</v>
      </c>
      <c r="D50" t="str">
        <f>[1]Result_notebook_retravaill!D50</f>
        <v>Production potential</v>
      </c>
      <c r="E50" t="str">
        <f>[1]Result_notebook_retravaill!E50</f>
        <v>Current shares</v>
      </c>
      <c r="F50" t="str">
        <f>[1]Result_notebook_retravaill!F50</f>
        <v>Expansion Extractive+Circularity</v>
      </c>
      <c r="G50">
        <f>[1]Result_notebook_retravaill!G50</f>
        <v>22394.317081973011</v>
      </c>
      <c r="H50" s="3">
        <f>IF([1]Result_notebook_retravaill!I50&gt;[1]Result_notebook_retravaill!G50,[1]Result_notebook_retravaill!I50/[1]Result_notebook_retravaill!N50,[1]Result_notebook_retravaill!H50)</f>
        <v>124010.10328178547</v>
      </c>
      <c r="I50" s="3">
        <f>[1]Result_notebook_retravaill!K50</f>
        <v>0</v>
      </c>
      <c r="J50" s="3">
        <f>MIN(G50,[1]Result_notebook_retravaill!I50)</f>
        <v>22394.317081973011</v>
      </c>
      <c r="K50" s="3">
        <f>IF([1]Result_notebook_retravaill!I50&gt;[1]Result_notebook_retravaill!G50,0,IF([1]Result_notebook_retravaill!I50+[1]Result_notebook_retravaill!J50&gt;[1]Result_notebook_retravaill!G50,[1]Result_notebook_retravaill!G50-[1]Result_notebook_retravaill!I50,[1]Result_notebook_retravaill!J50))</f>
        <v>0</v>
      </c>
      <c r="L50" s="3">
        <f>IF([1]Result_notebook_retravaill!I50&gt;[1]Result_notebook_retravaill!G50,0,IF([1]Result_notebook_retravaill!I50+[1]Result_notebook_retravaill!J50&gt;[1]Result_notebook_retravaill!G50,0,[1]Result_notebook_retravaill!M50))</f>
        <v>0</v>
      </c>
    </row>
    <row r="51" spans="1:12">
      <c r="A51">
        <f>[1]Result_notebook_retravaill!A51</f>
        <v>2025</v>
      </c>
      <c r="B51" t="str">
        <f>[1]Result_notebook_retravaill!B51</f>
        <v>Nickel</v>
      </c>
      <c r="C51" t="str">
        <f>[1]Result_notebook_retravaill!C51</f>
        <v>Canada Net-zero</v>
      </c>
      <c r="D51" t="str">
        <f>[1]Result_notebook_retravaill!D51</f>
        <v>Production potential</v>
      </c>
      <c r="E51" t="str">
        <f>[1]Result_notebook_retravaill!E51</f>
        <v>100% CAN</v>
      </c>
      <c r="F51" t="str">
        <f>[1]Result_notebook_retravaill!F51</f>
        <v>Integrated</v>
      </c>
      <c r="G51">
        <f>[1]Result_notebook_retravaill!G51</f>
        <v>22394.317081973011</v>
      </c>
      <c r="H51" s="3">
        <f>IF([1]Result_notebook_retravaill!I51&gt;[1]Result_notebook_retravaill!G51,[1]Result_notebook_retravaill!I51/[1]Result_notebook_retravaill!N51,[1]Result_notebook_retravaill!H51)</f>
        <v>174127.74396030381</v>
      </c>
      <c r="I51" s="3">
        <f>[1]Result_notebook_retravaill!K51</f>
        <v>0</v>
      </c>
      <c r="J51" s="3">
        <f>MIN(G51,[1]Result_notebook_retravaill!I51)</f>
        <v>22394.317081973011</v>
      </c>
      <c r="K51" s="3">
        <f>IF([1]Result_notebook_retravaill!I51&gt;[1]Result_notebook_retravaill!G51,0,IF([1]Result_notebook_retravaill!I51+[1]Result_notebook_retravaill!J51&gt;[1]Result_notebook_retravaill!G51,[1]Result_notebook_retravaill!G51-[1]Result_notebook_retravaill!I51,[1]Result_notebook_retravaill!J51))</f>
        <v>0</v>
      </c>
      <c r="L51" s="3">
        <f>IF([1]Result_notebook_retravaill!I51&gt;[1]Result_notebook_retravaill!G51,0,IF([1]Result_notebook_retravaill!I51+[1]Result_notebook_retravaill!J51&gt;[1]Result_notebook_retravaill!G51,0,[1]Result_notebook_retravaill!M51))</f>
        <v>0</v>
      </c>
    </row>
    <row r="52" spans="1:12">
      <c r="A52">
        <f>[1]Result_notebook_retravaill!A52</f>
        <v>2025</v>
      </c>
      <c r="B52" t="str">
        <f>[1]Result_notebook_retravaill!B52</f>
        <v>Nickel</v>
      </c>
      <c r="C52" t="str">
        <f>[1]Result_notebook_retravaill!C52</f>
        <v>Current Measures</v>
      </c>
      <c r="D52" t="str">
        <f>[1]Result_notebook_retravaill!D52</f>
        <v>Existing production</v>
      </c>
      <c r="E52" t="str">
        <f>[1]Result_notebook_retravaill!E52</f>
        <v>Current shares</v>
      </c>
      <c r="F52" t="str">
        <f>[1]Result_notebook_retravaill!F52</f>
        <v>NIMBY</v>
      </c>
      <c r="G52">
        <f>[1]Result_notebook_retravaill!G52</f>
        <v>20352.370126600821</v>
      </c>
      <c r="H52" s="3">
        <f>IF([1]Result_notebook_retravaill!I52&gt;[1]Result_notebook_retravaill!G52,[1]Result_notebook_retravaill!I52/[1]Result_notebook_retravaill!N52,[1]Result_notebook_retravaill!H52)</f>
        <v>0</v>
      </c>
      <c r="I52" s="3">
        <f>[1]Result_notebook_retravaill!K52</f>
        <v>25762.49383114028</v>
      </c>
      <c r="J52" s="3">
        <f>MIN(G52,[1]Result_notebook_retravaill!I52)</f>
        <v>0</v>
      </c>
      <c r="K52" s="3">
        <f>IF([1]Result_notebook_retravaill!I52&gt;[1]Result_notebook_retravaill!G52,0,IF([1]Result_notebook_retravaill!I52+[1]Result_notebook_retravaill!J52&gt;[1]Result_notebook_retravaill!G52,[1]Result_notebook_retravaill!G52-[1]Result_notebook_retravaill!I52,[1]Result_notebook_retravaill!J52))</f>
        <v>0</v>
      </c>
      <c r="L52" s="3">
        <f>IF([1]Result_notebook_retravaill!I52&gt;[1]Result_notebook_retravaill!G52,0,IF([1]Result_notebook_retravaill!I52+[1]Result_notebook_retravaill!J52&gt;[1]Result_notebook_retravaill!G52,0,[1]Result_notebook_retravaill!M52))</f>
        <v>20352.370126600821</v>
      </c>
    </row>
    <row r="53" spans="1:12">
      <c r="A53">
        <f>[1]Result_notebook_retravaill!A53</f>
        <v>2025</v>
      </c>
      <c r="B53" t="str">
        <f>[1]Result_notebook_retravaill!B53</f>
        <v>Nickel</v>
      </c>
      <c r="C53" t="str">
        <f>[1]Result_notebook_retravaill!C53</f>
        <v>Current Measures</v>
      </c>
      <c r="D53" t="str">
        <f>[1]Result_notebook_retravaill!D53</f>
        <v>Existing production</v>
      </c>
      <c r="E53" t="str">
        <f>[1]Result_notebook_retravaill!E53</f>
        <v>Current shares</v>
      </c>
      <c r="F53" t="str">
        <f>[1]Result_notebook_retravaill!F53</f>
        <v>Status Quo</v>
      </c>
      <c r="G53">
        <f>[1]Result_notebook_retravaill!G53</f>
        <v>20352.370126600821</v>
      </c>
      <c r="H53" s="3">
        <f>IF([1]Result_notebook_retravaill!I53&gt;[1]Result_notebook_retravaill!G53,[1]Result_notebook_retravaill!I53/[1]Result_notebook_retravaill!N53,[1]Result_notebook_retravaill!H53)</f>
        <v>124010.10328178547</v>
      </c>
      <c r="I53" s="3">
        <f>[1]Result_notebook_retravaill!K53</f>
        <v>0</v>
      </c>
      <c r="J53" s="3">
        <f>MIN(G53,[1]Result_notebook_retravaill!I53)</f>
        <v>20352.370126600821</v>
      </c>
      <c r="K53" s="3">
        <f>IF([1]Result_notebook_retravaill!I53&gt;[1]Result_notebook_retravaill!G53,0,IF([1]Result_notebook_retravaill!I53+[1]Result_notebook_retravaill!J53&gt;[1]Result_notebook_retravaill!G53,[1]Result_notebook_retravaill!G53-[1]Result_notebook_retravaill!I53,[1]Result_notebook_retravaill!J53))</f>
        <v>0</v>
      </c>
      <c r="L53" s="3">
        <f>IF([1]Result_notebook_retravaill!I53&gt;[1]Result_notebook_retravaill!G53,0,IF([1]Result_notebook_retravaill!I53+[1]Result_notebook_retravaill!J53&gt;[1]Result_notebook_retravaill!G53,0,[1]Result_notebook_retravaill!M53))</f>
        <v>0</v>
      </c>
    </row>
    <row r="54" spans="1:12">
      <c r="A54">
        <f>[1]Result_notebook_retravaill!A54</f>
        <v>2025</v>
      </c>
      <c r="B54" t="str">
        <f>[1]Result_notebook_retravaill!B54</f>
        <v>Nickel</v>
      </c>
      <c r="C54" t="str">
        <f>[1]Result_notebook_retravaill!C54</f>
        <v>Current Measures</v>
      </c>
      <c r="D54" t="str">
        <f>[1]Result_notebook_retravaill!D54</f>
        <v>Production potential</v>
      </c>
      <c r="E54" t="str">
        <f>[1]Result_notebook_retravaill!E54</f>
        <v>Current shares</v>
      </c>
      <c r="F54" t="str">
        <f>[1]Result_notebook_retravaill!F54</f>
        <v>Expansion Extractive</v>
      </c>
      <c r="G54">
        <f>[1]Result_notebook_retravaill!G54</f>
        <v>20352.370126600821</v>
      </c>
      <c r="H54" s="3">
        <f>IF([1]Result_notebook_retravaill!I54&gt;[1]Result_notebook_retravaill!G54,[1]Result_notebook_retravaill!I54/[1]Result_notebook_retravaill!N54,[1]Result_notebook_retravaill!H54)</f>
        <v>124010.10328178547</v>
      </c>
      <c r="I54" s="3">
        <f>[1]Result_notebook_retravaill!K54</f>
        <v>0</v>
      </c>
      <c r="J54" s="3">
        <f>MIN(G54,[1]Result_notebook_retravaill!I54)</f>
        <v>20352.370126600821</v>
      </c>
      <c r="K54" s="3">
        <f>IF([1]Result_notebook_retravaill!I54&gt;[1]Result_notebook_retravaill!G54,0,IF([1]Result_notebook_retravaill!I54+[1]Result_notebook_retravaill!J54&gt;[1]Result_notebook_retravaill!G54,[1]Result_notebook_retravaill!G54-[1]Result_notebook_retravaill!I54,[1]Result_notebook_retravaill!J54))</f>
        <v>0</v>
      </c>
      <c r="L54" s="3">
        <f>IF([1]Result_notebook_retravaill!I54&gt;[1]Result_notebook_retravaill!G54,0,IF([1]Result_notebook_retravaill!I54+[1]Result_notebook_retravaill!J54&gt;[1]Result_notebook_retravaill!G54,0,[1]Result_notebook_retravaill!M54))</f>
        <v>0</v>
      </c>
    </row>
    <row r="55" spans="1:12">
      <c r="A55">
        <f>[1]Result_notebook_retravaill!A55</f>
        <v>2025</v>
      </c>
      <c r="B55" t="str">
        <f>[1]Result_notebook_retravaill!B55</f>
        <v>Nickel</v>
      </c>
      <c r="C55" t="str">
        <f>[1]Result_notebook_retravaill!C55</f>
        <v>Current Measures</v>
      </c>
      <c r="D55" t="str">
        <f>[1]Result_notebook_retravaill!D55</f>
        <v>Production potential</v>
      </c>
      <c r="E55" t="str">
        <f>[1]Result_notebook_retravaill!E55</f>
        <v>Current shares</v>
      </c>
      <c r="F55" t="str">
        <f>[1]Result_notebook_retravaill!F55</f>
        <v>Expansion Extractive+Circularity</v>
      </c>
      <c r="G55">
        <f>[1]Result_notebook_retravaill!G55</f>
        <v>20352.370126600821</v>
      </c>
      <c r="H55" s="3">
        <f>IF([1]Result_notebook_retravaill!I55&gt;[1]Result_notebook_retravaill!G55,[1]Result_notebook_retravaill!I55/[1]Result_notebook_retravaill!N55,[1]Result_notebook_retravaill!H55)</f>
        <v>124010.10328178547</v>
      </c>
      <c r="I55" s="3">
        <f>[1]Result_notebook_retravaill!K55</f>
        <v>0</v>
      </c>
      <c r="J55" s="3">
        <f>MIN(G55,[1]Result_notebook_retravaill!I55)</f>
        <v>20352.370126600821</v>
      </c>
      <c r="K55" s="3">
        <f>IF([1]Result_notebook_retravaill!I55&gt;[1]Result_notebook_retravaill!G55,0,IF([1]Result_notebook_retravaill!I55+[1]Result_notebook_retravaill!J55&gt;[1]Result_notebook_retravaill!G55,[1]Result_notebook_retravaill!G55-[1]Result_notebook_retravaill!I55,[1]Result_notebook_retravaill!J55))</f>
        <v>0</v>
      </c>
      <c r="L55" s="3">
        <f>IF([1]Result_notebook_retravaill!I55&gt;[1]Result_notebook_retravaill!G55,0,IF([1]Result_notebook_retravaill!I55+[1]Result_notebook_retravaill!J55&gt;[1]Result_notebook_retravaill!G55,0,[1]Result_notebook_retravaill!M55))</f>
        <v>0</v>
      </c>
    </row>
    <row r="56" spans="1:12">
      <c r="A56">
        <f>[1]Result_notebook_retravaill!A56</f>
        <v>2025</v>
      </c>
      <c r="B56" t="str">
        <f>[1]Result_notebook_retravaill!B56</f>
        <v>Nickel</v>
      </c>
      <c r="C56" t="str">
        <f>[1]Result_notebook_retravaill!C56</f>
        <v>Current Measures</v>
      </c>
      <c r="D56" t="str">
        <f>[1]Result_notebook_retravaill!D56</f>
        <v>Production potential</v>
      </c>
      <c r="E56" t="str">
        <f>[1]Result_notebook_retravaill!E56</f>
        <v>100% CAN</v>
      </c>
      <c r="F56" t="str">
        <f>[1]Result_notebook_retravaill!F56</f>
        <v>Integrated</v>
      </c>
      <c r="G56">
        <f>[1]Result_notebook_retravaill!G56</f>
        <v>20352.370126600821</v>
      </c>
      <c r="H56" s="3">
        <f>IF([1]Result_notebook_retravaill!I56&gt;[1]Result_notebook_retravaill!G56,[1]Result_notebook_retravaill!I56/[1]Result_notebook_retravaill!N56,[1]Result_notebook_retravaill!H56)</f>
        <v>174127.74396030381</v>
      </c>
      <c r="I56" s="3">
        <f>[1]Result_notebook_retravaill!K56</f>
        <v>0</v>
      </c>
      <c r="J56" s="3">
        <f>MIN(G56,[1]Result_notebook_retravaill!I56)</f>
        <v>20352.370126600821</v>
      </c>
      <c r="K56" s="3">
        <f>IF([1]Result_notebook_retravaill!I56&gt;[1]Result_notebook_retravaill!G56,0,IF([1]Result_notebook_retravaill!I56+[1]Result_notebook_retravaill!J56&gt;[1]Result_notebook_retravaill!G56,[1]Result_notebook_retravaill!G56-[1]Result_notebook_retravaill!I56,[1]Result_notebook_retravaill!J56))</f>
        <v>0</v>
      </c>
      <c r="L56" s="3">
        <f>IF([1]Result_notebook_retravaill!I56&gt;[1]Result_notebook_retravaill!G56,0,IF([1]Result_notebook_retravaill!I56+[1]Result_notebook_retravaill!J56&gt;[1]Result_notebook_retravaill!G56,0,[1]Result_notebook_retravaill!M56))</f>
        <v>0</v>
      </c>
    </row>
    <row r="57" spans="1:12">
      <c r="A57">
        <f>[1]Result_notebook_retravaill!A57</f>
        <v>2025</v>
      </c>
      <c r="B57" t="str">
        <f>[1]Result_notebook_retravaill!B57</f>
        <v>Nickel</v>
      </c>
      <c r="C57" t="str">
        <f>[1]Result_notebook_retravaill!C57</f>
        <v>Global Net-zero</v>
      </c>
      <c r="D57" t="str">
        <f>[1]Result_notebook_retravaill!D57</f>
        <v>Existing production</v>
      </c>
      <c r="E57" t="str">
        <f>[1]Result_notebook_retravaill!E57</f>
        <v>Current shares</v>
      </c>
      <c r="F57" t="str">
        <f>[1]Result_notebook_retravaill!F57</f>
        <v>NIMBY</v>
      </c>
      <c r="G57">
        <f>[1]Result_notebook_retravaill!G57</f>
        <v>21927.171834368899</v>
      </c>
      <c r="H57" s="3">
        <f>IF([1]Result_notebook_retravaill!I57&gt;[1]Result_notebook_retravaill!G57,[1]Result_notebook_retravaill!I57/[1]Result_notebook_retravaill!N57,[1]Result_notebook_retravaill!H57)</f>
        <v>0</v>
      </c>
      <c r="I57" s="3">
        <f>[1]Result_notebook_retravaill!K57</f>
        <v>27755.913714391008</v>
      </c>
      <c r="J57" s="3">
        <f>MIN(G57,[1]Result_notebook_retravaill!I57)</f>
        <v>0</v>
      </c>
      <c r="K57" s="3">
        <f>IF([1]Result_notebook_retravaill!I57&gt;[1]Result_notebook_retravaill!G57,0,IF([1]Result_notebook_retravaill!I57+[1]Result_notebook_retravaill!J57&gt;[1]Result_notebook_retravaill!G57,[1]Result_notebook_retravaill!G57-[1]Result_notebook_retravaill!I57,[1]Result_notebook_retravaill!J57))</f>
        <v>0</v>
      </c>
      <c r="L57" s="3">
        <f>IF([1]Result_notebook_retravaill!I57&gt;[1]Result_notebook_retravaill!G57,0,IF([1]Result_notebook_retravaill!I57+[1]Result_notebook_retravaill!J57&gt;[1]Result_notebook_retravaill!G57,0,[1]Result_notebook_retravaill!M57))</f>
        <v>21927.171834368899</v>
      </c>
    </row>
    <row r="58" spans="1:12">
      <c r="A58">
        <f>[1]Result_notebook_retravaill!A58</f>
        <v>2025</v>
      </c>
      <c r="B58" t="str">
        <f>[1]Result_notebook_retravaill!B58</f>
        <v>Nickel</v>
      </c>
      <c r="C58" t="str">
        <f>[1]Result_notebook_retravaill!C58</f>
        <v>Global Net-zero</v>
      </c>
      <c r="D58" t="str">
        <f>[1]Result_notebook_retravaill!D58</f>
        <v>Existing production</v>
      </c>
      <c r="E58" t="str">
        <f>[1]Result_notebook_retravaill!E58</f>
        <v>Current shares</v>
      </c>
      <c r="F58" t="str">
        <f>[1]Result_notebook_retravaill!F58</f>
        <v>Status Quo</v>
      </c>
      <c r="G58">
        <f>[1]Result_notebook_retravaill!G58</f>
        <v>21927.171834368899</v>
      </c>
      <c r="H58" s="3">
        <f>IF([1]Result_notebook_retravaill!I58&gt;[1]Result_notebook_retravaill!G58,[1]Result_notebook_retravaill!I58/[1]Result_notebook_retravaill!N58,[1]Result_notebook_retravaill!H58)</f>
        <v>124010.10328178547</v>
      </c>
      <c r="I58" s="3">
        <f>[1]Result_notebook_retravaill!K58</f>
        <v>0</v>
      </c>
      <c r="J58" s="3">
        <f>MIN(G58,[1]Result_notebook_retravaill!I58)</f>
        <v>21927.171834368899</v>
      </c>
      <c r="K58" s="3">
        <f>IF([1]Result_notebook_retravaill!I58&gt;[1]Result_notebook_retravaill!G58,0,IF([1]Result_notebook_retravaill!I58+[1]Result_notebook_retravaill!J58&gt;[1]Result_notebook_retravaill!G58,[1]Result_notebook_retravaill!G58-[1]Result_notebook_retravaill!I58,[1]Result_notebook_retravaill!J58))</f>
        <v>0</v>
      </c>
      <c r="L58" s="3">
        <f>IF([1]Result_notebook_retravaill!I58&gt;[1]Result_notebook_retravaill!G58,0,IF([1]Result_notebook_retravaill!I58+[1]Result_notebook_retravaill!J58&gt;[1]Result_notebook_retravaill!G58,0,[1]Result_notebook_retravaill!M58))</f>
        <v>0</v>
      </c>
    </row>
    <row r="59" spans="1:12">
      <c r="A59">
        <f>[1]Result_notebook_retravaill!A59</f>
        <v>2025</v>
      </c>
      <c r="B59" t="str">
        <f>[1]Result_notebook_retravaill!B59</f>
        <v>Nickel</v>
      </c>
      <c r="C59" t="str">
        <f>[1]Result_notebook_retravaill!C59</f>
        <v>Global Net-zero</v>
      </c>
      <c r="D59" t="str">
        <f>[1]Result_notebook_retravaill!D59</f>
        <v>Production potential</v>
      </c>
      <c r="E59" t="str">
        <f>[1]Result_notebook_retravaill!E59</f>
        <v>Current shares</v>
      </c>
      <c r="F59" t="str">
        <f>[1]Result_notebook_retravaill!F59</f>
        <v>Expansion Extractive</v>
      </c>
      <c r="G59">
        <f>[1]Result_notebook_retravaill!G59</f>
        <v>21927.171834368899</v>
      </c>
      <c r="H59" s="3">
        <f>IF([1]Result_notebook_retravaill!I59&gt;[1]Result_notebook_retravaill!G59,[1]Result_notebook_retravaill!I59/[1]Result_notebook_retravaill!N59,[1]Result_notebook_retravaill!H59)</f>
        <v>124010.10328178547</v>
      </c>
      <c r="I59" s="3">
        <f>[1]Result_notebook_retravaill!K59</f>
        <v>0</v>
      </c>
      <c r="J59" s="3">
        <f>MIN(G59,[1]Result_notebook_retravaill!I59)</f>
        <v>21927.171834368899</v>
      </c>
      <c r="K59" s="3">
        <f>IF([1]Result_notebook_retravaill!I59&gt;[1]Result_notebook_retravaill!G59,0,IF([1]Result_notebook_retravaill!I59+[1]Result_notebook_retravaill!J59&gt;[1]Result_notebook_retravaill!G59,[1]Result_notebook_retravaill!G59-[1]Result_notebook_retravaill!I59,[1]Result_notebook_retravaill!J59))</f>
        <v>0</v>
      </c>
      <c r="L59" s="3">
        <f>IF([1]Result_notebook_retravaill!I59&gt;[1]Result_notebook_retravaill!G59,0,IF([1]Result_notebook_retravaill!I59+[1]Result_notebook_retravaill!J59&gt;[1]Result_notebook_retravaill!G59,0,[1]Result_notebook_retravaill!M59))</f>
        <v>0</v>
      </c>
    </row>
    <row r="60" spans="1:12">
      <c r="A60">
        <f>[1]Result_notebook_retravaill!A60</f>
        <v>2025</v>
      </c>
      <c r="B60" t="str">
        <f>[1]Result_notebook_retravaill!B60</f>
        <v>Nickel</v>
      </c>
      <c r="C60" t="str">
        <f>[1]Result_notebook_retravaill!C60</f>
        <v>Global Net-zero</v>
      </c>
      <c r="D60" t="str">
        <f>[1]Result_notebook_retravaill!D60</f>
        <v>Production potential</v>
      </c>
      <c r="E60" t="str">
        <f>[1]Result_notebook_retravaill!E60</f>
        <v>Current shares</v>
      </c>
      <c r="F60" t="str">
        <f>[1]Result_notebook_retravaill!F60</f>
        <v>Expansion Extractive+Circularity</v>
      </c>
      <c r="G60">
        <f>[1]Result_notebook_retravaill!G60</f>
        <v>21927.171834368899</v>
      </c>
      <c r="H60" s="3">
        <f>IF([1]Result_notebook_retravaill!I60&gt;[1]Result_notebook_retravaill!G60,[1]Result_notebook_retravaill!I60/[1]Result_notebook_retravaill!N60,[1]Result_notebook_retravaill!H60)</f>
        <v>124010.10328178547</v>
      </c>
      <c r="I60" s="3">
        <f>[1]Result_notebook_retravaill!K60</f>
        <v>0</v>
      </c>
      <c r="J60" s="3">
        <f>MIN(G60,[1]Result_notebook_retravaill!I60)</f>
        <v>21927.171834368899</v>
      </c>
      <c r="K60" s="3">
        <f>IF([1]Result_notebook_retravaill!I60&gt;[1]Result_notebook_retravaill!G60,0,IF([1]Result_notebook_retravaill!I60+[1]Result_notebook_retravaill!J60&gt;[1]Result_notebook_retravaill!G60,[1]Result_notebook_retravaill!G60-[1]Result_notebook_retravaill!I60,[1]Result_notebook_retravaill!J60))</f>
        <v>0</v>
      </c>
      <c r="L60" s="3">
        <f>IF([1]Result_notebook_retravaill!I60&gt;[1]Result_notebook_retravaill!G60,0,IF([1]Result_notebook_retravaill!I60+[1]Result_notebook_retravaill!J60&gt;[1]Result_notebook_retravaill!G60,0,[1]Result_notebook_retravaill!M60))</f>
        <v>0</v>
      </c>
    </row>
    <row r="61" spans="1:12">
      <c r="A61">
        <f>[1]Result_notebook_retravaill!A61</f>
        <v>2025</v>
      </c>
      <c r="B61" t="str">
        <f>[1]Result_notebook_retravaill!B61</f>
        <v>Nickel</v>
      </c>
      <c r="C61" t="str">
        <f>[1]Result_notebook_retravaill!C61</f>
        <v>Global Net-zero</v>
      </c>
      <c r="D61" t="str">
        <f>[1]Result_notebook_retravaill!D61</f>
        <v>Production potential</v>
      </c>
      <c r="E61" t="str">
        <f>[1]Result_notebook_retravaill!E61</f>
        <v>100% CAN</v>
      </c>
      <c r="F61" t="str">
        <f>[1]Result_notebook_retravaill!F61</f>
        <v>Integrated</v>
      </c>
      <c r="G61">
        <f>[1]Result_notebook_retravaill!G61</f>
        <v>21927.171834368899</v>
      </c>
      <c r="H61" s="3">
        <f>IF([1]Result_notebook_retravaill!I61&gt;[1]Result_notebook_retravaill!G61,[1]Result_notebook_retravaill!I61/[1]Result_notebook_retravaill!N61,[1]Result_notebook_retravaill!H61)</f>
        <v>174127.74396030381</v>
      </c>
      <c r="I61" s="3">
        <f>[1]Result_notebook_retravaill!K61</f>
        <v>0</v>
      </c>
      <c r="J61" s="3">
        <f>MIN(G61,[1]Result_notebook_retravaill!I61)</f>
        <v>21927.171834368899</v>
      </c>
      <c r="K61" s="3">
        <f>IF([1]Result_notebook_retravaill!I61&gt;[1]Result_notebook_retravaill!G61,0,IF([1]Result_notebook_retravaill!I61+[1]Result_notebook_retravaill!J61&gt;[1]Result_notebook_retravaill!G61,[1]Result_notebook_retravaill!G61-[1]Result_notebook_retravaill!I61,[1]Result_notebook_retravaill!J61))</f>
        <v>0</v>
      </c>
      <c r="L61" s="3">
        <f>IF([1]Result_notebook_retravaill!I61&gt;[1]Result_notebook_retravaill!G61,0,IF([1]Result_notebook_retravaill!I61+[1]Result_notebook_retravaill!J61&gt;[1]Result_notebook_retravaill!G61,0,[1]Result_notebook_retravaill!M61))</f>
        <v>0</v>
      </c>
    </row>
    <row r="62" spans="1:12">
      <c r="A62">
        <f>[1]Result_notebook_retravaill!A62</f>
        <v>2025</v>
      </c>
      <c r="B62" t="str">
        <f>[1]Result_notebook_retravaill!B62</f>
        <v>Graphite</v>
      </c>
      <c r="C62" t="str">
        <f>[1]Result_notebook_retravaill!C62</f>
        <v>Canada Net-zero</v>
      </c>
      <c r="D62" t="str">
        <f>[1]Result_notebook_retravaill!D62</f>
        <v>Existing production</v>
      </c>
      <c r="E62" t="str">
        <f>[1]Result_notebook_retravaill!E62</f>
        <v>Current shares</v>
      </c>
      <c r="F62" t="str">
        <f>[1]Result_notebook_retravaill!F62</f>
        <v>NIMBY</v>
      </c>
      <c r="G62">
        <f>[1]Result_notebook_retravaill!G62</f>
        <v>413.38674287243032</v>
      </c>
      <c r="H62" s="3">
        <f>IF([1]Result_notebook_retravaill!I62&gt;[1]Result_notebook_retravaill!G62,[1]Result_notebook_retravaill!I62/[1]Result_notebook_retravaill!N62,[1]Result_notebook_retravaill!H62)</f>
        <v>0</v>
      </c>
      <c r="I62" s="3">
        <f>[1]Result_notebook_retravaill!K62</f>
        <v>413.38674287243032</v>
      </c>
      <c r="J62" s="3">
        <f>MIN(G62,[1]Result_notebook_retravaill!I62)</f>
        <v>0</v>
      </c>
      <c r="K62" s="3">
        <f>IF([1]Result_notebook_retravaill!I62&gt;[1]Result_notebook_retravaill!G62,0,IF([1]Result_notebook_retravaill!I62+[1]Result_notebook_retravaill!J62&gt;[1]Result_notebook_retravaill!G62,[1]Result_notebook_retravaill!G62-[1]Result_notebook_retravaill!I62,[1]Result_notebook_retravaill!J62))</f>
        <v>0</v>
      </c>
      <c r="L62" s="3">
        <f>IF([1]Result_notebook_retravaill!I62&gt;[1]Result_notebook_retravaill!G62,0,IF([1]Result_notebook_retravaill!I62+[1]Result_notebook_retravaill!J62&gt;[1]Result_notebook_retravaill!G62,0,[1]Result_notebook_retravaill!M62))</f>
        <v>413.38674287243032</v>
      </c>
    </row>
    <row r="63" spans="1:12">
      <c r="A63">
        <f>[1]Result_notebook_retravaill!A63</f>
        <v>2025</v>
      </c>
      <c r="B63" t="str">
        <f>[1]Result_notebook_retravaill!B63</f>
        <v>Graphite</v>
      </c>
      <c r="C63" t="str">
        <f>[1]Result_notebook_retravaill!C63</f>
        <v>Canada Net-zero</v>
      </c>
      <c r="D63" t="str">
        <f>[1]Result_notebook_retravaill!D63</f>
        <v>Existing production</v>
      </c>
      <c r="E63" t="str">
        <f>[1]Result_notebook_retravaill!E63</f>
        <v>Current shares</v>
      </c>
      <c r="F63" t="str">
        <f>[1]Result_notebook_retravaill!F63</f>
        <v>Status Quo</v>
      </c>
      <c r="G63">
        <f>[1]Result_notebook_retravaill!G63</f>
        <v>413.38674287243032</v>
      </c>
      <c r="H63" s="3">
        <f>IF([1]Result_notebook_retravaill!I63&gt;[1]Result_notebook_retravaill!G63,[1]Result_notebook_retravaill!I63/[1]Result_notebook_retravaill!N63,[1]Result_notebook_retravaill!H63)</f>
        <v>0</v>
      </c>
      <c r="I63" s="3">
        <f>[1]Result_notebook_retravaill!K63</f>
        <v>413.38674287243032</v>
      </c>
      <c r="J63" s="3">
        <f>MIN(G63,[1]Result_notebook_retravaill!I63)</f>
        <v>0</v>
      </c>
      <c r="K63" s="3">
        <f>IF([1]Result_notebook_retravaill!I63&gt;[1]Result_notebook_retravaill!G63,0,IF([1]Result_notebook_retravaill!I63+[1]Result_notebook_retravaill!J63&gt;[1]Result_notebook_retravaill!G63,[1]Result_notebook_retravaill!G63-[1]Result_notebook_retravaill!I63,[1]Result_notebook_retravaill!J63))</f>
        <v>0</v>
      </c>
      <c r="L63" s="3">
        <f>IF([1]Result_notebook_retravaill!I63&gt;[1]Result_notebook_retravaill!G63,0,IF([1]Result_notebook_retravaill!I63+[1]Result_notebook_retravaill!J63&gt;[1]Result_notebook_retravaill!G63,0,[1]Result_notebook_retravaill!M63))</f>
        <v>413.38674287243032</v>
      </c>
    </row>
    <row r="64" spans="1:12">
      <c r="A64">
        <f>[1]Result_notebook_retravaill!A64</f>
        <v>2025</v>
      </c>
      <c r="B64" t="str">
        <f>[1]Result_notebook_retravaill!B64</f>
        <v>Graphite</v>
      </c>
      <c r="C64" t="str">
        <f>[1]Result_notebook_retravaill!C64</f>
        <v>Canada Net-zero</v>
      </c>
      <c r="D64" t="str">
        <f>[1]Result_notebook_retravaill!D64</f>
        <v>Production potential</v>
      </c>
      <c r="E64" t="str">
        <f>[1]Result_notebook_retravaill!E64</f>
        <v>Current shares</v>
      </c>
      <c r="F64" t="str">
        <f>[1]Result_notebook_retravaill!F64</f>
        <v>Expansion Extractive</v>
      </c>
      <c r="G64">
        <f>[1]Result_notebook_retravaill!G64</f>
        <v>413.38674287243032</v>
      </c>
      <c r="H64" s="3">
        <f>IF([1]Result_notebook_retravaill!I64&gt;[1]Result_notebook_retravaill!G64,[1]Result_notebook_retravaill!I64/[1]Result_notebook_retravaill!N64,[1]Result_notebook_retravaill!H64)</f>
        <v>54884.043145663993</v>
      </c>
      <c r="I64" s="3">
        <f>[1]Result_notebook_retravaill!K64</f>
        <v>0</v>
      </c>
      <c r="J64" s="3">
        <f>MIN(G64,[1]Result_notebook_retravaill!I64)</f>
        <v>413.38674287243032</v>
      </c>
      <c r="K64" s="3">
        <f>IF([1]Result_notebook_retravaill!I64&gt;[1]Result_notebook_retravaill!G64,0,IF([1]Result_notebook_retravaill!I64+[1]Result_notebook_retravaill!J64&gt;[1]Result_notebook_retravaill!G64,[1]Result_notebook_retravaill!G64-[1]Result_notebook_retravaill!I64,[1]Result_notebook_retravaill!J64))</f>
        <v>0</v>
      </c>
      <c r="L64" s="3">
        <f>IF([1]Result_notebook_retravaill!I64&gt;[1]Result_notebook_retravaill!G64,0,IF([1]Result_notebook_retravaill!I64+[1]Result_notebook_retravaill!J64&gt;[1]Result_notebook_retravaill!G64,0,[1]Result_notebook_retravaill!M64))</f>
        <v>0</v>
      </c>
    </row>
    <row r="65" spans="1:12">
      <c r="A65">
        <f>[1]Result_notebook_retravaill!A65</f>
        <v>2025</v>
      </c>
      <c r="B65" t="str">
        <f>[1]Result_notebook_retravaill!B65</f>
        <v>Graphite</v>
      </c>
      <c r="C65" t="str">
        <f>[1]Result_notebook_retravaill!C65</f>
        <v>Canada Net-zero</v>
      </c>
      <c r="D65" t="str">
        <f>[1]Result_notebook_retravaill!D65</f>
        <v>Production potential</v>
      </c>
      <c r="E65" t="str">
        <f>[1]Result_notebook_retravaill!E65</f>
        <v>Current shares</v>
      </c>
      <c r="F65" t="str">
        <f>[1]Result_notebook_retravaill!F65</f>
        <v>Expansion Extractive+Circularity</v>
      </c>
      <c r="G65">
        <f>[1]Result_notebook_retravaill!G65</f>
        <v>413.38674287243032</v>
      </c>
      <c r="H65" s="3">
        <f>IF([1]Result_notebook_retravaill!I65&gt;[1]Result_notebook_retravaill!G65,[1]Result_notebook_retravaill!I65/[1]Result_notebook_retravaill!N65,[1]Result_notebook_retravaill!H65)</f>
        <v>54884.043145663993</v>
      </c>
      <c r="I65" s="3">
        <f>[1]Result_notebook_retravaill!K65</f>
        <v>0</v>
      </c>
      <c r="J65" s="3">
        <f>MIN(G65,[1]Result_notebook_retravaill!I65)</f>
        <v>413.38674287243032</v>
      </c>
      <c r="K65" s="3">
        <f>IF([1]Result_notebook_retravaill!I65&gt;[1]Result_notebook_retravaill!G65,0,IF([1]Result_notebook_retravaill!I65+[1]Result_notebook_retravaill!J65&gt;[1]Result_notebook_retravaill!G65,[1]Result_notebook_retravaill!G65-[1]Result_notebook_retravaill!I65,[1]Result_notebook_retravaill!J65))</f>
        <v>0</v>
      </c>
      <c r="L65" s="3">
        <f>IF([1]Result_notebook_retravaill!I65&gt;[1]Result_notebook_retravaill!G65,0,IF([1]Result_notebook_retravaill!I65+[1]Result_notebook_retravaill!J65&gt;[1]Result_notebook_retravaill!G65,0,[1]Result_notebook_retravaill!M65))</f>
        <v>0</v>
      </c>
    </row>
    <row r="66" spans="1:12">
      <c r="A66">
        <f>[1]Result_notebook_retravaill!A66</f>
        <v>2025</v>
      </c>
      <c r="B66" t="str">
        <f>[1]Result_notebook_retravaill!B66</f>
        <v>Graphite</v>
      </c>
      <c r="C66" t="str">
        <f>[1]Result_notebook_retravaill!C66</f>
        <v>Canada Net-zero</v>
      </c>
      <c r="D66" t="str">
        <f>[1]Result_notebook_retravaill!D66</f>
        <v>Production potential</v>
      </c>
      <c r="E66" t="str">
        <f>[1]Result_notebook_retravaill!E66</f>
        <v>100% CAN</v>
      </c>
      <c r="F66" t="str">
        <f>[1]Result_notebook_retravaill!F66</f>
        <v>Integrated</v>
      </c>
      <c r="G66">
        <f>[1]Result_notebook_retravaill!G66</f>
        <v>413.38674287243032</v>
      </c>
      <c r="H66" s="3">
        <f>IF([1]Result_notebook_retravaill!I66&gt;[1]Result_notebook_retravaill!G66,[1]Result_notebook_retravaill!I66/[1]Result_notebook_retravaill!N66,[1]Result_notebook_retravaill!H66)</f>
        <v>54884.043145663993</v>
      </c>
      <c r="I66" s="3">
        <f>[1]Result_notebook_retravaill!K66</f>
        <v>0</v>
      </c>
      <c r="J66" s="3">
        <f>MIN(G66,[1]Result_notebook_retravaill!I66)</f>
        <v>413.38674287243032</v>
      </c>
      <c r="K66" s="3">
        <f>IF([1]Result_notebook_retravaill!I66&gt;[1]Result_notebook_retravaill!G66,0,IF([1]Result_notebook_retravaill!I66+[1]Result_notebook_retravaill!J66&gt;[1]Result_notebook_retravaill!G66,[1]Result_notebook_retravaill!G66-[1]Result_notebook_retravaill!I66,[1]Result_notebook_retravaill!J66))</f>
        <v>0</v>
      </c>
      <c r="L66" s="3">
        <f>IF([1]Result_notebook_retravaill!I66&gt;[1]Result_notebook_retravaill!G66,0,IF([1]Result_notebook_retravaill!I66+[1]Result_notebook_retravaill!J66&gt;[1]Result_notebook_retravaill!G66,0,[1]Result_notebook_retravaill!M66))</f>
        <v>0</v>
      </c>
    </row>
    <row r="67" spans="1:12">
      <c r="A67">
        <f>[1]Result_notebook_retravaill!A67</f>
        <v>2025</v>
      </c>
      <c r="B67" t="str">
        <f>[1]Result_notebook_retravaill!B67</f>
        <v>Graphite</v>
      </c>
      <c r="C67" t="str">
        <f>[1]Result_notebook_retravaill!C67</f>
        <v>Current Measures</v>
      </c>
      <c r="D67" t="str">
        <f>[1]Result_notebook_retravaill!D67</f>
        <v>Existing production</v>
      </c>
      <c r="E67" t="str">
        <f>[1]Result_notebook_retravaill!E67</f>
        <v>Current shares</v>
      </c>
      <c r="F67" t="str">
        <f>[1]Result_notebook_retravaill!F67</f>
        <v>NIMBY</v>
      </c>
      <c r="G67">
        <f>[1]Result_notebook_retravaill!G67</f>
        <v>372.44306265009908</v>
      </c>
      <c r="H67" s="3">
        <f>IF([1]Result_notebook_retravaill!I67&gt;[1]Result_notebook_retravaill!G67,[1]Result_notebook_retravaill!I67/[1]Result_notebook_retravaill!N67,[1]Result_notebook_retravaill!H67)</f>
        <v>0</v>
      </c>
      <c r="I67" s="3">
        <f>[1]Result_notebook_retravaill!K67</f>
        <v>372.44306265009908</v>
      </c>
      <c r="J67" s="3">
        <f>MIN(G67,[1]Result_notebook_retravaill!I67)</f>
        <v>0</v>
      </c>
      <c r="K67" s="3">
        <f>IF([1]Result_notebook_retravaill!I67&gt;[1]Result_notebook_retravaill!G67,0,IF([1]Result_notebook_retravaill!I67+[1]Result_notebook_retravaill!J67&gt;[1]Result_notebook_retravaill!G67,[1]Result_notebook_retravaill!G67-[1]Result_notebook_retravaill!I67,[1]Result_notebook_retravaill!J67))</f>
        <v>0</v>
      </c>
      <c r="L67" s="3">
        <f>IF([1]Result_notebook_retravaill!I67&gt;[1]Result_notebook_retravaill!G67,0,IF([1]Result_notebook_retravaill!I67+[1]Result_notebook_retravaill!J67&gt;[1]Result_notebook_retravaill!G67,0,[1]Result_notebook_retravaill!M67))</f>
        <v>372.44306265009908</v>
      </c>
    </row>
    <row r="68" spans="1:12">
      <c r="A68">
        <f>[1]Result_notebook_retravaill!A68</f>
        <v>2025</v>
      </c>
      <c r="B68" t="str">
        <f>[1]Result_notebook_retravaill!B68</f>
        <v>Graphite</v>
      </c>
      <c r="C68" t="str">
        <f>[1]Result_notebook_retravaill!C68</f>
        <v>Current Measures</v>
      </c>
      <c r="D68" t="str">
        <f>[1]Result_notebook_retravaill!D68</f>
        <v>Existing production</v>
      </c>
      <c r="E68" t="str">
        <f>[1]Result_notebook_retravaill!E68</f>
        <v>Current shares</v>
      </c>
      <c r="F68" t="str">
        <f>[1]Result_notebook_retravaill!F68</f>
        <v>Status Quo</v>
      </c>
      <c r="G68">
        <f>[1]Result_notebook_retravaill!G68</f>
        <v>372.44306265009908</v>
      </c>
      <c r="H68" s="3">
        <f>IF([1]Result_notebook_retravaill!I68&gt;[1]Result_notebook_retravaill!G68,[1]Result_notebook_retravaill!I68/[1]Result_notebook_retravaill!N68,[1]Result_notebook_retravaill!H68)</f>
        <v>0</v>
      </c>
      <c r="I68" s="3">
        <f>[1]Result_notebook_retravaill!K68</f>
        <v>372.44306265009908</v>
      </c>
      <c r="J68" s="3">
        <f>MIN(G68,[1]Result_notebook_retravaill!I68)</f>
        <v>0</v>
      </c>
      <c r="K68" s="3">
        <f>IF([1]Result_notebook_retravaill!I68&gt;[1]Result_notebook_retravaill!G68,0,IF([1]Result_notebook_retravaill!I68+[1]Result_notebook_retravaill!J68&gt;[1]Result_notebook_retravaill!G68,[1]Result_notebook_retravaill!G68-[1]Result_notebook_retravaill!I68,[1]Result_notebook_retravaill!J68))</f>
        <v>0</v>
      </c>
      <c r="L68" s="3">
        <f>IF([1]Result_notebook_retravaill!I68&gt;[1]Result_notebook_retravaill!G68,0,IF([1]Result_notebook_retravaill!I68+[1]Result_notebook_retravaill!J68&gt;[1]Result_notebook_retravaill!G68,0,[1]Result_notebook_retravaill!M68))</f>
        <v>372.44306265009908</v>
      </c>
    </row>
    <row r="69" spans="1:12">
      <c r="A69">
        <f>[1]Result_notebook_retravaill!A69</f>
        <v>2025</v>
      </c>
      <c r="B69" t="str">
        <f>[1]Result_notebook_retravaill!B69</f>
        <v>Graphite</v>
      </c>
      <c r="C69" t="str">
        <f>[1]Result_notebook_retravaill!C69</f>
        <v>Current Measures</v>
      </c>
      <c r="D69" t="str">
        <f>[1]Result_notebook_retravaill!D69</f>
        <v>Production potential</v>
      </c>
      <c r="E69" t="str">
        <f>[1]Result_notebook_retravaill!E69</f>
        <v>Current shares</v>
      </c>
      <c r="F69" t="str">
        <f>[1]Result_notebook_retravaill!F69</f>
        <v>Expansion Extractive</v>
      </c>
      <c r="G69">
        <f>[1]Result_notebook_retravaill!G69</f>
        <v>372.44306265009908</v>
      </c>
      <c r="H69" s="3">
        <f>IF([1]Result_notebook_retravaill!I69&gt;[1]Result_notebook_retravaill!G69,[1]Result_notebook_retravaill!I69/[1]Result_notebook_retravaill!N69,[1]Result_notebook_retravaill!H69)</f>
        <v>54884.043145663993</v>
      </c>
      <c r="I69" s="3">
        <f>[1]Result_notebook_retravaill!K69</f>
        <v>0</v>
      </c>
      <c r="J69" s="3">
        <f>MIN(G69,[1]Result_notebook_retravaill!I69)</f>
        <v>372.44306265009908</v>
      </c>
      <c r="K69" s="3">
        <f>IF([1]Result_notebook_retravaill!I69&gt;[1]Result_notebook_retravaill!G69,0,IF([1]Result_notebook_retravaill!I69+[1]Result_notebook_retravaill!J69&gt;[1]Result_notebook_retravaill!G69,[1]Result_notebook_retravaill!G69-[1]Result_notebook_retravaill!I69,[1]Result_notebook_retravaill!J69))</f>
        <v>0</v>
      </c>
      <c r="L69" s="3">
        <f>IF([1]Result_notebook_retravaill!I69&gt;[1]Result_notebook_retravaill!G69,0,IF([1]Result_notebook_retravaill!I69+[1]Result_notebook_retravaill!J69&gt;[1]Result_notebook_retravaill!G69,0,[1]Result_notebook_retravaill!M69))</f>
        <v>0</v>
      </c>
    </row>
    <row r="70" spans="1:12">
      <c r="A70">
        <f>[1]Result_notebook_retravaill!A70</f>
        <v>2025</v>
      </c>
      <c r="B70" t="str">
        <f>[1]Result_notebook_retravaill!B70</f>
        <v>Graphite</v>
      </c>
      <c r="C70" t="str">
        <f>[1]Result_notebook_retravaill!C70</f>
        <v>Current Measures</v>
      </c>
      <c r="D70" t="str">
        <f>[1]Result_notebook_retravaill!D70</f>
        <v>Production potential</v>
      </c>
      <c r="E70" t="str">
        <f>[1]Result_notebook_retravaill!E70</f>
        <v>Current shares</v>
      </c>
      <c r="F70" t="str">
        <f>[1]Result_notebook_retravaill!F70</f>
        <v>Expansion Extractive+Circularity</v>
      </c>
      <c r="G70">
        <f>[1]Result_notebook_retravaill!G70</f>
        <v>372.44306265009908</v>
      </c>
      <c r="H70" s="3">
        <f>IF([1]Result_notebook_retravaill!I70&gt;[1]Result_notebook_retravaill!G70,[1]Result_notebook_retravaill!I70/[1]Result_notebook_retravaill!N70,[1]Result_notebook_retravaill!H70)</f>
        <v>54884.043145663993</v>
      </c>
      <c r="I70" s="3">
        <f>[1]Result_notebook_retravaill!K70</f>
        <v>0</v>
      </c>
      <c r="J70" s="3">
        <f>MIN(G70,[1]Result_notebook_retravaill!I70)</f>
        <v>372.44306265009908</v>
      </c>
      <c r="K70" s="3">
        <f>IF([1]Result_notebook_retravaill!I70&gt;[1]Result_notebook_retravaill!G70,0,IF([1]Result_notebook_retravaill!I70+[1]Result_notebook_retravaill!J70&gt;[1]Result_notebook_retravaill!G70,[1]Result_notebook_retravaill!G70-[1]Result_notebook_retravaill!I70,[1]Result_notebook_retravaill!J70))</f>
        <v>0</v>
      </c>
      <c r="L70" s="3">
        <f>IF([1]Result_notebook_retravaill!I70&gt;[1]Result_notebook_retravaill!G70,0,IF([1]Result_notebook_retravaill!I70+[1]Result_notebook_retravaill!J70&gt;[1]Result_notebook_retravaill!G70,0,[1]Result_notebook_retravaill!M70))</f>
        <v>0</v>
      </c>
    </row>
    <row r="71" spans="1:12">
      <c r="A71">
        <f>[1]Result_notebook_retravaill!A71</f>
        <v>2025</v>
      </c>
      <c r="B71" t="str">
        <f>[1]Result_notebook_retravaill!B71</f>
        <v>Graphite</v>
      </c>
      <c r="C71" t="str">
        <f>[1]Result_notebook_retravaill!C71</f>
        <v>Current Measures</v>
      </c>
      <c r="D71" t="str">
        <f>[1]Result_notebook_retravaill!D71</f>
        <v>Production potential</v>
      </c>
      <c r="E71" t="str">
        <f>[1]Result_notebook_retravaill!E71</f>
        <v>100% CAN</v>
      </c>
      <c r="F71" t="str">
        <f>[1]Result_notebook_retravaill!F71</f>
        <v>Integrated</v>
      </c>
      <c r="G71">
        <f>[1]Result_notebook_retravaill!G71</f>
        <v>372.44306265009908</v>
      </c>
      <c r="H71" s="3">
        <f>IF([1]Result_notebook_retravaill!I71&gt;[1]Result_notebook_retravaill!G71,[1]Result_notebook_retravaill!I71/[1]Result_notebook_retravaill!N71,[1]Result_notebook_retravaill!H71)</f>
        <v>54884.043145663993</v>
      </c>
      <c r="I71" s="3">
        <f>[1]Result_notebook_retravaill!K71</f>
        <v>0</v>
      </c>
      <c r="J71" s="3">
        <f>MIN(G71,[1]Result_notebook_retravaill!I71)</f>
        <v>372.44306265009908</v>
      </c>
      <c r="K71" s="3">
        <f>IF([1]Result_notebook_retravaill!I71&gt;[1]Result_notebook_retravaill!G71,0,IF([1]Result_notebook_retravaill!I71+[1]Result_notebook_retravaill!J71&gt;[1]Result_notebook_retravaill!G71,[1]Result_notebook_retravaill!G71-[1]Result_notebook_retravaill!I71,[1]Result_notebook_retravaill!J71))</f>
        <v>0</v>
      </c>
      <c r="L71" s="3">
        <f>IF([1]Result_notebook_retravaill!I71&gt;[1]Result_notebook_retravaill!G71,0,IF([1]Result_notebook_retravaill!I71+[1]Result_notebook_retravaill!J71&gt;[1]Result_notebook_retravaill!G71,0,[1]Result_notebook_retravaill!M71))</f>
        <v>0</v>
      </c>
    </row>
    <row r="72" spans="1:12">
      <c r="A72">
        <f>[1]Result_notebook_retravaill!A72</f>
        <v>2025</v>
      </c>
      <c r="B72" t="str">
        <f>[1]Result_notebook_retravaill!B72</f>
        <v>Graphite</v>
      </c>
      <c r="C72" t="str">
        <f>[1]Result_notebook_retravaill!C72</f>
        <v>Global Net-zero</v>
      </c>
      <c r="D72" t="str">
        <f>[1]Result_notebook_retravaill!D72</f>
        <v>Existing production</v>
      </c>
      <c r="E72" t="str">
        <f>[1]Result_notebook_retravaill!E72</f>
        <v>Current shares</v>
      </c>
      <c r="F72" t="str">
        <f>[1]Result_notebook_retravaill!F72</f>
        <v>NIMBY</v>
      </c>
      <c r="G72">
        <f>[1]Result_notebook_retravaill!G72</f>
        <v>411.8870482855956</v>
      </c>
      <c r="H72" s="3">
        <f>IF([1]Result_notebook_retravaill!I72&gt;[1]Result_notebook_retravaill!G72,[1]Result_notebook_retravaill!I72/[1]Result_notebook_retravaill!N72,[1]Result_notebook_retravaill!H72)</f>
        <v>0</v>
      </c>
      <c r="I72" s="3">
        <f>[1]Result_notebook_retravaill!K72</f>
        <v>411.8870482855956</v>
      </c>
      <c r="J72" s="3">
        <f>MIN(G72,[1]Result_notebook_retravaill!I72)</f>
        <v>0</v>
      </c>
      <c r="K72" s="3">
        <f>IF([1]Result_notebook_retravaill!I72&gt;[1]Result_notebook_retravaill!G72,0,IF([1]Result_notebook_retravaill!I72+[1]Result_notebook_retravaill!J72&gt;[1]Result_notebook_retravaill!G72,[1]Result_notebook_retravaill!G72-[1]Result_notebook_retravaill!I72,[1]Result_notebook_retravaill!J72))</f>
        <v>0</v>
      </c>
      <c r="L72" s="3">
        <f>IF([1]Result_notebook_retravaill!I72&gt;[1]Result_notebook_retravaill!G72,0,IF([1]Result_notebook_retravaill!I72+[1]Result_notebook_retravaill!J72&gt;[1]Result_notebook_retravaill!G72,0,[1]Result_notebook_retravaill!M72))</f>
        <v>411.8870482855956</v>
      </c>
    </row>
    <row r="73" spans="1:12">
      <c r="A73">
        <f>[1]Result_notebook_retravaill!A73</f>
        <v>2025</v>
      </c>
      <c r="B73" t="str">
        <f>[1]Result_notebook_retravaill!B73</f>
        <v>Graphite</v>
      </c>
      <c r="C73" t="str">
        <f>[1]Result_notebook_retravaill!C73</f>
        <v>Global Net-zero</v>
      </c>
      <c r="D73" t="str">
        <f>[1]Result_notebook_retravaill!D73</f>
        <v>Existing production</v>
      </c>
      <c r="E73" t="str">
        <f>[1]Result_notebook_retravaill!E73</f>
        <v>Current shares</v>
      </c>
      <c r="F73" t="str">
        <f>[1]Result_notebook_retravaill!F73</f>
        <v>Status Quo</v>
      </c>
      <c r="G73">
        <f>[1]Result_notebook_retravaill!G73</f>
        <v>411.8870482855956</v>
      </c>
      <c r="H73" s="3">
        <f>IF([1]Result_notebook_retravaill!I73&gt;[1]Result_notebook_retravaill!G73,[1]Result_notebook_retravaill!I73/[1]Result_notebook_retravaill!N73,[1]Result_notebook_retravaill!H73)</f>
        <v>0</v>
      </c>
      <c r="I73" s="3">
        <f>[1]Result_notebook_retravaill!K73</f>
        <v>411.8870482855956</v>
      </c>
      <c r="J73" s="3">
        <f>MIN(G73,[1]Result_notebook_retravaill!I73)</f>
        <v>0</v>
      </c>
      <c r="K73" s="3">
        <f>IF([1]Result_notebook_retravaill!I73&gt;[1]Result_notebook_retravaill!G73,0,IF([1]Result_notebook_retravaill!I73+[1]Result_notebook_retravaill!J73&gt;[1]Result_notebook_retravaill!G73,[1]Result_notebook_retravaill!G73-[1]Result_notebook_retravaill!I73,[1]Result_notebook_retravaill!J73))</f>
        <v>0</v>
      </c>
      <c r="L73" s="3">
        <f>IF([1]Result_notebook_retravaill!I73&gt;[1]Result_notebook_retravaill!G73,0,IF([1]Result_notebook_retravaill!I73+[1]Result_notebook_retravaill!J73&gt;[1]Result_notebook_retravaill!G73,0,[1]Result_notebook_retravaill!M73))</f>
        <v>411.8870482855956</v>
      </c>
    </row>
    <row r="74" spans="1:12">
      <c r="A74">
        <f>[1]Result_notebook_retravaill!A74</f>
        <v>2025</v>
      </c>
      <c r="B74" t="str">
        <f>[1]Result_notebook_retravaill!B74</f>
        <v>Graphite</v>
      </c>
      <c r="C74" t="str">
        <f>[1]Result_notebook_retravaill!C74</f>
        <v>Global Net-zero</v>
      </c>
      <c r="D74" t="str">
        <f>[1]Result_notebook_retravaill!D74</f>
        <v>Production potential</v>
      </c>
      <c r="E74" t="str">
        <f>[1]Result_notebook_retravaill!E74</f>
        <v>Current shares</v>
      </c>
      <c r="F74" t="str">
        <f>[1]Result_notebook_retravaill!F74</f>
        <v>Expansion Extractive</v>
      </c>
      <c r="G74">
        <f>[1]Result_notebook_retravaill!G74</f>
        <v>411.8870482855956</v>
      </c>
      <c r="H74" s="3">
        <f>IF([1]Result_notebook_retravaill!I74&gt;[1]Result_notebook_retravaill!G74,[1]Result_notebook_retravaill!I74/[1]Result_notebook_retravaill!N74,[1]Result_notebook_retravaill!H74)</f>
        <v>54884.043145663993</v>
      </c>
      <c r="I74" s="3">
        <f>[1]Result_notebook_retravaill!K74</f>
        <v>0</v>
      </c>
      <c r="J74" s="3">
        <f>MIN(G74,[1]Result_notebook_retravaill!I74)</f>
        <v>411.8870482855956</v>
      </c>
      <c r="K74" s="3">
        <f>IF([1]Result_notebook_retravaill!I74&gt;[1]Result_notebook_retravaill!G74,0,IF([1]Result_notebook_retravaill!I74+[1]Result_notebook_retravaill!J74&gt;[1]Result_notebook_retravaill!G74,[1]Result_notebook_retravaill!G74-[1]Result_notebook_retravaill!I74,[1]Result_notebook_retravaill!J74))</f>
        <v>0</v>
      </c>
      <c r="L74" s="3">
        <f>IF([1]Result_notebook_retravaill!I74&gt;[1]Result_notebook_retravaill!G74,0,IF([1]Result_notebook_retravaill!I74+[1]Result_notebook_retravaill!J74&gt;[1]Result_notebook_retravaill!G74,0,[1]Result_notebook_retravaill!M74))</f>
        <v>0</v>
      </c>
    </row>
    <row r="75" spans="1:12">
      <c r="A75">
        <f>[1]Result_notebook_retravaill!A75</f>
        <v>2025</v>
      </c>
      <c r="B75" t="str">
        <f>[1]Result_notebook_retravaill!B75</f>
        <v>Graphite</v>
      </c>
      <c r="C75" t="str">
        <f>[1]Result_notebook_retravaill!C75</f>
        <v>Global Net-zero</v>
      </c>
      <c r="D75" t="str">
        <f>[1]Result_notebook_retravaill!D75</f>
        <v>Production potential</v>
      </c>
      <c r="E75" t="str">
        <f>[1]Result_notebook_retravaill!E75</f>
        <v>Current shares</v>
      </c>
      <c r="F75" t="str">
        <f>[1]Result_notebook_retravaill!F75</f>
        <v>Expansion Extractive+Circularity</v>
      </c>
      <c r="G75">
        <f>[1]Result_notebook_retravaill!G75</f>
        <v>411.8870482855956</v>
      </c>
      <c r="H75" s="3">
        <f>IF([1]Result_notebook_retravaill!I75&gt;[1]Result_notebook_retravaill!G75,[1]Result_notebook_retravaill!I75/[1]Result_notebook_retravaill!N75,[1]Result_notebook_retravaill!H75)</f>
        <v>54884.043145663993</v>
      </c>
      <c r="I75" s="3">
        <f>[1]Result_notebook_retravaill!K75</f>
        <v>0</v>
      </c>
      <c r="J75" s="3">
        <f>MIN(G75,[1]Result_notebook_retravaill!I75)</f>
        <v>411.8870482855956</v>
      </c>
      <c r="K75" s="3">
        <f>IF([1]Result_notebook_retravaill!I75&gt;[1]Result_notebook_retravaill!G75,0,IF([1]Result_notebook_retravaill!I75+[1]Result_notebook_retravaill!J75&gt;[1]Result_notebook_retravaill!G75,[1]Result_notebook_retravaill!G75-[1]Result_notebook_retravaill!I75,[1]Result_notebook_retravaill!J75))</f>
        <v>0</v>
      </c>
      <c r="L75" s="3">
        <f>IF([1]Result_notebook_retravaill!I75&gt;[1]Result_notebook_retravaill!G75,0,IF([1]Result_notebook_retravaill!I75+[1]Result_notebook_retravaill!J75&gt;[1]Result_notebook_retravaill!G75,0,[1]Result_notebook_retravaill!M75))</f>
        <v>0</v>
      </c>
    </row>
    <row r="76" spans="1:12">
      <c r="A76">
        <f>[1]Result_notebook_retravaill!A76</f>
        <v>2025</v>
      </c>
      <c r="B76" t="str">
        <f>[1]Result_notebook_retravaill!B76</f>
        <v>Graphite</v>
      </c>
      <c r="C76" t="str">
        <f>[1]Result_notebook_retravaill!C76</f>
        <v>Global Net-zero</v>
      </c>
      <c r="D76" t="str">
        <f>[1]Result_notebook_retravaill!D76</f>
        <v>Production potential</v>
      </c>
      <c r="E76" t="str">
        <f>[1]Result_notebook_retravaill!E76</f>
        <v>100% CAN</v>
      </c>
      <c r="F76" t="str">
        <f>[1]Result_notebook_retravaill!F76</f>
        <v>Integrated</v>
      </c>
      <c r="G76">
        <f>[1]Result_notebook_retravaill!G76</f>
        <v>411.8870482855956</v>
      </c>
      <c r="H76" s="3">
        <f>IF([1]Result_notebook_retravaill!I76&gt;[1]Result_notebook_retravaill!G76,[1]Result_notebook_retravaill!I76/[1]Result_notebook_retravaill!N76,[1]Result_notebook_retravaill!H76)</f>
        <v>54884.043145663993</v>
      </c>
      <c r="I76" s="3">
        <f>[1]Result_notebook_retravaill!K76</f>
        <v>0</v>
      </c>
      <c r="J76" s="3">
        <f>MIN(G76,[1]Result_notebook_retravaill!I76)</f>
        <v>411.8870482855956</v>
      </c>
      <c r="K76" s="3">
        <f>IF([1]Result_notebook_retravaill!I76&gt;[1]Result_notebook_retravaill!G76,0,IF([1]Result_notebook_retravaill!I76+[1]Result_notebook_retravaill!J76&gt;[1]Result_notebook_retravaill!G76,[1]Result_notebook_retravaill!G76-[1]Result_notebook_retravaill!I76,[1]Result_notebook_retravaill!J76))</f>
        <v>0</v>
      </c>
      <c r="L76" s="3">
        <f>IF([1]Result_notebook_retravaill!I76&gt;[1]Result_notebook_retravaill!G76,0,IF([1]Result_notebook_retravaill!I76+[1]Result_notebook_retravaill!J76&gt;[1]Result_notebook_retravaill!G76,0,[1]Result_notebook_retravaill!M76))</f>
        <v>0</v>
      </c>
    </row>
    <row r="77" spans="1:12">
      <c r="A77">
        <f>[1]Result_notebook_retravaill!A77</f>
        <v>2025</v>
      </c>
      <c r="B77" t="str">
        <f>[1]Result_notebook_retravaill!B77</f>
        <v>Lithium</v>
      </c>
      <c r="C77" t="str">
        <f>[1]Result_notebook_retravaill!C77</f>
        <v>Canada Net-zero</v>
      </c>
      <c r="D77" t="str">
        <f>[1]Result_notebook_retravaill!D77</f>
        <v>Existing production</v>
      </c>
      <c r="E77" t="str">
        <f>[1]Result_notebook_retravaill!E77</f>
        <v>Current shares</v>
      </c>
      <c r="F77" t="str">
        <f>[1]Result_notebook_retravaill!F77</f>
        <v>NIMBY</v>
      </c>
      <c r="G77">
        <f>[1]Result_notebook_retravaill!G77</f>
        <v>6247.3243664054053</v>
      </c>
      <c r="H77" s="3">
        <f>IF([1]Result_notebook_retravaill!I77&gt;[1]Result_notebook_retravaill!G77,[1]Result_notebook_retravaill!I77/[1]Result_notebook_retravaill!N77,[1]Result_notebook_retravaill!H77)</f>
        <v>0</v>
      </c>
      <c r="I77" s="3">
        <f>[1]Result_notebook_retravaill!K77</f>
        <v>8924.7490948648647</v>
      </c>
      <c r="J77" s="3">
        <f>MIN(G77,[1]Result_notebook_retravaill!I77)</f>
        <v>0</v>
      </c>
      <c r="K77" s="3">
        <f>IF([1]Result_notebook_retravaill!I77&gt;[1]Result_notebook_retravaill!G77,0,IF([1]Result_notebook_retravaill!I77+[1]Result_notebook_retravaill!J77&gt;[1]Result_notebook_retravaill!G77,[1]Result_notebook_retravaill!G77-[1]Result_notebook_retravaill!I77,[1]Result_notebook_retravaill!J77))</f>
        <v>0</v>
      </c>
      <c r="L77" s="3">
        <f>IF([1]Result_notebook_retravaill!I77&gt;[1]Result_notebook_retravaill!G77,0,IF([1]Result_notebook_retravaill!I77+[1]Result_notebook_retravaill!J77&gt;[1]Result_notebook_retravaill!G77,0,[1]Result_notebook_retravaill!M77))</f>
        <v>6247.3243664054053</v>
      </c>
    </row>
    <row r="78" spans="1:12">
      <c r="A78">
        <f>[1]Result_notebook_retravaill!A78</f>
        <v>2025</v>
      </c>
      <c r="B78" t="str">
        <f>[1]Result_notebook_retravaill!B78</f>
        <v>Lithium</v>
      </c>
      <c r="C78" t="str">
        <f>[1]Result_notebook_retravaill!C78</f>
        <v>Canada Net-zero</v>
      </c>
      <c r="D78" t="str">
        <f>[1]Result_notebook_retravaill!D78</f>
        <v>Existing production</v>
      </c>
      <c r="E78" t="str">
        <f>[1]Result_notebook_retravaill!E78</f>
        <v>Current shares</v>
      </c>
      <c r="F78" t="str">
        <f>[1]Result_notebook_retravaill!F78</f>
        <v>Status Quo</v>
      </c>
      <c r="G78">
        <f>[1]Result_notebook_retravaill!G78</f>
        <v>6247.3243664054053</v>
      </c>
      <c r="H78" s="3">
        <f>IF([1]Result_notebook_retravaill!I78&gt;[1]Result_notebook_retravaill!G78,[1]Result_notebook_retravaill!I78/[1]Result_notebook_retravaill!N78,[1]Result_notebook_retravaill!H78)</f>
        <v>33360.753294571456</v>
      </c>
      <c r="I78" s="3">
        <f>[1]Result_notebook_retravaill!K78</f>
        <v>0</v>
      </c>
      <c r="J78" s="3">
        <f>MIN(G78,[1]Result_notebook_retravaill!I78)</f>
        <v>6247.3243664054053</v>
      </c>
      <c r="K78" s="3">
        <f>IF([1]Result_notebook_retravaill!I78&gt;[1]Result_notebook_retravaill!G78,0,IF([1]Result_notebook_retravaill!I78+[1]Result_notebook_retravaill!J78&gt;[1]Result_notebook_retravaill!G78,[1]Result_notebook_retravaill!G78-[1]Result_notebook_retravaill!I78,[1]Result_notebook_retravaill!J78))</f>
        <v>0</v>
      </c>
      <c r="L78" s="3">
        <f>IF([1]Result_notebook_retravaill!I78&gt;[1]Result_notebook_retravaill!G78,0,IF([1]Result_notebook_retravaill!I78+[1]Result_notebook_retravaill!J78&gt;[1]Result_notebook_retravaill!G78,0,[1]Result_notebook_retravaill!M78))</f>
        <v>0</v>
      </c>
    </row>
    <row r="79" spans="1:12">
      <c r="A79">
        <f>[1]Result_notebook_retravaill!A79</f>
        <v>2025</v>
      </c>
      <c r="B79" t="str">
        <f>[1]Result_notebook_retravaill!B79</f>
        <v>Lithium</v>
      </c>
      <c r="C79" t="str">
        <f>[1]Result_notebook_retravaill!C79</f>
        <v>Canada Net-zero</v>
      </c>
      <c r="D79" t="str">
        <f>[1]Result_notebook_retravaill!D79</f>
        <v>Production potential</v>
      </c>
      <c r="E79" t="str">
        <f>[1]Result_notebook_retravaill!E79</f>
        <v>Current shares</v>
      </c>
      <c r="F79" t="str">
        <f>[1]Result_notebook_retravaill!F79</f>
        <v>Expansion Extractive</v>
      </c>
      <c r="G79">
        <f>[1]Result_notebook_retravaill!G79</f>
        <v>6247.3243664054053</v>
      </c>
      <c r="H79" s="3">
        <f>IF([1]Result_notebook_retravaill!I79&gt;[1]Result_notebook_retravaill!G79,[1]Result_notebook_retravaill!I79/[1]Result_notebook_retravaill!N79,[1]Result_notebook_retravaill!H79)</f>
        <v>75327.583081707082</v>
      </c>
      <c r="I79" s="3">
        <f>[1]Result_notebook_retravaill!K79</f>
        <v>0</v>
      </c>
      <c r="J79" s="3">
        <f>MIN(G79,[1]Result_notebook_retravaill!I79)</f>
        <v>6247.3243664054053</v>
      </c>
      <c r="K79" s="3">
        <f>IF([1]Result_notebook_retravaill!I79&gt;[1]Result_notebook_retravaill!G79,0,IF([1]Result_notebook_retravaill!I79+[1]Result_notebook_retravaill!J79&gt;[1]Result_notebook_retravaill!G79,[1]Result_notebook_retravaill!G79-[1]Result_notebook_retravaill!I79,[1]Result_notebook_retravaill!J79))</f>
        <v>0</v>
      </c>
      <c r="L79" s="3">
        <f>IF([1]Result_notebook_retravaill!I79&gt;[1]Result_notebook_retravaill!G79,0,IF([1]Result_notebook_retravaill!I79+[1]Result_notebook_retravaill!J79&gt;[1]Result_notebook_retravaill!G79,0,[1]Result_notebook_retravaill!M79))</f>
        <v>0</v>
      </c>
    </row>
    <row r="80" spans="1:12">
      <c r="A80">
        <f>[1]Result_notebook_retravaill!A80</f>
        <v>2025</v>
      </c>
      <c r="B80" t="str">
        <f>[1]Result_notebook_retravaill!B80</f>
        <v>Lithium</v>
      </c>
      <c r="C80" t="str">
        <f>[1]Result_notebook_retravaill!C80</f>
        <v>Canada Net-zero</v>
      </c>
      <c r="D80" t="str">
        <f>[1]Result_notebook_retravaill!D80</f>
        <v>Production potential</v>
      </c>
      <c r="E80" t="str">
        <f>[1]Result_notebook_retravaill!E80</f>
        <v>Current shares</v>
      </c>
      <c r="F80" t="str">
        <f>[1]Result_notebook_retravaill!F80</f>
        <v>Expansion Extractive+Circularity</v>
      </c>
      <c r="G80">
        <f>[1]Result_notebook_retravaill!G80</f>
        <v>6247.3243664054053</v>
      </c>
      <c r="H80" s="3">
        <f>IF([1]Result_notebook_retravaill!I80&gt;[1]Result_notebook_retravaill!G80,[1]Result_notebook_retravaill!I80/[1]Result_notebook_retravaill!N80,[1]Result_notebook_retravaill!H80)</f>
        <v>75327.583081707082</v>
      </c>
      <c r="I80" s="3">
        <f>[1]Result_notebook_retravaill!K80</f>
        <v>0</v>
      </c>
      <c r="J80" s="3">
        <f>MIN(G80,[1]Result_notebook_retravaill!I80)</f>
        <v>6247.3243664054053</v>
      </c>
      <c r="K80" s="3">
        <f>IF([1]Result_notebook_retravaill!I80&gt;[1]Result_notebook_retravaill!G80,0,IF([1]Result_notebook_retravaill!I80+[1]Result_notebook_retravaill!J80&gt;[1]Result_notebook_retravaill!G80,[1]Result_notebook_retravaill!G80-[1]Result_notebook_retravaill!I80,[1]Result_notebook_retravaill!J80))</f>
        <v>0</v>
      </c>
      <c r="L80" s="3">
        <f>IF([1]Result_notebook_retravaill!I80&gt;[1]Result_notebook_retravaill!G80,0,IF([1]Result_notebook_retravaill!I80+[1]Result_notebook_retravaill!J80&gt;[1]Result_notebook_retravaill!G80,0,[1]Result_notebook_retravaill!M80))</f>
        <v>0</v>
      </c>
    </row>
    <row r="81" spans="1:12">
      <c r="A81">
        <f>[1]Result_notebook_retravaill!A81</f>
        <v>2025</v>
      </c>
      <c r="B81" t="str">
        <f>[1]Result_notebook_retravaill!B81</f>
        <v>Lithium</v>
      </c>
      <c r="C81" t="str">
        <f>[1]Result_notebook_retravaill!C81</f>
        <v>Canada Net-zero</v>
      </c>
      <c r="D81" t="str">
        <f>[1]Result_notebook_retravaill!D81</f>
        <v>Production potential</v>
      </c>
      <c r="E81" t="str">
        <f>[1]Result_notebook_retravaill!E81</f>
        <v>100% CAN</v>
      </c>
      <c r="F81" t="str">
        <f>[1]Result_notebook_retravaill!F81</f>
        <v>Integrated</v>
      </c>
      <c r="G81">
        <f>[1]Result_notebook_retravaill!G81</f>
        <v>6247.3243664054053</v>
      </c>
      <c r="H81" s="3">
        <f>IF([1]Result_notebook_retravaill!I81&gt;[1]Result_notebook_retravaill!G81,[1]Result_notebook_retravaill!I81/[1]Result_notebook_retravaill!N81,[1]Result_notebook_retravaill!H81)</f>
        <v>75327.583081707082</v>
      </c>
      <c r="I81" s="3">
        <f>[1]Result_notebook_retravaill!K81</f>
        <v>0</v>
      </c>
      <c r="J81" s="3">
        <f>MIN(G81,[1]Result_notebook_retravaill!I81)</f>
        <v>6247.3243664054053</v>
      </c>
      <c r="K81" s="3">
        <f>IF([1]Result_notebook_retravaill!I81&gt;[1]Result_notebook_retravaill!G81,0,IF([1]Result_notebook_retravaill!I81+[1]Result_notebook_retravaill!J81&gt;[1]Result_notebook_retravaill!G81,[1]Result_notebook_retravaill!G81-[1]Result_notebook_retravaill!I81,[1]Result_notebook_retravaill!J81))</f>
        <v>0</v>
      </c>
      <c r="L81" s="3">
        <f>IF([1]Result_notebook_retravaill!I81&gt;[1]Result_notebook_retravaill!G81,0,IF([1]Result_notebook_retravaill!I81+[1]Result_notebook_retravaill!J81&gt;[1]Result_notebook_retravaill!G81,0,[1]Result_notebook_retravaill!M81))</f>
        <v>0</v>
      </c>
    </row>
    <row r="82" spans="1:12">
      <c r="A82">
        <f>[1]Result_notebook_retravaill!A82</f>
        <v>2025</v>
      </c>
      <c r="B82" t="str">
        <f>[1]Result_notebook_retravaill!B82</f>
        <v>Lithium</v>
      </c>
      <c r="C82" t="str">
        <f>[1]Result_notebook_retravaill!C82</f>
        <v>Current Measures</v>
      </c>
      <c r="D82" t="str">
        <f>[1]Result_notebook_retravaill!D82</f>
        <v>Existing production</v>
      </c>
      <c r="E82" t="str">
        <f>[1]Result_notebook_retravaill!E82</f>
        <v>Current shares</v>
      </c>
      <c r="F82" t="str">
        <f>[1]Result_notebook_retravaill!F82</f>
        <v>NIMBY</v>
      </c>
      <c r="G82">
        <f>[1]Result_notebook_retravaill!G82</f>
        <v>5628.5612940196597</v>
      </c>
      <c r="H82" s="3">
        <f>IF([1]Result_notebook_retravaill!I82&gt;[1]Result_notebook_retravaill!G82,[1]Result_notebook_retravaill!I82/[1]Result_notebook_retravaill!N82,[1]Result_notebook_retravaill!H82)</f>
        <v>0</v>
      </c>
      <c r="I82" s="3">
        <f>[1]Result_notebook_retravaill!K82</f>
        <v>8040.8018485995144</v>
      </c>
      <c r="J82" s="3">
        <f>MIN(G82,[1]Result_notebook_retravaill!I82)</f>
        <v>0</v>
      </c>
      <c r="K82" s="3">
        <f>IF([1]Result_notebook_retravaill!I82&gt;[1]Result_notebook_retravaill!G82,0,IF([1]Result_notebook_retravaill!I82+[1]Result_notebook_retravaill!J82&gt;[1]Result_notebook_retravaill!G82,[1]Result_notebook_retravaill!G82-[1]Result_notebook_retravaill!I82,[1]Result_notebook_retravaill!J82))</f>
        <v>0</v>
      </c>
      <c r="L82" s="3">
        <f>IF([1]Result_notebook_retravaill!I82&gt;[1]Result_notebook_retravaill!G82,0,IF([1]Result_notebook_retravaill!I82+[1]Result_notebook_retravaill!J82&gt;[1]Result_notebook_retravaill!G82,0,[1]Result_notebook_retravaill!M82))</f>
        <v>5628.5612940196597</v>
      </c>
    </row>
    <row r="83" spans="1:12">
      <c r="A83">
        <f>[1]Result_notebook_retravaill!A83</f>
        <v>2025</v>
      </c>
      <c r="B83" t="str">
        <f>[1]Result_notebook_retravaill!B83</f>
        <v>Lithium</v>
      </c>
      <c r="C83" t="str">
        <f>[1]Result_notebook_retravaill!C83</f>
        <v>Current Measures</v>
      </c>
      <c r="D83" t="str">
        <f>[1]Result_notebook_retravaill!D83</f>
        <v>Existing production</v>
      </c>
      <c r="E83" t="str">
        <f>[1]Result_notebook_retravaill!E83</f>
        <v>Current shares</v>
      </c>
      <c r="F83" t="str">
        <f>[1]Result_notebook_retravaill!F83</f>
        <v>Status Quo</v>
      </c>
      <c r="G83">
        <f>[1]Result_notebook_retravaill!G83</f>
        <v>5628.5612940196597</v>
      </c>
      <c r="H83" s="3">
        <f>IF([1]Result_notebook_retravaill!I83&gt;[1]Result_notebook_retravaill!G83,[1]Result_notebook_retravaill!I83/[1]Result_notebook_retravaill!N83,[1]Result_notebook_retravaill!H83)</f>
        <v>33360.753294571456</v>
      </c>
      <c r="I83" s="3">
        <f>[1]Result_notebook_retravaill!K83</f>
        <v>0</v>
      </c>
      <c r="J83" s="3">
        <f>MIN(G83,[1]Result_notebook_retravaill!I83)</f>
        <v>5628.5612940196597</v>
      </c>
      <c r="K83" s="3">
        <f>IF([1]Result_notebook_retravaill!I83&gt;[1]Result_notebook_retravaill!G83,0,IF([1]Result_notebook_retravaill!I83+[1]Result_notebook_retravaill!J83&gt;[1]Result_notebook_retravaill!G83,[1]Result_notebook_retravaill!G83-[1]Result_notebook_retravaill!I83,[1]Result_notebook_retravaill!J83))</f>
        <v>0</v>
      </c>
      <c r="L83" s="3">
        <f>IF([1]Result_notebook_retravaill!I83&gt;[1]Result_notebook_retravaill!G83,0,IF([1]Result_notebook_retravaill!I83+[1]Result_notebook_retravaill!J83&gt;[1]Result_notebook_retravaill!G83,0,[1]Result_notebook_retravaill!M83))</f>
        <v>0</v>
      </c>
    </row>
    <row r="84" spans="1:12">
      <c r="A84">
        <f>[1]Result_notebook_retravaill!A84</f>
        <v>2025</v>
      </c>
      <c r="B84" t="str">
        <f>[1]Result_notebook_retravaill!B84</f>
        <v>Lithium</v>
      </c>
      <c r="C84" t="str">
        <f>[1]Result_notebook_retravaill!C84</f>
        <v>Current Measures</v>
      </c>
      <c r="D84" t="str">
        <f>[1]Result_notebook_retravaill!D84</f>
        <v>Production potential</v>
      </c>
      <c r="E84" t="str">
        <f>[1]Result_notebook_retravaill!E84</f>
        <v>Current shares</v>
      </c>
      <c r="F84" t="str">
        <f>[1]Result_notebook_retravaill!F84</f>
        <v>Expansion Extractive</v>
      </c>
      <c r="G84">
        <f>[1]Result_notebook_retravaill!G84</f>
        <v>5628.5612940196597</v>
      </c>
      <c r="H84" s="3">
        <f>IF([1]Result_notebook_retravaill!I84&gt;[1]Result_notebook_retravaill!G84,[1]Result_notebook_retravaill!I84/[1]Result_notebook_retravaill!N84,[1]Result_notebook_retravaill!H84)</f>
        <v>75327.583081707082</v>
      </c>
      <c r="I84" s="3">
        <f>[1]Result_notebook_retravaill!K84</f>
        <v>0</v>
      </c>
      <c r="J84" s="3">
        <f>MIN(G84,[1]Result_notebook_retravaill!I84)</f>
        <v>5628.5612940196597</v>
      </c>
      <c r="K84" s="3">
        <f>IF([1]Result_notebook_retravaill!I84&gt;[1]Result_notebook_retravaill!G84,0,IF([1]Result_notebook_retravaill!I84+[1]Result_notebook_retravaill!J84&gt;[1]Result_notebook_retravaill!G84,[1]Result_notebook_retravaill!G84-[1]Result_notebook_retravaill!I84,[1]Result_notebook_retravaill!J84))</f>
        <v>0</v>
      </c>
      <c r="L84" s="3">
        <f>IF([1]Result_notebook_retravaill!I84&gt;[1]Result_notebook_retravaill!G84,0,IF([1]Result_notebook_retravaill!I84+[1]Result_notebook_retravaill!J84&gt;[1]Result_notebook_retravaill!G84,0,[1]Result_notebook_retravaill!M84))</f>
        <v>0</v>
      </c>
    </row>
    <row r="85" spans="1:12">
      <c r="A85">
        <f>[1]Result_notebook_retravaill!A85</f>
        <v>2025</v>
      </c>
      <c r="B85" t="str">
        <f>[1]Result_notebook_retravaill!B85</f>
        <v>Lithium</v>
      </c>
      <c r="C85" t="str">
        <f>[1]Result_notebook_retravaill!C85</f>
        <v>Current Measures</v>
      </c>
      <c r="D85" t="str">
        <f>[1]Result_notebook_retravaill!D85</f>
        <v>Production potential</v>
      </c>
      <c r="E85" t="str">
        <f>[1]Result_notebook_retravaill!E85</f>
        <v>Current shares</v>
      </c>
      <c r="F85" t="str">
        <f>[1]Result_notebook_retravaill!F85</f>
        <v>Expansion Extractive+Circularity</v>
      </c>
      <c r="G85">
        <f>[1]Result_notebook_retravaill!G85</f>
        <v>5628.5612940196597</v>
      </c>
      <c r="H85" s="3">
        <f>IF([1]Result_notebook_retravaill!I85&gt;[1]Result_notebook_retravaill!G85,[1]Result_notebook_retravaill!I85/[1]Result_notebook_retravaill!N85,[1]Result_notebook_retravaill!H85)</f>
        <v>75327.583081707082</v>
      </c>
      <c r="I85" s="3">
        <f>[1]Result_notebook_retravaill!K85</f>
        <v>0</v>
      </c>
      <c r="J85" s="3">
        <f>MIN(G85,[1]Result_notebook_retravaill!I85)</f>
        <v>5628.5612940196597</v>
      </c>
      <c r="K85" s="3">
        <f>IF([1]Result_notebook_retravaill!I85&gt;[1]Result_notebook_retravaill!G85,0,IF([1]Result_notebook_retravaill!I85+[1]Result_notebook_retravaill!J85&gt;[1]Result_notebook_retravaill!G85,[1]Result_notebook_retravaill!G85-[1]Result_notebook_retravaill!I85,[1]Result_notebook_retravaill!J85))</f>
        <v>0</v>
      </c>
      <c r="L85" s="3">
        <f>IF([1]Result_notebook_retravaill!I85&gt;[1]Result_notebook_retravaill!G85,0,IF([1]Result_notebook_retravaill!I85+[1]Result_notebook_retravaill!J85&gt;[1]Result_notebook_retravaill!G85,0,[1]Result_notebook_retravaill!M85))</f>
        <v>0</v>
      </c>
    </row>
    <row r="86" spans="1:12">
      <c r="A86">
        <f>[1]Result_notebook_retravaill!A86</f>
        <v>2025</v>
      </c>
      <c r="B86" t="str">
        <f>[1]Result_notebook_retravaill!B86</f>
        <v>Lithium</v>
      </c>
      <c r="C86" t="str">
        <f>[1]Result_notebook_retravaill!C86</f>
        <v>Current Measures</v>
      </c>
      <c r="D86" t="str">
        <f>[1]Result_notebook_retravaill!D86</f>
        <v>Production potential</v>
      </c>
      <c r="E86" t="str">
        <f>[1]Result_notebook_retravaill!E86</f>
        <v>100% CAN</v>
      </c>
      <c r="F86" t="str">
        <f>[1]Result_notebook_retravaill!F86</f>
        <v>Integrated</v>
      </c>
      <c r="G86">
        <f>[1]Result_notebook_retravaill!G86</f>
        <v>5628.5612940196597</v>
      </c>
      <c r="H86" s="3">
        <f>IF([1]Result_notebook_retravaill!I86&gt;[1]Result_notebook_retravaill!G86,[1]Result_notebook_retravaill!I86/[1]Result_notebook_retravaill!N86,[1]Result_notebook_retravaill!H86)</f>
        <v>75327.583081707082</v>
      </c>
      <c r="I86" s="3">
        <f>[1]Result_notebook_retravaill!K86</f>
        <v>0</v>
      </c>
      <c r="J86" s="3">
        <f>MIN(G86,[1]Result_notebook_retravaill!I86)</f>
        <v>5628.5612940196597</v>
      </c>
      <c r="K86" s="3">
        <f>IF([1]Result_notebook_retravaill!I86&gt;[1]Result_notebook_retravaill!G86,0,IF([1]Result_notebook_retravaill!I86+[1]Result_notebook_retravaill!J86&gt;[1]Result_notebook_retravaill!G86,[1]Result_notebook_retravaill!G86-[1]Result_notebook_retravaill!I86,[1]Result_notebook_retravaill!J86))</f>
        <v>0</v>
      </c>
      <c r="L86" s="3">
        <f>IF([1]Result_notebook_retravaill!I86&gt;[1]Result_notebook_retravaill!G86,0,IF([1]Result_notebook_retravaill!I86+[1]Result_notebook_retravaill!J86&gt;[1]Result_notebook_retravaill!G86,0,[1]Result_notebook_retravaill!M86))</f>
        <v>0</v>
      </c>
    </row>
    <row r="87" spans="1:12">
      <c r="A87">
        <f>[1]Result_notebook_retravaill!A87</f>
        <v>2025</v>
      </c>
      <c r="B87" t="str">
        <f>[1]Result_notebook_retravaill!B87</f>
        <v>Lithium</v>
      </c>
      <c r="C87" t="str">
        <f>[1]Result_notebook_retravaill!C87</f>
        <v>Global Net-zero</v>
      </c>
      <c r="D87" t="str">
        <f>[1]Result_notebook_retravaill!D87</f>
        <v>Existing production</v>
      </c>
      <c r="E87" t="str">
        <f>[1]Result_notebook_retravaill!E87</f>
        <v>Current shares</v>
      </c>
      <c r="F87" t="str">
        <f>[1]Result_notebook_retravaill!F87</f>
        <v>NIMBY</v>
      </c>
      <c r="G87">
        <f>[1]Result_notebook_retravaill!G87</f>
        <v>6224.6601695098034</v>
      </c>
      <c r="H87" s="3">
        <f>IF([1]Result_notebook_retravaill!I87&gt;[1]Result_notebook_retravaill!G87,[1]Result_notebook_retravaill!I87/[1]Result_notebook_retravaill!N87,[1]Result_notebook_retravaill!H87)</f>
        <v>0</v>
      </c>
      <c r="I87" s="3">
        <f>[1]Result_notebook_retravaill!K87</f>
        <v>8892.3716707282911</v>
      </c>
      <c r="J87" s="3">
        <f>MIN(G87,[1]Result_notebook_retravaill!I87)</f>
        <v>0</v>
      </c>
      <c r="K87" s="3">
        <f>IF([1]Result_notebook_retravaill!I87&gt;[1]Result_notebook_retravaill!G87,0,IF([1]Result_notebook_retravaill!I87+[1]Result_notebook_retravaill!J87&gt;[1]Result_notebook_retravaill!G87,[1]Result_notebook_retravaill!G87-[1]Result_notebook_retravaill!I87,[1]Result_notebook_retravaill!J87))</f>
        <v>0</v>
      </c>
      <c r="L87" s="3">
        <f>IF([1]Result_notebook_retravaill!I87&gt;[1]Result_notebook_retravaill!G87,0,IF([1]Result_notebook_retravaill!I87+[1]Result_notebook_retravaill!J87&gt;[1]Result_notebook_retravaill!G87,0,[1]Result_notebook_retravaill!M87))</f>
        <v>6224.6601695098034</v>
      </c>
    </row>
    <row r="88" spans="1:12">
      <c r="A88">
        <f>[1]Result_notebook_retravaill!A88</f>
        <v>2025</v>
      </c>
      <c r="B88" t="str">
        <f>[1]Result_notebook_retravaill!B88</f>
        <v>Lithium</v>
      </c>
      <c r="C88" t="str">
        <f>[1]Result_notebook_retravaill!C88</f>
        <v>Global Net-zero</v>
      </c>
      <c r="D88" t="str">
        <f>[1]Result_notebook_retravaill!D88</f>
        <v>Existing production</v>
      </c>
      <c r="E88" t="str">
        <f>[1]Result_notebook_retravaill!E88</f>
        <v>Current shares</v>
      </c>
      <c r="F88" t="str">
        <f>[1]Result_notebook_retravaill!F88</f>
        <v>Status Quo</v>
      </c>
      <c r="G88">
        <f>[1]Result_notebook_retravaill!G88</f>
        <v>6224.6601695098034</v>
      </c>
      <c r="H88" s="3">
        <f>IF([1]Result_notebook_retravaill!I88&gt;[1]Result_notebook_retravaill!G88,[1]Result_notebook_retravaill!I88/[1]Result_notebook_retravaill!N88,[1]Result_notebook_retravaill!H88)</f>
        <v>33360.753294571456</v>
      </c>
      <c r="I88" s="3">
        <f>[1]Result_notebook_retravaill!K88</f>
        <v>0</v>
      </c>
      <c r="J88" s="3">
        <f>MIN(G88,[1]Result_notebook_retravaill!I88)</f>
        <v>6224.6601695098034</v>
      </c>
      <c r="K88" s="3">
        <f>IF([1]Result_notebook_retravaill!I88&gt;[1]Result_notebook_retravaill!G88,0,IF([1]Result_notebook_retravaill!I88+[1]Result_notebook_retravaill!J88&gt;[1]Result_notebook_retravaill!G88,[1]Result_notebook_retravaill!G88-[1]Result_notebook_retravaill!I88,[1]Result_notebook_retravaill!J88))</f>
        <v>0</v>
      </c>
      <c r="L88" s="3">
        <f>IF([1]Result_notebook_retravaill!I88&gt;[1]Result_notebook_retravaill!G88,0,IF([1]Result_notebook_retravaill!I88+[1]Result_notebook_retravaill!J88&gt;[1]Result_notebook_retravaill!G88,0,[1]Result_notebook_retravaill!M88))</f>
        <v>0</v>
      </c>
    </row>
    <row r="89" spans="1:12">
      <c r="A89">
        <f>[1]Result_notebook_retravaill!A89</f>
        <v>2025</v>
      </c>
      <c r="B89" t="str">
        <f>[1]Result_notebook_retravaill!B89</f>
        <v>Lithium</v>
      </c>
      <c r="C89" t="str">
        <f>[1]Result_notebook_retravaill!C89</f>
        <v>Global Net-zero</v>
      </c>
      <c r="D89" t="str">
        <f>[1]Result_notebook_retravaill!D89</f>
        <v>Production potential</v>
      </c>
      <c r="E89" t="str">
        <f>[1]Result_notebook_retravaill!E89</f>
        <v>Current shares</v>
      </c>
      <c r="F89" t="str">
        <f>[1]Result_notebook_retravaill!F89</f>
        <v>Expansion Extractive</v>
      </c>
      <c r="G89">
        <f>[1]Result_notebook_retravaill!G89</f>
        <v>6224.6601695098034</v>
      </c>
      <c r="H89" s="3">
        <f>IF([1]Result_notebook_retravaill!I89&gt;[1]Result_notebook_retravaill!G89,[1]Result_notebook_retravaill!I89/[1]Result_notebook_retravaill!N89,[1]Result_notebook_retravaill!H89)</f>
        <v>75327.583081707082</v>
      </c>
      <c r="I89" s="3">
        <f>[1]Result_notebook_retravaill!K89</f>
        <v>0</v>
      </c>
      <c r="J89" s="3">
        <f>MIN(G89,[1]Result_notebook_retravaill!I89)</f>
        <v>6224.6601695098034</v>
      </c>
      <c r="K89" s="3">
        <f>IF([1]Result_notebook_retravaill!I89&gt;[1]Result_notebook_retravaill!G89,0,IF([1]Result_notebook_retravaill!I89+[1]Result_notebook_retravaill!J89&gt;[1]Result_notebook_retravaill!G89,[1]Result_notebook_retravaill!G89-[1]Result_notebook_retravaill!I89,[1]Result_notebook_retravaill!J89))</f>
        <v>0</v>
      </c>
      <c r="L89" s="3">
        <f>IF([1]Result_notebook_retravaill!I89&gt;[1]Result_notebook_retravaill!G89,0,IF([1]Result_notebook_retravaill!I89+[1]Result_notebook_retravaill!J89&gt;[1]Result_notebook_retravaill!G89,0,[1]Result_notebook_retravaill!M89))</f>
        <v>0</v>
      </c>
    </row>
    <row r="90" spans="1:12">
      <c r="A90">
        <f>[1]Result_notebook_retravaill!A90</f>
        <v>2025</v>
      </c>
      <c r="B90" t="str">
        <f>[1]Result_notebook_retravaill!B90</f>
        <v>Lithium</v>
      </c>
      <c r="C90" t="str">
        <f>[1]Result_notebook_retravaill!C90</f>
        <v>Global Net-zero</v>
      </c>
      <c r="D90" t="str">
        <f>[1]Result_notebook_retravaill!D90</f>
        <v>Production potential</v>
      </c>
      <c r="E90" t="str">
        <f>[1]Result_notebook_retravaill!E90</f>
        <v>Current shares</v>
      </c>
      <c r="F90" t="str">
        <f>[1]Result_notebook_retravaill!F90</f>
        <v>Expansion Extractive+Circularity</v>
      </c>
      <c r="G90">
        <f>[1]Result_notebook_retravaill!G90</f>
        <v>6224.6601695098034</v>
      </c>
      <c r="H90" s="3">
        <f>IF([1]Result_notebook_retravaill!I90&gt;[1]Result_notebook_retravaill!G90,[1]Result_notebook_retravaill!I90/[1]Result_notebook_retravaill!N90,[1]Result_notebook_retravaill!H90)</f>
        <v>75327.583081707082</v>
      </c>
      <c r="I90" s="3">
        <f>[1]Result_notebook_retravaill!K90</f>
        <v>0</v>
      </c>
      <c r="J90" s="3">
        <f>MIN(G90,[1]Result_notebook_retravaill!I90)</f>
        <v>6224.6601695098034</v>
      </c>
      <c r="K90" s="3">
        <f>IF([1]Result_notebook_retravaill!I90&gt;[1]Result_notebook_retravaill!G90,0,IF([1]Result_notebook_retravaill!I90+[1]Result_notebook_retravaill!J90&gt;[1]Result_notebook_retravaill!G90,[1]Result_notebook_retravaill!G90-[1]Result_notebook_retravaill!I90,[1]Result_notebook_retravaill!J90))</f>
        <v>0</v>
      </c>
      <c r="L90" s="3">
        <f>IF([1]Result_notebook_retravaill!I90&gt;[1]Result_notebook_retravaill!G90,0,IF([1]Result_notebook_retravaill!I90+[1]Result_notebook_retravaill!J90&gt;[1]Result_notebook_retravaill!G90,0,[1]Result_notebook_retravaill!M90))</f>
        <v>0</v>
      </c>
    </row>
    <row r="91" spans="1:12">
      <c r="A91">
        <f>[1]Result_notebook_retravaill!A91</f>
        <v>2025</v>
      </c>
      <c r="B91" t="str">
        <f>[1]Result_notebook_retravaill!B91</f>
        <v>Lithium</v>
      </c>
      <c r="C91" t="str">
        <f>[1]Result_notebook_retravaill!C91</f>
        <v>Global Net-zero</v>
      </c>
      <c r="D91" t="str">
        <f>[1]Result_notebook_retravaill!D91</f>
        <v>Production potential</v>
      </c>
      <c r="E91" t="str">
        <f>[1]Result_notebook_retravaill!E91</f>
        <v>100% CAN</v>
      </c>
      <c r="F91" t="str">
        <f>[1]Result_notebook_retravaill!F91</f>
        <v>Integrated</v>
      </c>
      <c r="G91">
        <f>[1]Result_notebook_retravaill!G91</f>
        <v>6224.6601695098034</v>
      </c>
      <c r="H91" s="3">
        <f>IF([1]Result_notebook_retravaill!I91&gt;[1]Result_notebook_retravaill!G91,[1]Result_notebook_retravaill!I91/[1]Result_notebook_retravaill!N91,[1]Result_notebook_retravaill!H91)</f>
        <v>75327.583081707082</v>
      </c>
      <c r="I91" s="3">
        <f>[1]Result_notebook_retravaill!K91</f>
        <v>0</v>
      </c>
      <c r="J91" s="3">
        <f>MIN(G91,[1]Result_notebook_retravaill!I91)</f>
        <v>6224.6601695098034</v>
      </c>
      <c r="K91" s="3">
        <f>IF([1]Result_notebook_retravaill!I91&gt;[1]Result_notebook_retravaill!G91,0,IF([1]Result_notebook_retravaill!I91+[1]Result_notebook_retravaill!J91&gt;[1]Result_notebook_retravaill!G91,[1]Result_notebook_retravaill!G91-[1]Result_notebook_retravaill!I91,[1]Result_notebook_retravaill!J91))</f>
        <v>0</v>
      </c>
      <c r="L91" s="3">
        <f>IF([1]Result_notebook_retravaill!I91&gt;[1]Result_notebook_retravaill!G91,0,IF([1]Result_notebook_retravaill!I91+[1]Result_notebook_retravaill!J91&gt;[1]Result_notebook_retravaill!G91,0,[1]Result_notebook_retravaill!M91))</f>
        <v>0</v>
      </c>
    </row>
    <row r="92" spans="1:12">
      <c r="A92">
        <f>[1]Result_notebook_retravaill!A92</f>
        <v>2026</v>
      </c>
      <c r="B92" t="str">
        <f>[1]Result_notebook_retravaill!B92</f>
        <v>Cobalt</v>
      </c>
      <c r="C92" t="str">
        <f>[1]Result_notebook_retravaill!C92</f>
        <v>Canada Net-zero</v>
      </c>
      <c r="D92" t="str">
        <f>[1]Result_notebook_retravaill!D92</f>
        <v>Existing production</v>
      </c>
      <c r="E92" t="str">
        <f>[1]Result_notebook_retravaill!E92</f>
        <v>Current shares</v>
      </c>
      <c r="F92" t="str">
        <f>[1]Result_notebook_retravaill!F92</f>
        <v>NIMBY</v>
      </c>
      <c r="G92">
        <f>[1]Result_notebook_retravaill!G92</f>
        <v>14666.70894328302</v>
      </c>
      <c r="H92" s="3">
        <f>IF([1]Result_notebook_retravaill!I92&gt;[1]Result_notebook_retravaill!G92,[1]Result_notebook_retravaill!I92/[1]Result_notebook_retravaill!N92,[1]Result_notebook_retravaill!H92)</f>
        <v>0</v>
      </c>
      <c r="I92" s="3">
        <f>[1]Result_notebook_retravaill!K92</f>
        <v>33333.429416552317</v>
      </c>
      <c r="J92" s="3">
        <f>MIN(G92,[1]Result_notebook_retravaill!I92)</f>
        <v>0</v>
      </c>
      <c r="K92" s="3">
        <f>IF([1]Result_notebook_retravaill!I92&gt;[1]Result_notebook_retravaill!G92,0,IF([1]Result_notebook_retravaill!I92+[1]Result_notebook_retravaill!J92&gt;[1]Result_notebook_retravaill!G92,[1]Result_notebook_retravaill!G92-[1]Result_notebook_retravaill!I92,[1]Result_notebook_retravaill!J92))</f>
        <v>0</v>
      </c>
      <c r="L92" s="3">
        <f>IF([1]Result_notebook_retravaill!I92&gt;[1]Result_notebook_retravaill!G92,0,IF([1]Result_notebook_retravaill!I92+[1]Result_notebook_retravaill!J92&gt;[1]Result_notebook_retravaill!G92,0,[1]Result_notebook_retravaill!M92))</f>
        <v>14666.70894328302</v>
      </c>
    </row>
    <row r="93" spans="1:12">
      <c r="A93">
        <f>[1]Result_notebook_retravaill!A93</f>
        <v>2026</v>
      </c>
      <c r="B93" t="str">
        <f>[1]Result_notebook_retravaill!B93</f>
        <v>Cobalt</v>
      </c>
      <c r="C93" t="str">
        <f>[1]Result_notebook_retravaill!C93</f>
        <v>Canada Net-zero</v>
      </c>
      <c r="D93" t="str">
        <f>[1]Result_notebook_retravaill!D93</f>
        <v>Existing production</v>
      </c>
      <c r="E93" t="str">
        <f>[1]Result_notebook_retravaill!E93</f>
        <v>Current shares</v>
      </c>
      <c r="F93" t="str">
        <f>[1]Result_notebook_retravaill!F93</f>
        <v>Status Quo</v>
      </c>
      <c r="G93">
        <f>[1]Result_notebook_retravaill!G93</f>
        <v>14666.70894328302</v>
      </c>
      <c r="H93" s="3">
        <f>IF([1]Result_notebook_retravaill!I93&gt;[1]Result_notebook_retravaill!G93,[1]Result_notebook_retravaill!I93/[1]Result_notebook_retravaill!N93,[1]Result_notebook_retravaill!H93)</f>
        <v>3494</v>
      </c>
      <c r="I93" s="3">
        <f>[1]Result_notebook_retravaill!K93</f>
        <v>29839.429416552321</v>
      </c>
      <c r="J93" s="3">
        <f>MIN(G93,[1]Result_notebook_retravaill!I93)</f>
        <v>1482.0913083373639</v>
      </c>
      <c r="K93" s="3">
        <f>IF([1]Result_notebook_retravaill!I93&gt;[1]Result_notebook_retravaill!G93,0,IF([1]Result_notebook_retravaill!I93+[1]Result_notebook_retravaill!J93&gt;[1]Result_notebook_retravaill!G93,[1]Result_notebook_retravaill!G93-[1]Result_notebook_retravaill!I93,[1]Result_notebook_retravaill!J93))</f>
        <v>52.985592172937231</v>
      </c>
      <c r="L93" s="3">
        <f>IF([1]Result_notebook_retravaill!I93&gt;[1]Result_notebook_retravaill!G93,0,IF([1]Result_notebook_retravaill!I93+[1]Result_notebook_retravaill!J93&gt;[1]Result_notebook_retravaill!G93,0,[1]Result_notebook_retravaill!M93))</f>
        <v>13131.632042772722</v>
      </c>
    </row>
    <row r="94" spans="1:12">
      <c r="A94">
        <f>[1]Result_notebook_retravaill!A94</f>
        <v>2026</v>
      </c>
      <c r="B94" t="str">
        <f>[1]Result_notebook_retravaill!B94</f>
        <v>Cobalt</v>
      </c>
      <c r="C94" t="str">
        <f>[1]Result_notebook_retravaill!C94</f>
        <v>Canada Net-zero</v>
      </c>
      <c r="D94" t="str">
        <f>[1]Result_notebook_retravaill!D94</f>
        <v>Production potential</v>
      </c>
      <c r="E94" t="str">
        <f>[1]Result_notebook_retravaill!E94</f>
        <v>Current shares</v>
      </c>
      <c r="F94" t="str">
        <f>[1]Result_notebook_retravaill!F94</f>
        <v>Expansion Extractive</v>
      </c>
      <c r="G94">
        <f>[1]Result_notebook_retravaill!G94</f>
        <v>14666.70894328302</v>
      </c>
      <c r="H94" s="3">
        <f>IF([1]Result_notebook_retravaill!I94&gt;[1]Result_notebook_retravaill!G94,[1]Result_notebook_retravaill!I94/[1]Result_notebook_retravaill!N94,[1]Result_notebook_retravaill!H94)</f>
        <v>4494</v>
      </c>
      <c r="I94" s="3">
        <f>[1]Result_notebook_retravaill!K94</f>
        <v>28839.429416552321</v>
      </c>
      <c r="J94" s="3">
        <f>MIN(G94,[1]Result_notebook_retravaill!I94)</f>
        <v>1906.2731367109659</v>
      </c>
      <c r="K94" s="3">
        <f>IF([1]Result_notebook_retravaill!I94&gt;[1]Result_notebook_retravaill!G94,0,IF([1]Result_notebook_retravaill!I94+[1]Result_notebook_retravaill!J94&gt;[1]Result_notebook_retravaill!G94,[1]Result_notebook_retravaill!G94-[1]Result_notebook_retravaill!I94,[1]Result_notebook_retravaill!J94))</f>
        <v>68.15032948631324</v>
      </c>
      <c r="L94" s="3">
        <f>IF([1]Result_notebook_retravaill!I94&gt;[1]Result_notebook_retravaill!G94,0,IF([1]Result_notebook_retravaill!I94+[1]Result_notebook_retravaill!J94&gt;[1]Result_notebook_retravaill!G94,0,[1]Result_notebook_retravaill!M94))</f>
        <v>12692.285477085738</v>
      </c>
    </row>
    <row r="95" spans="1:12">
      <c r="A95">
        <f>[1]Result_notebook_retravaill!A95</f>
        <v>2026</v>
      </c>
      <c r="B95" t="str">
        <f>[1]Result_notebook_retravaill!B95</f>
        <v>Cobalt</v>
      </c>
      <c r="C95" t="str">
        <f>[1]Result_notebook_retravaill!C95</f>
        <v>Canada Net-zero</v>
      </c>
      <c r="D95" t="str">
        <f>[1]Result_notebook_retravaill!D95</f>
        <v>Production potential</v>
      </c>
      <c r="E95" t="str">
        <f>[1]Result_notebook_retravaill!E95</f>
        <v>Current shares</v>
      </c>
      <c r="F95" t="str">
        <f>[1]Result_notebook_retravaill!F95</f>
        <v>Expansion Extractive+Circularity</v>
      </c>
      <c r="G95">
        <f>[1]Result_notebook_retravaill!G95</f>
        <v>14666.70894328302</v>
      </c>
      <c r="H95" s="3">
        <f>IF([1]Result_notebook_retravaill!I95&gt;[1]Result_notebook_retravaill!G95,[1]Result_notebook_retravaill!I95/[1]Result_notebook_retravaill!N95,[1]Result_notebook_retravaill!H95)</f>
        <v>4494</v>
      </c>
      <c r="I95" s="3">
        <f>[1]Result_notebook_retravaill!K95</f>
        <v>28839.429416552321</v>
      </c>
      <c r="J95" s="3">
        <f>MIN(G95,[1]Result_notebook_retravaill!I95)</f>
        <v>1906.2731367109659</v>
      </c>
      <c r="K95" s="3">
        <f>IF([1]Result_notebook_retravaill!I95&gt;[1]Result_notebook_retravaill!G95,0,IF([1]Result_notebook_retravaill!I95+[1]Result_notebook_retravaill!J95&gt;[1]Result_notebook_retravaill!G95,[1]Result_notebook_retravaill!G95-[1]Result_notebook_retravaill!I95,[1]Result_notebook_retravaill!J95))</f>
        <v>68.15032948631324</v>
      </c>
      <c r="L95" s="3">
        <f>IF([1]Result_notebook_retravaill!I95&gt;[1]Result_notebook_retravaill!G95,0,IF([1]Result_notebook_retravaill!I95+[1]Result_notebook_retravaill!J95&gt;[1]Result_notebook_retravaill!G95,0,[1]Result_notebook_retravaill!M95))</f>
        <v>12692.285477085738</v>
      </c>
    </row>
    <row r="96" spans="1:12">
      <c r="A96">
        <f>[1]Result_notebook_retravaill!A96</f>
        <v>2026</v>
      </c>
      <c r="B96" t="str">
        <f>[1]Result_notebook_retravaill!B96</f>
        <v>Cobalt</v>
      </c>
      <c r="C96" t="str">
        <f>[1]Result_notebook_retravaill!C96</f>
        <v>Canada Net-zero</v>
      </c>
      <c r="D96" t="str">
        <f>[1]Result_notebook_retravaill!D96</f>
        <v>Production potential</v>
      </c>
      <c r="E96" t="str">
        <f>[1]Result_notebook_retravaill!E96</f>
        <v>100% CAN</v>
      </c>
      <c r="F96" t="str">
        <f>[1]Result_notebook_retravaill!F96</f>
        <v>Integrated</v>
      </c>
      <c r="G96">
        <f>[1]Result_notebook_retravaill!G96</f>
        <v>14666.70894328302</v>
      </c>
      <c r="H96" s="3">
        <f>IF([1]Result_notebook_retravaill!I96&gt;[1]Result_notebook_retravaill!G96,[1]Result_notebook_retravaill!I96/[1]Result_notebook_retravaill!N96,[1]Result_notebook_retravaill!H96)</f>
        <v>4494</v>
      </c>
      <c r="I96" s="3">
        <f>[1]Result_notebook_retravaill!K96</f>
        <v>28839.429416552321</v>
      </c>
      <c r="J96" s="3">
        <f>MIN(G96,[1]Result_notebook_retravaill!I96)</f>
        <v>1974.423466197281</v>
      </c>
      <c r="K96" s="3">
        <f>IF([1]Result_notebook_retravaill!I96&gt;[1]Result_notebook_retravaill!G96,0,IF([1]Result_notebook_retravaill!I96+[1]Result_notebook_retravaill!J96&gt;[1]Result_notebook_retravaill!G96,[1]Result_notebook_retravaill!G96-[1]Result_notebook_retravaill!I96,[1]Result_notebook_retravaill!J96))</f>
        <v>-1.8189894035458565E-12</v>
      </c>
      <c r="L96" s="3">
        <f>IF([1]Result_notebook_retravaill!I96&gt;[1]Result_notebook_retravaill!G96,0,IF([1]Result_notebook_retravaill!I96+[1]Result_notebook_retravaill!J96&gt;[1]Result_notebook_retravaill!G96,0,[1]Result_notebook_retravaill!M96))</f>
        <v>12692.285477085741</v>
      </c>
    </row>
    <row r="97" spans="1:12">
      <c r="A97">
        <f>[1]Result_notebook_retravaill!A97</f>
        <v>2026</v>
      </c>
      <c r="B97" t="str">
        <f>[1]Result_notebook_retravaill!B97</f>
        <v>Cobalt</v>
      </c>
      <c r="C97" t="str">
        <f>[1]Result_notebook_retravaill!C97</f>
        <v>Current Measures</v>
      </c>
      <c r="D97" t="str">
        <f>[1]Result_notebook_retravaill!D97</f>
        <v>Existing production</v>
      </c>
      <c r="E97" t="str">
        <f>[1]Result_notebook_retravaill!E97</f>
        <v>Current shares</v>
      </c>
      <c r="F97" t="str">
        <f>[1]Result_notebook_retravaill!F97</f>
        <v>NIMBY</v>
      </c>
      <c r="G97">
        <f>[1]Result_notebook_retravaill!G97</f>
        <v>11787.03907014753</v>
      </c>
      <c r="H97" s="3">
        <f>IF([1]Result_notebook_retravaill!I97&gt;[1]Result_notebook_retravaill!G97,[1]Result_notebook_retravaill!I97/[1]Result_notebook_retravaill!N97,[1]Result_notebook_retravaill!H97)</f>
        <v>0</v>
      </c>
      <c r="I97" s="3">
        <f>[1]Result_notebook_retravaill!K97</f>
        <v>26788.725159426209</v>
      </c>
      <c r="J97" s="3">
        <f>MIN(G97,[1]Result_notebook_retravaill!I97)</f>
        <v>0</v>
      </c>
      <c r="K97" s="3">
        <f>IF([1]Result_notebook_retravaill!I97&gt;[1]Result_notebook_retravaill!G97,0,IF([1]Result_notebook_retravaill!I97+[1]Result_notebook_retravaill!J97&gt;[1]Result_notebook_retravaill!G97,[1]Result_notebook_retravaill!G97-[1]Result_notebook_retravaill!I97,[1]Result_notebook_retravaill!J97))</f>
        <v>0</v>
      </c>
      <c r="L97" s="3">
        <f>IF([1]Result_notebook_retravaill!I97&gt;[1]Result_notebook_retravaill!G97,0,IF([1]Result_notebook_retravaill!I97+[1]Result_notebook_retravaill!J97&gt;[1]Result_notebook_retravaill!G97,0,[1]Result_notebook_retravaill!M97))</f>
        <v>11787.03907014753</v>
      </c>
    </row>
    <row r="98" spans="1:12">
      <c r="A98">
        <f>[1]Result_notebook_retravaill!A98</f>
        <v>2026</v>
      </c>
      <c r="B98" t="str">
        <f>[1]Result_notebook_retravaill!B98</f>
        <v>Cobalt</v>
      </c>
      <c r="C98" t="str">
        <f>[1]Result_notebook_retravaill!C98</f>
        <v>Current Measures</v>
      </c>
      <c r="D98" t="str">
        <f>[1]Result_notebook_retravaill!D98</f>
        <v>Existing production</v>
      </c>
      <c r="E98" t="str">
        <f>[1]Result_notebook_retravaill!E98</f>
        <v>Current shares</v>
      </c>
      <c r="F98" t="str">
        <f>[1]Result_notebook_retravaill!F98</f>
        <v>Status Quo</v>
      </c>
      <c r="G98">
        <f>[1]Result_notebook_retravaill!G98</f>
        <v>11787.03907014753</v>
      </c>
      <c r="H98" s="3">
        <f>IF([1]Result_notebook_retravaill!I98&gt;[1]Result_notebook_retravaill!G98,[1]Result_notebook_retravaill!I98/[1]Result_notebook_retravaill!N98,[1]Result_notebook_retravaill!H98)</f>
        <v>3494</v>
      </c>
      <c r="I98" s="3">
        <f>[1]Result_notebook_retravaill!K98</f>
        <v>23294.725159426209</v>
      </c>
      <c r="J98" s="3">
        <f>MIN(G98,[1]Result_notebook_retravaill!I98)</f>
        <v>1482.0913083373639</v>
      </c>
      <c r="K98" s="3">
        <f>IF([1]Result_notebook_retravaill!I98&gt;[1]Result_notebook_retravaill!G98,0,IF([1]Result_notebook_retravaill!I98+[1]Result_notebook_retravaill!J98&gt;[1]Result_notebook_retravaill!G98,[1]Result_notebook_retravaill!G98-[1]Result_notebook_retravaill!I98,[1]Result_notebook_retravaill!J98))</f>
        <v>52.985592172937231</v>
      </c>
      <c r="L98" s="3">
        <f>IF([1]Result_notebook_retravaill!I98&gt;[1]Result_notebook_retravaill!G98,0,IF([1]Result_notebook_retravaill!I98+[1]Result_notebook_retravaill!J98&gt;[1]Result_notebook_retravaill!G98,0,[1]Result_notebook_retravaill!M98))</f>
        <v>10251.962169637232</v>
      </c>
    </row>
    <row r="99" spans="1:12">
      <c r="A99">
        <f>[1]Result_notebook_retravaill!A99</f>
        <v>2026</v>
      </c>
      <c r="B99" t="str">
        <f>[1]Result_notebook_retravaill!B99</f>
        <v>Cobalt</v>
      </c>
      <c r="C99" t="str">
        <f>[1]Result_notebook_retravaill!C99</f>
        <v>Current Measures</v>
      </c>
      <c r="D99" t="str">
        <f>[1]Result_notebook_retravaill!D99</f>
        <v>Production potential</v>
      </c>
      <c r="E99" t="str">
        <f>[1]Result_notebook_retravaill!E99</f>
        <v>Current shares</v>
      </c>
      <c r="F99" t="str">
        <f>[1]Result_notebook_retravaill!F99</f>
        <v>Expansion Extractive</v>
      </c>
      <c r="G99">
        <f>[1]Result_notebook_retravaill!G99</f>
        <v>11787.03907014753</v>
      </c>
      <c r="H99" s="3">
        <f>IF([1]Result_notebook_retravaill!I99&gt;[1]Result_notebook_retravaill!G99,[1]Result_notebook_retravaill!I99/[1]Result_notebook_retravaill!N99,[1]Result_notebook_retravaill!H99)</f>
        <v>4494</v>
      </c>
      <c r="I99" s="3">
        <f>[1]Result_notebook_retravaill!K99</f>
        <v>22294.725159426209</v>
      </c>
      <c r="J99" s="3">
        <f>MIN(G99,[1]Result_notebook_retravaill!I99)</f>
        <v>1906.2731367109659</v>
      </c>
      <c r="K99" s="3">
        <f>IF([1]Result_notebook_retravaill!I99&gt;[1]Result_notebook_retravaill!G99,0,IF([1]Result_notebook_retravaill!I99+[1]Result_notebook_retravaill!J99&gt;[1]Result_notebook_retravaill!G99,[1]Result_notebook_retravaill!G99-[1]Result_notebook_retravaill!I99,[1]Result_notebook_retravaill!J99))</f>
        <v>68.15032948631324</v>
      </c>
      <c r="L99" s="3">
        <f>IF([1]Result_notebook_retravaill!I99&gt;[1]Result_notebook_retravaill!G99,0,IF([1]Result_notebook_retravaill!I99+[1]Result_notebook_retravaill!J99&gt;[1]Result_notebook_retravaill!G99,0,[1]Result_notebook_retravaill!M99))</f>
        <v>9812.6156039502494</v>
      </c>
    </row>
    <row r="100" spans="1:12">
      <c r="A100">
        <f>[1]Result_notebook_retravaill!A100</f>
        <v>2026</v>
      </c>
      <c r="B100" t="str">
        <f>[1]Result_notebook_retravaill!B100</f>
        <v>Cobalt</v>
      </c>
      <c r="C100" t="str">
        <f>[1]Result_notebook_retravaill!C100</f>
        <v>Current Measures</v>
      </c>
      <c r="D100" t="str">
        <f>[1]Result_notebook_retravaill!D100</f>
        <v>Production potential</v>
      </c>
      <c r="E100" t="str">
        <f>[1]Result_notebook_retravaill!E100</f>
        <v>Current shares</v>
      </c>
      <c r="F100" t="str">
        <f>[1]Result_notebook_retravaill!F100</f>
        <v>Expansion Extractive+Circularity</v>
      </c>
      <c r="G100">
        <f>[1]Result_notebook_retravaill!G100</f>
        <v>11787.03907014753</v>
      </c>
      <c r="H100" s="3">
        <f>IF([1]Result_notebook_retravaill!I100&gt;[1]Result_notebook_retravaill!G100,[1]Result_notebook_retravaill!I100/[1]Result_notebook_retravaill!N100,[1]Result_notebook_retravaill!H100)</f>
        <v>4494</v>
      </c>
      <c r="I100" s="3">
        <f>[1]Result_notebook_retravaill!K100</f>
        <v>22294.725159426209</v>
      </c>
      <c r="J100" s="3">
        <f>MIN(G100,[1]Result_notebook_retravaill!I100)</f>
        <v>1906.2731367109659</v>
      </c>
      <c r="K100" s="3">
        <f>IF([1]Result_notebook_retravaill!I100&gt;[1]Result_notebook_retravaill!G100,0,IF([1]Result_notebook_retravaill!I100+[1]Result_notebook_retravaill!J100&gt;[1]Result_notebook_retravaill!G100,[1]Result_notebook_retravaill!G100-[1]Result_notebook_retravaill!I100,[1]Result_notebook_retravaill!J100))</f>
        <v>68.15032948631324</v>
      </c>
      <c r="L100" s="3">
        <f>IF([1]Result_notebook_retravaill!I100&gt;[1]Result_notebook_retravaill!G100,0,IF([1]Result_notebook_retravaill!I100+[1]Result_notebook_retravaill!J100&gt;[1]Result_notebook_retravaill!G100,0,[1]Result_notebook_retravaill!M100))</f>
        <v>9812.6156039502494</v>
      </c>
    </row>
    <row r="101" spans="1:12">
      <c r="A101">
        <f>[1]Result_notebook_retravaill!A101</f>
        <v>2026</v>
      </c>
      <c r="B101" t="str">
        <f>[1]Result_notebook_retravaill!B101</f>
        <v>Cobalt</v>
      </c>
      <c r="C101" t="str">
        <f>[1]Result_notebook_retravaill!C101</f>
        <v>Current Measures</v>
      </c>
      <c r="D101" t="str">
        <f>[1]Result_notebook_retravaill!D101</f>
        <v>Production potential</v>
      </c>
      <c r="E101" t="str">
        <f>[1]Result_notebook_retravaill!E101</f>
        <v>100% CAN</v>
      </c>
      <c r="F101" t="str">
        <f>[1]Result_notebook_retravaill!F101</f>
        <v>Integrated</v>
      </c>
      <c r="G101">
        <f>[1]Result_notebook_retravaill!G101</f>
        <v>11787.03907014753</v>
      </c>
      <c r="H101" s="3">
        <f>IF([1]Result_notebook_retravaill!I101&gt;[1]Result_notebook_retravaill!G101,[1]Result_notebook_retravaill!I101/[1]Result_notebook_retravaill!N101,[1]Result_notebook_retravaill!H101)</f>
        <v>4494</v>
      </c>
      <c r="I101" s="3">
        <f>[1]Result_notebook_retravaill!K101</f>
        <v>22294.725159426209</v>
      </c>
      <c r="J101" s="3">
        <f>MIN(G101,[1]Result_notebook_retravaill!I101)</f>
        <v>1974.423466197281</v>
      </c>
      <c r="K101" s="3">
        <f>IF([1]Result_notebook_retravaill!I101&gt;[1]Result_notebook_retravaill!G101,0,IF([1]Result_notebook_retravaill!I101+[1]Result_notebook_retravaill!J101&gt;[1]Result_notebook_retravaill!G101,[1]Result_notebook_retravaill!G101-[1]Result_notebook_retravaill!I101,[1]Result_notebook_retravaill!J101))</f>
        <v>-1.8189894035458565E-12</v>
      </c>
      <c r="L101" s="3">
        <f>IF([1]Result_notebook_retravaill!I101&gt;[1]Result_notebook_retravaill!G101,0,IF([1]Result_notebook_retravaill!I101+[1]Result_notebook_retravaill!J101&gt;[1]Result_notebook_retravaill!G101,0,[1]Result_notebook_retravaill!M101))</f>
        <v>9812.6156039502512</v>
      </c>
    </row>
    <row r="102" spans="1:12">
      <c r="A102">
        <f>[1]Result_notebook_retravaill!A102</f>
        <v>2026</v>
      </c>
      <c r="B102" t="str">
        <f>[1]Result_notebook_retravaill!B102</f>
        <v>Cobalt</v>
      </c>
      <c r="C102" t="str">
        <f>[1]Result_notebook_retravaill!C102</f>
        <v>Global Net-zero</v>
      </c>
      <c r="D102" t="str">
        <f>[1]Result_notebook_retravaill!D102</f>
        <v>Existing production</v>
      </c>
      <c r="E102" t="str">
        <f>[1]Result_notebook_retravaill!E102</f>
        <v>Current shares</v>
      </c>
      <c r="F102" t="str">
        <f>[1]Result_notebook_retravaill!F102</f>
        <v>NIMBY</v>
      </c>
      <c r="G102">
        <f>[1]Result_notebook_retravaill!G102</f>
        <v>14369.556871268551</v>
      </c>
      <c r="H102" s="3">
        <f>IF([1]Result_notebook_retravaill!I102&gt;[1]Result_notebook_retravaill!G102,[1]Result_notebook_retravaill!I102/[1]Result_notebook_retravaill!N102,[1]Result_notebook_retravaill!H102)</f>
        <v>0</v>
      </c>
      <c r="I102" s="3">
        <f>[1]Result_notebook_retravaill!K102</f>
        <v>32658.083798337619</v>
      </c>
      <c r="J102" s="3">
        <f>MIN(G102,[1]Result_notebook_retravaill!I102)</f>
        <v>0</v>
      </c>
      <c r="K102" s="3">
        <f>IF([1]Result_notebook_retravaill!I102&gt;[1]Result_notebook_retravaill!G102,0,IF([1]Result_notebook_retravaill!I102+[1]Result_notebook_retravaill!J102&gt;[1]Result_notebook_retravaill!G102,[1]Result_notebook_retravaill!G102-[1]Result_notebook_retravaill!I102,[1]Result_notebook_retravaill!J102))</f>
        <v>0</v>
      </c>
      <c r="L102" s="3">
        <f>IF([1]Result_notebook_retravaill!I102&gt;[1]Result_notebook_retravaill!G102,0,IF([1]Result_notebook_retravaill!I102+[1]Result_notebook_retravaill!J102&gt;[1]Result_notebook_retravaill!G102,0,[1]Result_notebook_retravaill!M102))</f>
        <v>14369.556871268551</v>
      </c>
    </row>
    <row r="103" spans="1:12">
      <c r="A103">
        <f>[1]Result_notebook_retravaill!A103</f>
        <v>2026</v>
      </c>
      <c r="B103" t="str">
        <f>[1]Result_notebook_retravaill!B103</f>
        <v>Cobalt</v>
      </c>
      <c r="C103" t="str">
        <f>[1]Result_notebook_retravaill!C103</f>
        <v>Global Net-zero</v>
      </c>
      <c r="D103" t="str">
        <f>[1]Result_notebook_retravaill!D103</f>
        <v>Existing production</v>
      </c>
      <c r="E103" t="str">
        <f>[1]Result_notebook_retravaill!E103</f>
        <v>Current shares</v>
      </c>
      <c r="F103" t="str">
        <f>[1]Result_notebook_retravaill!F103</f>
        <v>Status Quo</v>
      </c>
      <c r="G103">
        <f>[1]Result_notebook_retravaill!G103</f>
        <v>14369.556871268551</v>
      </c>
      <c r="H103" s="3">
        <f>IF([1]Result_notebook_retravaill!I103&gt;[1]Result_notebook_retravaill!G103,[1]Result_notebook_retravaill!I103/[1]Result_notebook_retravaill!N103,[1]Result_notebook_retravaill!H103)</f>
        <v>3494</v>
      </c>
      <c r="I103" s="3">
        <f>[1]Result_notebook_retravaill!K103</f>
        <v>29164.083798337619</v>
      </c>
      <c r="J103" s="3">
        <f>MIN(G103,[1]Result_notebook_retravaill!I103)</f>
        <v>1482.0913083373639</v>
      </c>
      <c r="K103" s="3">
        <f>IF([1]Result_notebook_retravaill!I103&gt;[1]Result_notebook_retravaill!G103,0,IF([1]Result_notebook_retravaill!I103+[1]Result_notebook_retravaill!J103&gt;[1]Result_notebook_retravaill!G103,[1]Result_notebook_retravaill!G103-[1]Result_notebook_retravaill!I103,[1]Result_notebook_retravaill!J103))</f>
        <v>52.985592172937231</v>
      </c>
      <c r="L103" s="3">
        <f>IF([1]Result_notebook_retravaill!I103&gt;[1]Result_notebook_retravaill!G103,0,IF([1]Result_notebook_retravaill!I103+[1]Result_notebook_retravaill!J103&gt;[1]Result_notebook_retravaill!G103,0,[1]Result_notebook_retravaill!M103))</f>
        <v>12834.479970758252</v>
      </c>
    </row>
    <row r="104" spans="1:12">
      <c r="A104">
        <f>[1]Result_notebook_retravaill!A104</f>
        <v>2026</v>
      </c>
      <c r="B104" t="str">
        <f>[1]Result_notebook_retravaill!B104</f>
        <v>Cobalt</v>
      </c>
      <c r="C104" t="str">
        <f>[1]Result_notebook_retravaill!C104</f>
        <v>Global Net-zero</v>
      </c>
      <c r="D104" t="str">
        <f>[1]Result_notebook_retravaill!D104</f>
        <v>Production potential</v>
      </c>
      <c r="E104" t="str">
        <f>[1]Result_notebook_retravaill!E104</f>
        <v>Current shares</v>
      </c>
      <c r="F104" t="str">
        <f>[1]Result_notebook_retravaill!F104</f>
        <v>Expansion Extractive</v>
      </c>
      <c r="G104">
        <f>[1]Result_notebook_retravaill!G104</f>
        <v>14369.556871268551</v>
      </c>
      <c r="H104" s="3">
        <f>IF([1]Result_notebook_retravaill!I104&gt;[1]Result_notebook_retravaill!G104,[1]Result_notebook_retravaill!I104/[1]Result_notebook_retravaill!N104,[1]Result_notebook_retravaill!H104)</f>
        <v>4494</v>
      </c>
      <c r="I104" s="3">
        <f>[1]Result_notebook_retravaill!K104</f>
        <v>28164.083798337619</v>
      </c>
      <c r="J104" s="3">
        <f>MIN(G104,[1]Result_notebook_retravaill!I104)</f>
        <v>1906.2731367109659</v>
      </c>
      <c r="K104" s="3">
        <f>IF([1]Result_notebook_retravaill!I104&gt;[1]Result_notebook_retravaill!G104,0,IF([1]Result_notebook_retravaill!I104+[1]Result_notebook_retravaill!J104&gt;[1]Result_notebook_retravaill!G104,[1]Result_notebook_retravaill!G104-[1]Result_notebook_retravaill!I104,[1]Result_notebook_retravaill!J104))</f>
        <v>68.15032948631324</v>
      </c>
      <c r="L104" s="3">
        <f>IF([1]Result_notebook_retravaill!I104&gt;[1]Result_notebook_retravaill!G104,0,IF([1]Result_notebook_retravaill!I104+[1]Result_notebook_retravaill!J104&gt;[1]Result_notebook_retravaill!G104,0,[1]Result_notebook_retravaill!M104))</f>
        <v>12395.133405071268</v>
      </c>
    </row>
    <row r="105" spans="1:12">
      <c r="A105">
        <f>[1]Result_notebook_retravaill!A105</f>
        <v>2026</v>
      </c>
      <c r="B105" t="str">
        <f>[1]Result_notebook_retravaill!B105</f>
        <v>Cobalt</v>
      </c>
      <c r="C105" t="str">
        <f>[1]Result_notebook_retravaill!C105</f>
        <v>Global Net-zero</v>
      </c>
      <c r="D105" t="str">
        <f>[1]Result_notebook_retravaill!D105</f>
        <v>Production potential</v>
      </c>
      <c r="E105" t="str">
        <f>[1]Result_notebook_retravaill!E105</f>
        <v>Current shares</v>
      </c>
      <c r="F105" t="str">
        <f>[1]Result_notebook_retravaill!F105</f>
        <v>Expansion Extractive+Circularity</v>
      </c>
      <c r="G105">
        <f>[1]Result_notebook_retravaill!G105</f>
        <v>14369.556871268551</v>
      </c>
      <c r="H105" s="3">
        <f>IF([1]Result_notebook_retravaill!I105&gt;[1]Result_notebook_retravaill!G105,[1]Result_notebook_retravaill!I105/[1]Result_notebook_retravaill!N105,[1]Result_notebook_retravaill!H105)</f>
        <v>4494</v>
      </c>
      <c r="I105" s="3">
        <f>[1]Result_notebook_retravaill!K105</f>
        <v>28164.083798337619</v>
      </c>
      <c r="J105" s="3">
        <f>MIN(G105,[1]Result_notebook_retravaill!I105)</f>
        <v>1906.2731367109659</v>
      </c>
      <c r="K105" s="3">
        <f>IF([1]Result_notebook_retravaill!I105&gt;[1]Result_notebook_retravaill!G105,0,IF([1]Result_notebook_retravaill!I105+[1]Result_notebook_retravaill!J105&gt;[1]Result_notebook_retravaill!G105,[1]Result_notebook_retravaill!G105-[1]Result_notebook_retravaill!I105,[1]Result_notebook_retravaill!J105))</f>
        <v>68.15032948631324</v>
      </c>
      <c r="L105" s="3">
        <f>IF([1]Result_notebook_retravaill!I105&gt;[1]Result_notebook_retravaill!G105,0,IF([1]Result_notebook_retravaill!I105+[1]Result_notebook_retravaill!J105&gt;[1]Result_notebook_retravaill!G105,0,[1]Result_notebook_retravaill!M105))</f>
        <v>12395.133405071268</v>
      </c>
    </row>
    <row r="106" spans="1:12">
      <c r="A106">
        <f>[1]Result_notebook_retravaill!A106</f>
        <v>2026</v>
      </c>
      <c r="B106" t="str">
        <f>[1]Result_notebook_retravaill!B106</f>
        <v>Cobalt</v>
      </c>
      <c r="C106" t="str">
        <f>[1]Result_notebook_retravaill!C106</f>
        <v>Global Net-zero</v>
      </c>
      <c r="D106" t="str">
        <f>[1]Result_notebook_retravaill!D106</f>
        <v>Production potential</v>
      </c>
      <c r="E106" t="str">
        <f>[1]Result_notebook_retravaill!E106</f>
        <v>100% CAN</v>
      </c>
      <c r="F106" t="str">
        <f>[1]Result_notebook_retravaill!F106</f>
        <v>Integrated</v>
      </c>
      <c r="G106">
        <f>[1]Result_notebook_retravaill!G106</f>
        <v>14369.556871268551</v>
      </c>
      <c r="H106" s="3">
        <f>IF([1]Result_notebook_retravaill!I106&gt;[1]Result_notebook_retravaill!G106,[1]Result_notebook_retravaill!I106/[1]Result_notebook_retravaill!N106,[1]Result_notebook_retravaill!H106)</f>
        <v>4494</v>
      </c>
      <c r="I106" s="3">
        <f>[1]Result_notebook_retravaill!K106</f>
        <v>28164.083798337619</v>
      </c>
      <c r="J106" s="3">
        <f>MIN(G106,[1]Result_notebook_retravaill!I106)</f>
        <v>1974.423466197281</v>
      </c>
      <c r="K106" s="3">
        <f>IF([1]Result_notebook_retravaill!I106&gt;[1]Result_notebook_retravaill!G106,0,IF([1]Result_notebook_retravaill!I106+[1]Result_notebook_retravaill!J106&gt;[1]Result_notebook_retravaill!G106,[1]Result_notebook_retravaill!G106-[1]Result_notebook_retravaill!I106,[1]Result_notebook_retravaill!J106))</f>
        <v>-1.8189894035458565E-12</v>
      </c>
      <c r="L106" s="3">
        <f>IF([1]Result_notebook_retravaill!I106&gt;[1]Result_notebook_retravaill!G106,0,IF([1]Result_notebook_retravaill!I106+[1]Result_notebook_retravaill!J106&gt;[1]Result_notebook_retravaill!G106,0,[1]Result_notebook_retravaill!M106))</f>
        <v>12395.133405071272</v>
      </c>
    </row>
    <row r="107" spans="1:12">
      <c r="A107">
        <f>[1]Result_notebook_retravaill!A107</f>
        <v>2026</v>
      </c>
      <c r="B107" t="str">
        <f>[1]Result_notebook_retravaill!B107</f>
        <v>Copper</v>
      </c>
      <c r="C107" t="str">
        <f>[1]Result_notebook_retravaill!C107</f>
        <v>Canada Net-zero</v>
      </c>
      <c r="D107" t="str">
        <f>[1]Result_notebook_retravaill!D107</f>
        <v>Existing production</v>
      </c>
      <c r="E107" t="str">
        <f>[1]Result_notebook_retravaill!E107</f>
        <v>Current shares</v>
      </c>
      <c r="F107" t="str">
        <f>[1]Result_notebook_retravaill!F107</f>
        <v>NIMBY</v>
      </c>
      <c r="G107">
        <f>[1]Result_notebook_retravaill!G107</f>
        <v>845634.32805853861</v>
      </c>
      <c r="H107" s="3">
        <f>IF([1]Result_notebook_retravaill!I107&gt;[1]Result_notebook_retravaill!G107,[1]Result_notebook_retravaill!I107/[1]Result_notebook_retravaill!N107,[1]Result_notebook_retravaill!H107)</f>
        <v>0</v>
      </c>
      <c r="I107" s="3">
        <f>[1]Result_notebook_retravaill!K107</f>
        <v>1018836.539829565</v>
      </c>
      <c r="J107" s="3">
        <f>MIN(G107,[1]Result_notebook_retravaill!I107)</f>
        <v>0</v>
      </c>
      <c r="K107" s="3">
        <f>IF([1]Result_notebook_retravaill!I107&gt;[1]Result_notebook_retravaill!G107,0,IF([1]Result_notebook_retravaill!I107+[1]Result_notebook_retravaill!J107&gt;[1]Result_notebook_retravaill!G107,[1]Result_notebook_retravaill!G107-[1]Result_notebook_retravaill!I107,[1]Result_notebook_retravaill!J107))</f>
        <v>0</v>
      </c>
      <c r="L107" s="3">
        <f>IF([1]Result_notebook_retravaill!I107&gt;[1]Result_notebook_retravaill!G107,0,IF([1]Result_notebook_retravaill!I107+[1]Result_notebook_retravaill!J107&gt;[1]Result_notebook_retravaill!G107,0,[1]Result_notebook_retravaill!M107))</f>
        <v>845634.32805853861</v>
      </c>
    </row>
    <row r="108" spans="1:12">
      <c r="A108">
        <f>[1]Result_notebook_retravaill!A108</f>
        <v>2026</v>
      </c>
      <c r="B108" t="str">
        <f>[1]Result_notebook_retravaill!B108</f>
        <v>Copper</v>
      </c>
      <c r="C108" t="str">
        <f>[1]Result_notebook_retravaill!C108</f>
        <v>Canada Net-zero</v>
      </c>
      <c r="D108" t="str">
        <f>[1]Result_notebook_retravaill!D108</f>
        <v>Existing production</v>
      </c>
      <c r="E108" t="str">
        <f>[1]Result_notebook_retravaill!E108</f>
        <v>Current shares</v>
      </c>
      <c r="F108" t="str">
        <f>[1]Result_notebook_retravaill!F108</f>
        <v>Status Quo</v>
      </c>
      <c r="G108">
        <f>[1]Result_notebook_retravaill!G108</f>
        <v>845634.32805853861</v>
      </c>
      <c r="H108" s="3">
        <f>IF([1]Result_notebook_retravaill!I108&gt;[1]Result_notebook_retravaill!G108,[1]Result_notebook_retravaill!I108/[1]Result_notebook_retravaill!N108,[1]Result_notebook_retravaill!H108)</f>
        <v>475566</v>
      </c>
      <c r="I108" s="3">
        <f>[1]Result_notebook_retravaill!K108</f>
        <v>543270.53982956463</v>
      </c>
      <c r="J108" s="3">
        <f>MIN(G108,[1]Result_notebook_retravaill!I108)</f>
        <v>249961.62107116709</v>
      </c>
      <c r="K108" s="3">
        <f>IF([1]Result_notebook_retravaill!I108&gt;[1]Result_notebook_retravaill!G108,0,IF([1]Result_notebook_retravaill!I108+[1]Result_notebook_retravaill!J108&gt;[1]Result_notebook_retravaill!G108,[1]Result_notebook_retravaill!G108-[1]Result_notebook_retravaill!I108,[1]Result_notebook_retravaill!J108))</f>
        <v>147015.08231866322</v>
      </c>
      <c r="L108" s="3">
        <f>IF([1]Result_notebook_retravaill!I108&gt;[1]Result_notebook_retravaill!G108,0,IF([1]Result_notebook_retravaill!I108+[1]Result_notebook_retravaill!J108&gt;[1]Result_notebook_retravaill!G108,0,[1]Result_notebook_retravaill!M108))</f>
        <v>448657.6246687083</v>
      </c>
    </row>
    <row r="109" spans="1:12">
      <c r="A109">
        <f>[1]Result_notebook_retravaill!A109</f>
        <v>2026</v>
      </c>
      <c r="B109" t="str">
        <f>[1]Result_notebook_retravaill!B109</f>
        <v>Copper</v>
      </c>
      <c r="C109" t="str">
        <f>[1]Result_notebook_retravaill!C109</f>
        <v>Canada Net-zero</v>
      </c>
      <c r="D109" t="str">
        <f>[1]Result_notebook_retravaill!D109</f>
        <v>Production potential</v>
      </c>
      <c r="E109" t="str">
        <f>[1]Result_notebook_retravaill!E109</f>
        <v>Current shares</v>
      </c>
      <c r="F109" t="str">
        <f>[1]Result_notebook_retravaill!F109</f>
        <v>Expansion Extractive</v>
      </c>
      <c r="G109">
        <f>[1]Result_notebook_retravaill!G109</f>
        <v>845634.32805853861</v>
      </c>
      <c r="H109" s="3">
        <f>IF([1]Result_notebook_retravaill!I109&gt;[1]Result_notebook_retravaill!G109,[1]Result_notebook_retravaill!I109/[1]Result_notebook_retravaill!N109,[1]Result_notebook_retravaill!H109)</f>
        <v>562105.95050130773</v>
      </c>
      <c r="I109" s="3">
        <f>[1]Result_notebook_retravaill!K109</f>
        <v>456730.5893282569</v>
      </c>
      <c r="J109" s="3">
        <f>MIN(G109,[1]Result_notebook_retravaill!I109)</f>
        <v>295447.77086893527</v>
      </c>
      <c r="K109" s="3">
        <f>IF([1]Result_notebook_retravaill!I109&gt;[1]Result_notebook_retravaill!G109,0,IF([1]Result_notebook_retravaill!I109+[1]Result_notebook_retravaill!J109&gt;[1]Result_notebook_retravaill!G109,[1]Result_notebook_retravaill!G109-[1]Result_notebook_retravaill!I109,[1]Result_notebook_retravaill!J109))</f>
        <v>173767.78950715612</v>
      </c>
      <c r="L109" s="3">
        <f>IF([1]Result_notebook_retravaill!I109&gt;[1]Result_notebook_retravaill!G109,0,IF([1]Result_notebook_retravaill!I109+[1]Result_notebook_retravaill!J109&gt;[1]Result_notebook_retravaill!G109,0,[1]Result_notebook_retravaill!M109))</f>
        <v>376418.76768244721</v>
      </c>
    </row>
    <row r="110" spans="1:12">
      <c r="A110">
        <f>[1]Result_notebook_retravaill!A110</f>
        <v>2026</v>
      </c>
      <c r="B110" t="str">
        <f>[1]Result_notebook_retravaill!B110</f>
        <v>Copper</v>
      </c>
      <c r="C110" t="str">
        <f>[1]Result_notebook_retravaill!C110</f>
        <v>Canada Net-zero</v>
      </c>
      <c r="D110" t="str">
        <f>[1]Result_notebook_retravaill!D110</f>
        <v>Production potential</v>
      </c>
      <c r="E110" t="str">
        <f>[1]Result_notebook_retravaill!E110</f>
        <v>Current shares</v>
      </c>
      <c r="F110" t="str">
        <f>[1]Result_notebook_retravaill!F110</f>
        <v>Expansion Extractive+Circularity</v>
      </c>
      <c r="G110">
        <f>[1]Result_notebook_retravaill!G110</f>
        <v>845634.32805853861</v>
      </c>
      <c r="H110" s="3">
        <f>IF([1]Result_notebook_retravaill!I110&gt;[1]Result_notebook_retravaill!G110,[1]Result_notebook_retravaill!I110/[1]Result_notebook_retravaill!N110,[1]Result_notebook_retravaill!H110)</f>
        <v>562105.95050130773</v>
      </c>
      <c r="I110" s="3">
        <f>[1]Result_notebook_retravaill!K110</f>
        <v>456730.5893282569</v>
      </c>
      <c r="J110" s="3">
        <f>MIN(G110,[1]Result_notebook_retravaill!I110)</f>
        <v>295447.77086893527</v>
      </c>
      <c r="K110" s="3">
        <f>IF([1]Result_notebook_retravaill!I110&gt;[1]Result_notebook_retravaill!G110,0,IF([1]Result_notebook_retravaill!I110+[1]Result_notebook_retravaill!J110&gt;[1]Result_notebook_retravaill!G110,[1]Result_notebook_retravaill!G110-[1]Result_notebook_retravaill!I110,[1]Result_notebook_retravaill!J110))</f>
        <v>173767.78950715612</v>
      </c>
      <c r="L110" s="3">
        <f>IF([1]Result_notebook_retravaill!I110&gt;[1]Result_notebook_retravaill!G110,0,IF([1]Result_notebook_retravaill!I110+[1]Result_notebook_retravaill!J110&gt;[1]Result_notebook_retravaill!G110,0,[1]Result_notebook_retravaill!M110))</f>
        <v>376418.76768244721</v>
      </c>
    </row>
    <row r="111" spans="1:12">
      <c r="A111">
        <f>[1]Result_notebook_retravaill!A111</f>
        <v>2026</v>
      </c>
      <c r="B111" t="str">
        <f>[1]Result_notebook_retravaill!B111</f>
        <v>Copper</v>
      </c>
      <c r="C111" t="str">
        <f>[1]Result_notebook_retravaill!C111</f>
        <v>Canada Net-zero</v>
      </c>
      <c r="D111" t="str">
        <f>[1]Result_notebook_retravaill!D111</f>
        <v>Production potential</v>
      </c>
      <c r="E111" t="str">
        <f>[1]Result_notebook_retravaill!E111</f>
        <v>100% CAN</v>
      </c>
      <c r="F111" t="str">
        <f>[1]Result_notebook_retravaill!F111</f>
        <v>Integrated</v>
      </c>
      <c r="G111">
        <f>[1]Result_notebook_retravaill!G111</f>
        <v>845634.32805853861</v>
      </c>
      <c r="H111" s="3">
        <f>IF([1]Result_notebook_retravaill!I111&gt;[1]Result_notebook_retravaill!G111,[1]Result_notebook_retravaill!I111/[1]Result_notebook_retravaill!N111,[1]Result_notebook_retravaill!H111)</f>
        <v>562105.95050130773</v>
      </c>
      <c r="I111" s="3">
        <f>[1]Result_notebook_retravaill!K111</f>
        <v>456730.5893282569</v>
      </c>
      <c r="J111" s="3">
        <f>MIN(G111,[1]Result_notebook_retravaill!I111)</f>
        <v>469215.56037609163</v>
      </c>
      <c r="K111" s="3">
        <f>IF([1]Result_notebook_retravaill!I111&gt;[1]Result_notebook_retravaill!G111,0,IF([1]Result_notebook_retravaill!I111+[1]Result_notebook_retravaill!J111&gt;[1]Result_notebook_retravaill!G111,[1]Result_notebook_retravaill!G111-[1]Result_notebook_retravaill!I111,[1]Result_notebook_retravaill!J111))</f>
        <v>0</v>
      </c>
      <c r="L111" s="3">
        <f>IF([1]Result_notebook_retravaill!I111&gt;[1]Result_notebook_retravaill!G111,0,IF([1]Result_notebook_retravaill!I111+[1]Result_notebook_retravaill!J111&gt;[1]Result_notebook_retravaill!G111,0,[1]Result_notebook_retravaill!M111))</f>
        <v>376418.76768244698</v>
      </c>
    </row>
    <row r="112" spans="1:12">
      <c r="A112">
        <f>[1]Result_notebook_retravaill!A112</f>
        <v>2026</v>
      </c>
      <c r="B112" t="str">
        <f>[1]Result_notebook_retravaill!B112</f>
        <v>Copper</v>
      </c>
      <c r="C112" t="str">
        <f>[1]Result_notebook_retravaill!C112</f>
        <v>Current Measures</v>
      </c>
      <c r="D112" t="str">
        <f>[1]Result_notebook_retravaill!D112</f>
        <v>Existing production</v>
      </c>
      <c r="E112" t="str">
        <f>[1]Result_notebook_retravaill!E112</f>
        <v>Current shares</v>
      </c>
      <c r="F112" t="str">
        <f>[1]Result_notebook_retravaill!F112</f>
        <v>NIMBY</v>
      </c>
      <c r="G112">
        <f>[1]Result_notebook_retravaill!G112</f>
        <v>845257.87153819855</v>
      </c>
      <c r="H112" s="3">
        <f>IF([1]Result_notebook_retravaill!I112&gt;[1]Result_notebook_retravaill!G112,[1]Result_notebook_retravaill!I112/[1]Result_notebook_retravaill!N112,[1]Result_notebook_retravaill!H112)</f>
        <v>0</v>
      </c>
      <c r="I112" s="3">
        <f>[1]Result_notebook_retravaill!K112</f>
        <v>1018382.977756866</v>
      </c>
      <c r="J112" s="3">
        <f>MIN(G112,[1]Result_notebook_retravaill!I112)</f>
        <v>0</v>
      </c>
      <c r="K112" s="3">
        <f>IF([1]Result_notebook_retravaill!I112&gt;[1]Result_notebook_retravaill!G112,0,IF([1]Result_notebook_retravaill!I112+[1]Result_notebook_retravaill!J112&gt;[1]Result_notebook_retravaill!G112,[1]Result_notebook_retravaill!G112-[1]Result_notebook_retravaill!I112,[1]Result_notebook_retravaill!J112))</f>
        <v>0</v>
      </c>
      <c r="L112" s="3">
        <f>IF([1]Result_notebook_retravaill!I112&gt;[1]Result_notebook_retravaill!G112,0,IF([1]Result_notebook_retravaill!I112+[1]Result_notebook_retravaill!J112&gt;[1]Result_notebook_retravaill!G112,0,[1]Result_notebook_retravaill!M112))</f>
        <v>845257.87153819855</v>
      </c>
    </row>
    <row r="113" spans="1:12">
      <c r="A113">
        <f>[1]Result_notebook_retravaill!A113</f>
        <v>2026</v>
      </c>
      <c r="B113" t="str">
        <f>[1]Result_notebook_retravaill!B113</f>
        <v>Copper</v>
      </c>
      <c r="C113" t="str">
        <f>[1]Result_notebook_retravaill!C113</f>
        <v>Current Measures</v>
      </c>
      <c r="D113" t="str">
        <f>[1]Result_notebook_retravaill!D113</f>
        <v>Existing production</v>
      </c>
      <c r="E113" t="str">
        <f>[1]Result_notebook_retravaill!E113</f>
        <v>Current shares</v>
      </c>
      <c r="F113" t="str">
        <f>[1]Result_notebook_retravaill!F113</f>
        <v>Status Quo</v>
      </c>
      <c r="G113">
        <f>[1]Result_notebook_retravaill!G113</f>
        <v>845257.87153819855</v>
      </c>
      <c r="H113" s="3">
        <f>IF([1]Result_notebook_retravaill!I113&gt;[1]Result_notebook_retravaill!G113,[1]Result_notebook_retravaill!I113/[1]Result_notebook_retravaill!N113,[1]Result_notebook_retravaill!H113)</f>
        <v>475566</v>
      </c>
      <c r="I113" s="3">
        <f>[1]Result_notebook_retravaill!K113</f>
        <v>542816.97775686579</v>
      </c>
      <c r="J113" s="3">
        <f>MIN(G113,[1]Result_notebook_retravaill!I113)</f>
        <v>249961.62107116709</v>
      </c>
      <c r="K113" s="3">
        <f>IF([1]Result_notebook_retravaill!I113&gt;[1]Result_notebook_retravaill!G113,0,IF([1]Result_notebook_retravaill!I113+[1]Result_notebook_retravaill!J113&gt;[1]Result_notebook_retravaill!G113,[1]Result_notebook_retravaill!G113-[1]Result_notebook_retravaill!I113,[1]Result_notebook_retravaill!J113))</f>
        <v>147015.08231866322</v>
      </c>
      <c r="L113" s="3">
        <f>IF([1]Result_notebook_retravaill!I113&gt;[1]Result_notebook_retravaill!G113,0,IF([1]Result_notebook_retravaill!I113+[1]Result_notebook_retravaill!J113&gt;[1]Result_notebook_retravaill!G113,0,[1]Result_notebook_retravaill!M113))</f>
        <v>448281.16814836825</v>
      </c>
    </row>
    <row r="114" spans="1:12">
      <c r="A114">
        <f>[1]Result_notebook_retravaill!A114</f>
        <v>2026</v>
      </c>
      <c r="B114" t="str">
        <f>[1]Result_notebook_retravaill!B114</f>
        <v>Copper</v>
      </c>
      <c r="C114" t="str">
        <f>[1]Result_notebook_retravaill!C114</f>
        <v>Current Measures</v>
      </c>
      <c r="D114" t="str">
        <f>[1]Result_notebook_retravaill!D114</f>
        <v>Production potential</v>
      </c>
      <c r="E114" t="str">
        <f>[1]Result_notebook_retravaill!E114</f>
        <v>Current shares</v>
      </c>
      <c r="F114" t="str">
        <f>[1]Result_notebook_retravaill!F114</f>
        <v>Expansion Extractive</v>
      </c>
      <c r="G114">
        <f>[1]Result_notebook_retravaill!G114</f>
        <v>845257.87153819855</v>
      </c>
      <c r="H114" s="3">
        <f>IF([1]Result_notebook_retravaill!I114&gt;[1]Result_notebook_retravaill!G114,[1]Result_notebook_retravaill!I114/[1]Result_notebook_retravaill!N114,[1]Result_notebook_retravaill!H114)</f>
        <v>562105.95050130773</v>
      </c>
      <c r="I114" s="3">
        <f>[1]Result_notebook_retravaill!K114</f>
        <v>456277.02725555812</v>
      </c>
      <c r="J114" s="3">
        <f>MIN(G114,[1]Result_notebook_retravaill!I114)</f>
        <v>295447.77086893527</v>
      </c>
      <c r="K114" s="3">
        <f>IF([1]Result_notebook_retravaill!I114&gt;[1]Result_notebook_retravaill!G114,0,IF([1]Result_notebook_retravaill!I114+[1]Result_notebook_retravaill!J114&gt;[1]Result_notebook_retravaill!G114,[1]Result_notebook_retravaill!G114-[1]Result_notebook_retravaill!I114,[1]Result_notebook_retravaill!J114))</f>
        <v>173767.78950715612</v>
      </c>
      <c r="L114" s="3">
        <f>IF([1]Result_notebook_retravaill!I114&gt;[1]Result_notebook_retravaill!G114,0,IF([1]Result_notebook_retravaill!I114+[1]Result_notebook_retravaill!J114&gt;[1]Result_notebook_retravaill!G114,0,[1]Result_notebook_retravaill!M114))</f>
        <v>376042.31116210704</v>
      </c>
    </row>
    <row r="115" spans="1:12">
      <c r="A115">
        <f>[1]Result_notebook_retravaill!A115</f>
        <v>2026</v>
      </c>
      <c r="B115" t="str">
        <f>[1]Result_notebook_retravaill!B115</f>
        <v>Copper</v>
      </c>
      <c r="C115" t="str">
        <f>[1]Result_notebook_retravaill!C115</f>
        <v>Current Measures</v>
      </c>
      <c r="D115" t="str">
        <f>[1]Result_notebook_retravaill!D115</f>
        <v>Production potential</v>
      </c>
      <c r="E115" t="str">
        <f>[1]Result_notebook_retravaill!E115</f>
        <v>Current shares</v>
      </c>
      <c r="F115" t="str">
        <f>[1]Result_notebook_retravaill!F115</f>
        <v>Expansion Extractive+Circularity</v>
      </c>
      <c r="G115">
        <f>[1]Result_notebook_retravaill!G115</f>
        <v>845257.87153819855</v>
      </c>
      <c r="H115" s="3">
        <f>IF([1]Result_notebook_retravaill!I115&gt;[1]Result_notebook_retravaill!G115,[1]Result_notebook_retravaill!I115/[1]Result_notebook_retravaill!N115,[1]Result_notebook_retravaill!H115)</f>
        <v>562105.95050130773</v>
      </c>
      <c r="I115" s="3">
        <f>[1]Result_notebook_retravaill!K115</f>
        <v>456277.02725555812</v>
      </c>
      <c r="J115" s="3">
        <f>MIN(G115,[1]Result_notebook_retravaill!I115)</f>
        <v>295447.77086893527</v>
      </c>
      <c r="K115" s="3">
        <f>IF([1]Result_notebook_retravaill!I115&gt;[1]Result_notebook_retravaill!G115,0,IF([1]Result_notebook_retravaill!I115+[1]Result_notebook_retravaill!J115&gt;[1]Result_notebook_retravaill!G115,[1]Result_notebook_retravaill!G115-[1]Result_notebook_retravaill!I115,[1]Result_notebook_retravaill!J115))</f>
        <v>173767.78950715612</v>
      </c>
      <c r="L115" s="3">
        <f>IF([1]Result_notebook_retravaill!I115&gt;[1]Result_notebook_retravaill!G115,0,IF([1]Result_notebook_retravaill!I115+[1]Result_notebook_retravaill!J115&gt;[1]Result_notebook_retravaill!G115,0,[1]Result_notebook_retravaill!M115))</f>
        <v>376042.31116210704</v>
      </c>
    </row>
    <row r="116" spans="1:12">
      <c r="A116">
        <f>[1]Result_notebook_retravaill!A116</f>
        <v>2026</v>
      </c>
      <c r="B116" t="str">
        <f>[1]Result_notebook_retravaill!B116</f>
        <v>Copper</v>
      </c>
      <c r="C116" t="str">
        <f>[1]Result_notebook_retravaill!C116</f>
        <v>Current Measures</v>
      </c>
      <c r="D116" t="str">
        <f>[1]Result_notebook_retravaill!D116</f>
        <v>Production potential</v>
      </c>
      <c r="E116" t="str">
        <f>[1]Result_notebook_retravaill!E116</f>
        <v>100% CAN</v>
      </c>
      <c r="F116" t="str">
        <f>[1]Result_notebook_retravaill!F116</f>
        <v>Integrated</v>
      </c>
      <c r="G116">
        <f>[1]Result_notebook_retravaill!G116</f>
        <v>845257.87153819855</v>
      </c>
      <c r="H116" s="3">
        <f>IF([1]Result_notebook_retravaill!I116&gt;[1]Result_notebook_retravaill!G116,[1]Result_notebook_retravaill!I116/[1]Result_notebook_retravaill!N116,[1]Result_notebook_retravaill!H116)</f>
        <v>562105.95050130773</v>
      </c>
      <c r="I116" s="3">
        <f>[1]Result_notebook_retravaill!K116</f>
        <v>456277.02725555812</v>
      </c>
      <c r="J116" s="3">
        <f>MIN(G116,[1]Result_notebook_retravaill!I116)</f>
        <v>469215.56037609163</v>
      </c>
      <c r="K116" s="3">
        <f>IF([1]Result_notebook_retravaill!I116&gt;[1]Result_notebook_retravaill!G116,0,IF([1]Result_notebook_retravaill!I116+[1]Result_notebook_retravaill!J116&gt;[1]Result_notebook_retravaill!G116,[1]Result_notebook_retravaill!G116-[1]Result_notebook_retravaill!I116,[1]Result_notebook_retravaill!J116))</f>
        <v>0</v>
      </c>
      <c r="L116" s="3">
        <f>IF([1]Result_notebook_retravaill!I116&gt;[1]Result_notebook_retravaill!G116,0,IF([1]Result_notebook_retravaill!I116+[1]Result_notebook_retravaill!J116&gt;[1]Result_notebook_retravaill!G116,0,[1]Result_notebook_retravaill!M116))</f>
        <v>376042.31116210693</v>
      </c>
    </row>
    <row r="117" spans="1:12">
      <c r="A117">
        <f>[1]Result_notebook_retravaill!A117</f>
        <v>2026</v>
      </c>
      <c r="B117" t="str">
        <f>[1]Result_notebook_retravaill!B117</f>
        <v>Copper</v>
      </c>
      <c r="C117" t="str">
        <f>[1]Result_notebook_retravaill!C117</f>
        <v>Global Net-zero</v>
      </c>
      <c r="D117" t="str">
        <f>[1]Result_notebook_retravaill!D117</f>
        <v>Existing production</v>
      </c>
      <c r="E117" t="str">
        <f>[1]Result_notebook_retravaill!E117</f>
        <v>Current shares</v>
      </c>
      <c r="F117" t="str">
        <f>[1]Result_notebook_retravaill!F117</f>
        <v>NIMBY</v>
      </c>
      <c r="G117">
        <f>[1]Result_notebook_retravaill!G117</f>
        <v>837500.54212283459</v>
      </c>
      <c r="H117" s="3">
        <f>IF([1]Result_notebook_retravaill!I117&gt;[1]Result_notebook_retravaill!G117,[1]Result_notebook_retravaill!I117/[1]Result_notebook_retravaill!N117,[1]Result_notebook_retravaill!H117)</f>
        <v>0</v>
      </c>
      <c r="I117" s="3">
        <f>[1]Result_notebook_retravaill!K117</f>
        <v>1009036.797738355</v>
      </c>
      <c r="J117" s="3">
        <f>MIN(G117,[1]Result_notebook_retravaill!I117)</f>
        <v>0</v>
      </c>
      <c r="K117" s="3">
        <f>IF([1]Result_notebook_retravaill!I117&gt;[1]Result_notebook_retravaill!G117,0,IF([1]Result_notebook_retravaill!I117+[1]Result_notebook_retravaill!J117&gt;[1]Result_notebook_retravaill!G117,[1]Result_notebook_retravaill!G117-[1]Result_notebook_retravaill!I117,[1]Result_notebook_retravaill!J117))</f>
        <v>0</v>
      </c>
      <c r="L117" s="3">
        <f>IF([1]Result_notebook_retravaill!I117&gt;[1]Result_notebook_retravaill!G117,0,IF([1]Result_notebook_retravaill!I117+[1]Result_notebook_retravaill!J117&gt;[1]Result_notebook_retravaill!G117,0,[1]Result_notebook_retravaill!M117))</f>
        <v>837500.54212283459</v>
      </c>
    </row>
    <row r="118" spans="1:12">
      <c r="A118">
        <f>[1]Result_notebook_retravaill!A118</f>
        <v>2026</v>
      </c>
      <c r="B118" t="str">
        <f>[1]Result_notebook_retravaill!B118</f>
        <v>Copper</v>
      </c>
      <c r="C118" t="str">
        <f>[1]Result_notebook_retravaill!C118</f>
        <v>Global Net-zero</v>
      </c>
      <c r="D118" t="str">
        <f>[1]Result_notebook_retravaill!D118</f>
        <v>Existing production</v>
      </c>
      <c r="E118" t="str">
        <f>[1]Result_notebook_retravaill!E118</f>
        <v>Current shares</v>
      </c>
      <c r="F118" t="str">
        <f>[1]Result_notebook_retravaill!F118</f>
        <v>Status Quo</v>
      </c>
      <c r="G118">
        <f>[1]Result_notebook_retravaill!G118</f>
        <v>837500.54212283459</v>
      </c>
      <c r="H118" s="3">
        <f>IF([1]Result_notebook_retravaill!I118&gt;[1]Result_notebook_retravaill!G118,[1]Result_notebook_retravaill!I118/[1]Result_notebook_retravaill!N118,[1]Result_notebook_retravaill!H118)</f>
        <v>475566</v>
      </c>
      <c r="I118" s="3">
        <f>[1]Result_notebook_retravaill!K118</f>
        <v>533470.797738355</v>
      </c>
      <c r="J118" s="3">
        <f>MIN(G118,[1]Result_notebook_retravaill!I118)</f>
        <v>249961.62107116709</v>
      </c>
      <c r="K118" s="3">
        <f>IF([1]Result_notebook_retravaill!I118&gt;[1]Result_notebook_retravaill!G118,0,IF([1]Result_notebook_retravaill!I118+[1]Result_notebook_retravaill!J118&gt;[1]Result_notebook_retravaill!G118,[1]Result_notebook_retravaill!G118-[1]Result_notebook_retravaill!I118,[1]Result_notebook_retravaill!J118))</f>
        <v>147015.08231866322</v>
      </c>
      <c r="L118" s="3">
        <f>IF([1]Result_notebook_retravaill!I118&gt;[1]Result_notebook_retravaill!G118,0,IF([1]Result_notebook_retravaill!I118+[1]Result_notebook_retravaill!J118&gt;[1]Result_notebook_retravaill!G118,0,[1]Result_notebook_retravaill!M118))</f>
        <v>440523.83873300429</v>
      </c>
    </row>
    <row r="119" spans="1:12">
      <c r="A119">
        <f>[1]Result_notebook_retravaill!A119</f>
        <v>2026</v>
      </c>
      <c r="B119" t="str">
        <f>[1]Result_notebook_retravaill!B119</f>
        <v>Copper</v>
      </c>
      <c r="C119" t="str">
        <f>[1]Result_notebook_retravaill!C119</f>
        <v>Global Net-zero</v>
      </c>
      <c r="D119" t="str">
        <f>[1]Result_notebook_retravaill!D119</f>
        <v>Production potential</v>
      </c>
      <c r="E119" t="str">
        <f>[1]Result_notebook_retravaill!E119</f>
        <v>Current shares</v>
      </c>
      <c r="F119" t="str">
        <f>[1]Result_notebook_retravaill!F119</f>
        <v>Expansion Extractive</v>
      </c>
      <c r="G119">
        <f>[1]Result_notebook_retravaill!G119</f>
        <v>837500.54212283459</v>
      </c>
      <c r="H119" s="3">
        <f>IF([1]Result_notebook_retravaill!I119&gt;[1]Result_notebook_retravaill!G119,[1]Result_notebook_retravaill!I119/[1]Result_notebook_retravaill!N119,[1]Result_notebook_retravaill!H119)</f>
        <v>562105.95050130773</v>
      </c>
      <c r="I119" s="3">
        <f>[1]Result_notebook_retravaill!K119</f>
        <v>446930.84723704727</v>
      </c>
      <c r="J119" s="3">
        <f>MIN(G119,[1]Result_notebook_retravaill!I119)</f>
        <v>295447.77086893527</v>
      </c>
      <c r="K119" s="3">
        <f>IF([1]Result_notebook_retravaill!I119&gt;[1]Result_notebook_retravaill!G119,0,IF([1]Result_notebook_retravaill!I119+[1]Result_notebook_retravaill!J119&gt;[1]Result_notebook_retravaill!G119,[1]Result_notebook_retravaill!G119-[1]Result_notebook_retravaill!I119,[1]Result_notebook_retravaill!J119))</f>
        <v>173767.78950715612</v>
      </c>
      <c r="L119" s="3">
        <f>IF([1]Result_notebook_retravaill!I119&gt;[1]Result_notebook_retravaill!G119,0,IF([1]Result_notebook_retravaill!I119+[1]Result_notebook_retravaill!J119&gt;[1]Result_notebook_retravaill!G119,0,[1]Result_notebook_retravaill!M119))</f>
        <v>368284.98174674308</v>
      </c>
    </row>
    <row r="120" spans="1:12">
      <c r="A120">
        <f>[1]Result_notebook_retravaill!A120</f>
        <v>2026</v>
      </c>
      <c r="B120" t="str">
        <f>[1]Result_notebook_retravaill!B120</f>
        <v>Copper</v>
      </c>
      <c r="C120" t="str">
        <f>[1]Result_notebook_retravaill!C120</f>
        <v>Global Net-zero</v>
      </c>
      <c r="D120" t="str">
        <f>[1]Result_notebook_retravaill!D120</f>
        <v>Production potential</v>
      </c>
      <c r="E120" t="str">
        <f>[1]Result_notebook_retravaill!E120</f>
        <v>Current shares</v>
      </c>
      <c r="F120" t="str">
        <f>[1]Result_notebook_retravaill!F120</f>
        <v>Expansion Extractive+Circularity</v>
      </c>
      <c r="G120">
        <f>[1]Result_notebook_retravaill!G120</f>
        <v>837500.54212283459</v>
      </c>
      <c r="H120" s="3">
        <f>IF([1]Result_notebook_retravaill!I120&gt;[1]Result_notebook_retravaill!G120,[1]Result_notebook_retravaill!I120/[1]Result_notebook_retravaill!N120,[1]Result_notebook_retravaill!H120)</f>
        <v>562105.95050130773</v>
      </c>
      <c r="I120" s="3">
        <f>[1]Result_notebook_retravaill!K120</f>
        <v>446930.84723704727</v>
      </c>
      <c r="J120" s="3">
        <f>MIN(G120,[1]Result_notebook_retravaill!I120)</f>
        <v>295447.77086893527</v>
      </c>
      <c r="K120" s="3">
        <f>IF([1]Result_notebook_retravaill!I120&gt;[1]Result_notebook_retravaill!G120,0,IF([1]Result_notebook_retravaill!I120+[1]Result_notebook_retravaill!J120&gt;[1]Result_notebook_retravaill!G120,[1]Result_notebook_retravaill!G120-[1]Result_notebook_retravaill!I120,[1]Result_notebook_retravaill!J120))</f>
        <v>173767.78950715612</v>
      </c>
      <c r="L120" s="3">
        <f>IF([1]Result_notebook_retravaill!I120&gt;[1]Result_notebook_retravaill!G120,0,IF([1]Result_notebook_retravaill!I120+[1]Result_notebook_retravaill!J120&gt;[1]Result_notebook_retravaill!G120,0,[1]Result_notebook_retravaill!M120))</f>
        <v>368284.98174674308</v>
      </c>
    </row>
    <row r="121" spans="1:12">
      <c r="A121">
        <f>[1]Result_notebook_retravaill!A121</f>
        <v>2026</v>
      </c>
      <c r="B121" t="str">
        <f>[1]Result_notebook_retravaill!B121</f>
        <v>Copper</v>
      </c>
      <c r="C121" t="str">
        <f>[1]Result_notebook_retravaill!C121</f>
        <v>Global Net-zero</v>
      </c>
      <c r="D121" t="str">
        <f>[1]Result_notebook_retravaill!D121</f>
        <v>Production potential</v>
      </c>
      <c r="E121" t="str">
        <f>[1]Result_notebook_retravaill!E121</f>
        <v>100% CAN</v>
      </c>
      <c r="F121" t="str">
        <f>[1]Result_notebook_retravaill!F121</f>
        <v>Integrated</v>
      </c>
      <c r="G121">
        <f>[1]Result_notebook_retravaill!G121</f>
        <v>837500.54212283459</v>
      </c>
      <c r="H121" s="3">
        <f>IF([1]Result_notebook_retravaill!I121&gt;[1]Result_notebook_retravaill!G121,[1]Result_notebook_retravaill!I121/[1]Result_notebook_retravaill!N121,[1]Result_notebook_retravaill!H121)</f>
        <v>562105.95050130773</v>
      </c>
      <c r="I121" s="3">
        <f>[1]Result_notebook_retravaill!K121</f>
        <v>446930.84723704727</v>
      </c>
      <c r="J121" s="3">
        <f>MIN(G121,[1]Result_notebook_retravaill!I121)</f>
        <v>469215.56037609163</v>
      </c>
      <c r="K121" s="3">
        <f>IF([1]Result_notebook_retravaill!I121&gt;[1]Result_notebook_retravaill!G121,0,IF([1]Result_notebook_retravaill!I121+[1]Result_notebook_retravaill!J121&gt;[1]Result_notebook_retravaill!G121,[1]Result_notebook_retravaill!G121-[1]Result_notebook_retravaill!I121,[1]Result_notebook_retravaill!J121))</f>
        <v>0</v>
      </c>
      <c r="L121" s="3">
        <f>IF([1]Result_notebook_retravaill!I121&gt;[1]Result_notebook_retravaill!G121,0,IF([1]Result_notebook_retravaill!I121+[1]Result_notebook_retravaill!J121&gt;[1]Result_notebook_retravaill!G121,0,[1]Result_notebook_retravaill!M121))</f>
        <v>368284.98174674303</v>
      </c>
    </row>
    <row r="122" spans="1:12">
      <c r="A122">
        <f>[1]Result_notebook_retravaill!A122</f>
        <v>2026</v>
      </c>
      <c r="B122" t="str">
        <f>[1]Result_notebook_retravaill!B122</f>
        <v>Neodymium</v>
      </c>
      <c r="C122" t="str">
        <f>[1]Result_notebook_retravaill!C122</f>
        <v>Canada Net-zero</v>
      </c>
      <c r="D122" t="str">
        <f>[1]Result_notebook_retravaill!D122</f>
        <v>Existing production</v>
      </c>
      <c r="E122" t="str">
        <f>[1]Result_notebook_retravaill!E122</f>
        <v>Current shares</v>
      </c>
      <c r="F122" t="str">
        <f>[1]Result_notebook_retravaill!F122</f>
        <v>NIMBY</v>
      </c>
      <c r="G122">
        <f>[1]Result_notebook_retravaill!G122</f>
        <v>563.7311840881448</v>
      </c>
      <c r="H122" s="3">
        <f>IF([1]Result_notebook_retravaill!I122&gt;[1]Result_notebook_retravaill!G122,[1]Result_notebook_retravaill!I122/[1]Result_notebook_retravaill!N122,[1]Result_notebook_retravaill!H122)</f>
        <v>0</v>
      </c>
      <c r="I122" s="3">
        <f>[1]Result_notebook_retravaill!K122</f>
        <v>939.55197348024137</v>
      </c>
      <c r="J122" s="3">
        <f>MIN(G122,[1]Result_notebook_retravaill!I122)</f>
        <v>0</v>
      </c>
      <c r="K122" s="3">
        <f>IF([1]Result_notebook_retravaill!I122&gt;[1]Result_notebook_retravaill!G122,0,IF([1]Result_notebook_retravaill!I122+[1]Result_notebook_retravaill!J122&gt;[1]Result_notebook_retravaill!G122,[1]Result_notebook_retravaill!G122-[1]Result_notebook_retravaill!I122,[1]Result_notebook_retravaill!J122))</f>
        <v>0</v>
      </c>
      <c r="L122" s="3">
        <f>IF([1]Result_notebook_retravaill!I122&gt;[1]Result_notebook_retravaill!G122,0,IF([1]Result_notebook_retravaill!I122+[1]Result_notebook_retravaill!J122&gt;[1]Result_notebook_retravaill!G122,0,[1]Result_notebook_retravaill!M122))</f>
        <v>563.7311840881448</v>
      </c>
    </row>
    <row r="123" spans="1:12">
      <c r="A123">
        <f>[1]Result_notebook_retravaill!A123</f>
        <v>2026</v>
      </c>
      <c r="B123" t="str">
        <f>[1]Result_notebook_retravaill!B123</f>
        <v>Neodymium</v>
      </c>
      <c r="C123" t="str">
        <f>[1]Result_notebook_retravaill!C123</f>
        <v>Canada Net-zero</v>
      </c>
      <c r="D123" t="str">
        <f>[1]Result_notebook_retravaill!D123</f>
        <v>Existing production</v>
      </c>
      <c r="E123" t="str">
        <f>[1]Result_notebook_retravaill!E123</f>
        <v>Current shares</v>
      </c>
      <c r="F123" t="str">
        <f>[1]Result_notebook_retravaill!F123</f>
        <v>Status Quo</v>
      </c>
      <c r="G123">
        <f>[1]Result_notebook_retravaill!G123</f>
        <v>563.7311840881448</v>
      </c>
      <c r="H123" s="3">
        <f>IF([1]Result_notebook_retravaill!I123&gt;[1]Result_notebook_retravaill!G123,[1]Result_notebook_retravaill!I123/[1]Result_notebook_retravaill!N123,[1]Result_notebook_retravaill!H123)</f>
        <v>0</v>
      </c>
      <c r="I123" s="3">
        <f>[1]Result_notebook_retravaill!K123</f>
        <v>939.55197348024137</v>
      </c>
      <c r="J123" s="3">
        <f>MIN(G123,[1]Result_notebook_retravaill!I123)</f>
        <v>0</v>
      </c>
      <c r="K123" s="3">
        <f>IF([1]Result_notebook_retravaill!I123&gt;[1]Result_notebook_retravaill!G123,0,IF([1]Result_notebook_retravaill!I123+[1]Result_notebook_retravaill!J123&gt;[1]Result_notebook_retravaill!G123,[1]Result_notebook_retravaill!G123-[1]Result_notebook_retravaill!I123,[1]Result_notebook_retravaill!J123))</f>
        <v>0</v>
      </c>
      <c r="L123" s="3">
        <f>IF([1]Result_notebook_retravaill!I123&gt;[1]Result_notebook_retravaill!G123,0,IF([1]Result_notebook_retravaill!I123+[1]Result_notebook_retravaill!J123&gt;[1]Result_notebook_retravaill!G123,0,[1]Result_notebook_retravaill!M123))</f>
        <v>563.7311840881448</v>
      </c>
    </row>
    <row r="124" spans="1:12">
      <c r="A124">
        <f>[1]Result_notebook_retravaill!A124</f>
        <v>2026</v>
      </c>
      <c r="B124" t="str">
        <f>[1]Result_notebook_retravaill!B124</f>
        <v>Neodymium</v>
      </c>
      <c r="C124" t="str">
        <f>[1]Result_notebook_retravaill!C124</f>
        <v>Canada Net-zero</v>
      </c>
      <c r="D124" t="str">
        <f>[1]Result_notebook_retravaill!D124</f>
        <v>Production potential</v>
      </c>
      <c r="E124" t="str">
        <f>[1]Result_notebook_retravaill!E124</f>
        <v>Current shares</v>
      </c>
      <c r="F124" t="str">
        <f>[1]Result_notebook_retravaill!F124</f>
        <v>Expansion Extractive</v>
      </c>
      <c r="G124">
        <f>[1]Result_notebook_retravaill!G124</f>
        <v>563.7311840881448</v>
      </c>
      <c r="H124" s="3">
        <f>IF([1]Result_notebook_retravaill!I124&gt;[1]Result_notebook_retravaill!G124,[1]Result_notebook_retravaill!I124/[1]Result_notebook_retravaill!N124,[1]Result_notebook_retravaill!H124)</f>
        <v>3.8513667333084358</v>
      </c>
      <c r="I124" s="3">
        <f>[1]Result_notebook_retravaill!K124</f>
        <v>935.70060674693298</v>
      </c>
      <c r="J124" s="3">
        <f>MIN(G124,[1]Result_notebook_retravaill!I124)</f>
        <v>2.3052121187651879</v>
      </c>
      <c r="K124" s="3">
        <f>IF([1]Result_notebook_retravaill!I124&gt;[1]Result_notebook_retravaill!G124,0,IF([1]Result_notebook_retravaill!I124+[1]Result_notebook_retravaill!J124&gt;[1]Result_notebook_retravaill!G124,[1]Result_notebook_retravaill!G124-[1]Result_notebook_retravaill!I124,[1]Result_notebook_retravaill!J124))</f>
        <v>1.5461546145432479</v>
      </c>
      <c r="L124" s="3">
        <f>IF([1]Result_notebook_retravaill!I124&gt;[1]Result_notebook_retravaill!G124,0,IF([1]Result_notebook_retravaill!I124+[1]Result_notebook_retravaill!J124&gt;[1]Result_notebook_retravaill!G124,0,[1]Result_notebook_retravaill!M124))</f>
        <v>559.87981735483629</v>
      </c>
    </row>
    <row r="125" spans="1:12">
      <c r="A125">
        <f>[1]Result_notebook_retravaill!A125</f>
        <v>2026</v>
      </c>
      <c r="B125" t="str">
        <f>[1]Result_notebook_retravaill!B125</f>
        <v>Neodymium</v>
      </c>
      <c r="C125" t="str">
        <f>[1]Result_notebook_retravaill!C125</f>
        <v>Canada Net-zero</v>
      </c>
      <c r="D125" t="str">
        <f>[1]Result_notebook_retravaill!D125</f>
        <v>Production potential</v>
      </c>
      <c r="E125" t="str">
        <f>[1]Result_notebook_retravaill!E125</f>
        <v>Current shares</v>
      </c>
      <c r="F125" t="str">
        <f>[1]Result_notebook_retravaill!F125</f>
        <v>Expansion Extractive+Circularity</v>
      </c>
      <c r="G125">
        <f>[1]Result_notebook_retravaill!G125</f>
        <v>563.7311840881448</v>
      </c>
      <c r="H125" s="3">
        <f>IF([1]Result_notebook_retravaill!I125&gt;[1]Result_notebook_retravaill!G125,[1]Result_notebook_retravaill!I125/[1]Result_notebook_retravaill!N125,[1]Result_notebook_retravaill!H125)</f>
        <v>3.8513667333084358</v>
      </c>
      <c r="I125" s="3">
        <f>[1]Result_notebook_retravaill!K125</f>
        <v>935.70060674693298</v>
      </c>
      <c r="J125" s="3">
        <f>MIN(G125,[1]Result_notebook_retravaill!I125)</f>
        <v>2.3052121187651879</v>
      </c>
      <c r="K125" s="3">
        <f>IF([1]Result_notebook_retravaill!I125&gt;[1]Result_notebook_retravaill!G125,0,IF([1]Result_notebook_retravaill!I125+[1]Result_notebook_retravaill!J125&gt;[1]Result_notebook_retravaill!G125,[1]Result_notebook_retravaill!G125-[1]Result_notebook_retravaill!I125,[1]Result_notebook_retravaill!J125))</f>
        <v>1.5461546145432479</v>
      </c>
      <c r="L125" s="3">
        <f>IF([1]Result_notebook_retravaill!I125&gt;[1]Result_notebook_retravaill!G125,0,IF([1]Result_notebook_retravaill!I125+[1]Result_notebook_retravaill!J125&gt;[1]Result_notebook_retravaill!G125,0,[1]Result_notebook_retravaill!M125))</f>
        <v>559.87981735483629</v>
      </c>
    </row>
    <row r="126" spans="1:12">
      <c r="A126">
        <f>[1]Result_notebook_retravaill!A126</f>
        <v>2026</v>
      </c>
      <c r="B126" t="str">
        <f>[1]Result_notebook_retravaill!B126</f>
        <v>Neodymium</v>
      </c>
      <c r="C126" t="str">
        <f>[1]Result_notebook_retravaill!C126</f>
        <v>Canada Net-zero</v>
      </c>
      <c r="D126" t="str">
        <f>[1]Result_notebook_retravaill!D126</f>
        <v>Production potential</v>
      </c>
      <c r="E126" t="str">
        <f>[1]Result_notebook_retravaill!E126</f>
        <v>100% CAN</v>
      </c>
      <c r="F126" t="str">
        <f>[1]Result_notebook_retravaill!F126</f>
        <v>Integrated</v>
      </c>
      <c r="G126">
        <f>[1]Result_notebook_retravaill!G126</f>
        <v>563.7311840881448</v>
      </c>
      <c r="H126" s="3">
        <f>IF([1]Result_notebook_retravaill!I126&gt;[1]Result_notebook_retravaill!G126,[1]Result_notebook_retravaill!I126/[1]Result_notebook_retravaill!N126,[1]Result_notebook_retravaill!H126)</f>
        <v>3.8513667333084358</v>
      </c>
      <c r="I126" s="3">
        <f>[1]Result_notebook_retravaill!K126</f>
        <v>935.70060674693298</v>
      </c>
      <c r="J126" s="3">
        <f>MIN(G126,[1]Result_notebook_retravaill!I126)</f>
        <v>2.3052121187651879</v>
      </c>
      <c r="K126" s="3">
        <f>IF([1]Result_notebook_retravaill!I126&gt;[1]Result_notebook_retravaill!G126,0,IF([1]Result_notebook_retravaill!I126+[1]Result_notebook_retravaill!J126&gt;[1]Result_notebook_retravaill!G126,[1]Result_notebook_retravaill!G126-[1]Result_notebook_retravaill!I126,[1]Result_notebook_retravaill!J126))</f>
        <v>1.5461546145432479</v>
      </c>
      <c r="L126" s="3">
        <f>IF([1]Result_notebook_retravaill!I126&gt;[1]Result_notebook_retravaill!G126,0,IF([1]Result_notebook_retravaill!I126+[1]Result_notebook_retravaill!J126&gt;[1]Result_notebook_retravaill!G126,0,[1]Result_notebook_retravaill!M126))</f>
        <v>559.87981735483629</v>
      </c>
    </row>
    <row r="127" spans="1:12">
      <c r="A127">
        <f>[1]Result_notebook_retravaill!A127</f>
        <v>2026</v>
      </c>
      <c r="B127" t="str">
        <f>[1]Result_notebook_retravaill!B127</f>
        <v>Neodymium</v>
      </c>
      <c r="C127" t="str">
        <f>[1]Result_notebook_retravaill!C127</f>
        <v>Current Measures</v>
      </c>
      <c r="D127" t="str">
        <f>[1]Result_notebook_retravaill!D127</f>
        <v>Existing production</v>
      </c>
      <c r="E127" t="str">
        <f>[1]Result_notebook_retravaill!E127</f>
        <v>Current shares</v>
      </c>
      <c r="F127" t="str">
        <f>[1]Result_notebook_retravaill!F127</f>
        <v>NIMBY</v>
      </c>
      <c r="G127">
        <f>[1]Result_notebook_retravaill!G127</f>
        <v>395.17239379038261</v>
      </c>
      <c r="H127" s="3">
        <f>IF([1]Result_notebook_retravaill!I127&gt;[1]Result_notebook_retravaill!G127,[1]Result_notebook_retravaill!I127/[1]Result_notebook_retravaill!N127,[1]Result_notebook_retravaill!H127)</f>
        <v>0</v>
      </c>
      <c r="I127" s="3">
        <f>[1]Result_notebook_retravaill!K127</f>
        <v>658.62065631730434</v>
      </c>
      <c r="J127" s="3">
        <f>MIN(G127,[1]Result_notebook_retravaill!I127)</f>
        <v>0</v>
      </c>
      <c r="K127" s="3">
        <f>IF([1]Result_notebook_retravaill!I127&gt;[1]Result_notebook_retravaill!G127,0,IF([1]Result_notebook_retravaill!I127+[1]Result_notebook_retravaill!J127&gt;[1]Result_notebook_retravaill!G127,[1]Result_notebook_retravaill!G127-[1]Result_notebook_retravaill!I127,[1]Result_notebook_retravaill!J127))</f>
        <v>0</v>
      </c>
      <c r="L127" s="3">
        <f>IF([1]Result_notebook_retravaill!I127&gt;[1]Result_notebook_retravaill!G127,0,IF([1]Result_notebook_retravaill!I127+[1]Result_notebook_retravaill!J127&gt;[1]Result_notebook_retravaill!G127,0,[1]Result_notebook_retravaill!M127))</f>
        <v>395.17239379038261</v>
      </c>
    </row>
    <row r="128" spans="1:12">
      <c r="A128">
        <f>[1]Result_notebook_retravaill!A128</f>
        <v>2026</v>
      </c>
      <c r="B128" t="str">
        <f>[1]Result_notebook_retravaill!B128</f>
        <v>Neodymium</v>
      </c>
      <c r="C128" t="str">
        <f>[1]Result_notebook_retravaill!C128</f>
        <v>Current Measures</v>
      </c>
      <c r="D128" t="str">
        <f>[1]Result_notebook_retravaill!D128</f>
        <v>Existing production</v>
      </c>
      <c r="E128" t="str">
        <f>[1]Result_notebook_retravaill!E128</f>
        <v>Current shares</v>
      </c>
      <c r="F128" t="str">
        <f>[1]Result_notebook_retravaill!F128</f>
        <v>Status Quo</v>
      </c>
      <c r="G128">
        <f>[1]Result_notebook_retravaill!G128</f>
        <v>395.17239379038261</v>
      </c>
      <c r="H128" s="3">
        <f>IF([1]Result_notebook_retravaill!I128&gt;[1]Result_notebook_retravaill!G128,[1]Result_notebook_retravaill!I128/[1]Result_notebook_retravaill!N128,[1]Result_notebook_retravaill!H128)</f>
        <v>0</v>
      </c>
      <c r="I128" s="3">
        <f>[1]Result_notebook_retravaill!K128</f>
        <v>658.62065631730434</v>
      </c>
      <c r="J128" s="3">
        <f>MIN(G128,[1]Result_notebook_retravaill!I128)</f>
        <v>0</v>
      </c>
      <c r="K128" s="3">
        <f>IF([1]Result_notebook_retravaill!I128&gt;[1]Result_notebook_retravaill!G128,0,IF([1]Result_notebook_retravaill!I128+[1]Result_notebook_retravaill!J128&gt;[1]Result_notebook_retravaill!G128,[1]Result_notebook_retravaill!G128-[1]Result_notebook_retravaill!I128,[1]Result_notebook_retravaill!J128))</f>
        <v>0</v>
      </c>
      <c r="L128" s="3">
        <f>IF([1]Result_notebook_retravaill!I128&gt;[1]Result_notebook_retravaill!G128,0,IF([1]Result_notebook_retravaill!I128+[1]Result_notebook_retravaill!J128&gt;[1]Result_notebook_retravaill!G128,0,[1]Result_notebook_retravaill!M128))</f>
        <v>395.17239379038261</v>
      </c>
    </row>
    <row r="129" spans="1:12">
      <c r="A129">
        <f>[1]Result_notebook_retravaill!A129</f>
        <v>2026</v>
      </c>
      <c r="B129" t="str">
        <f>[1]Result_notebook_retravaill!B129</f>
        <v>Neodymium</v>
      </c>
      <c r="C129" t="str">
        <f>[1]Result_notebook_retravaill!C129</f>
        <v>Current Measures</v>
      </c>
      <c r="D129" t="str">
        <f>[1]Result_notebook_retravaill!D129</f>
        <v>Production potential</v>
      </c>
      <c r="E129" t="str">
        <f>[1]Result_notebook_retravaill!E129</f>
        <v>Current shares</v>
      </c>
      <c r="F129" t="str">
        <f>[1]Result_notebook_retravaill!F129</f>
        <v>Expansion Extractive</v>
      </c>
      <c r="G129">
        <f>[1]Result_notebook_retravaill!G129</f>
        <v>395.17239379038261</v>
      </c>
      <c r="H129" s="3">
        <f>IF([1]Result_notebook_retravaill!I129&gt;[1]Result_notebook_retravaill!G129,[1]Result_notebook_retravaill!I129/[1]Result_notebook_retravaill!N129,[1]Result_notebook_retravaill!H129)</f>
        <v>3.8513667333084358</v>
      </c>
      <c r="I129" s="3">
        <f>[1]Result_notebook_retravaill!K129</f>
        <v>654.76928958399594</v>
      </c>
      <c r="J129" s="3">
        <f>MIN(G129,[1]Result_notebook_retravaill!I129)</f>
        <v>2.3052121187651879</v>
      </c>
      <c r="K129" s="3">
        <f>IF([1]Result_notebook_retravaill!I129&gt;[1]Result_notebook_retravaill!G129,0,IF([1]Result_notebook_retravaill!I129+[1]Result_notebook_retravaill!J129&gt;[1]Result_notebook_retravaill!G129,[1]Result_notebook_retravaill!G129-[1]Result_notebook_retravaill!I129,[1]Result_notebook_retravaill!J129))</f>
        <v>1.5461546145432479</v>
      </c>
      <c r="L129" s="3">
        <f>IF([1]Result_notebook_retravaill!I129&gt;[1]Result_notebook_retravaill!G129,0,IF([1]Result_notebook_retravaill!I129+[1]Result_notebook_retravaill!J129&gt;[1]Result_notebook_retravaill!G129,0,[1]Result_notebook_retravaill!M129))</f>
        <v>391.32102705707416</v>
      </c>
    </row>
    <row r="130" spans="1:12">
      <c r="A130">
        <f>[1]Result_notebook_retravaill!A130</f>
        <v>2026</v>
      </c>
      <c r="B130" t="str">
        <f>[1]Result_notebook_retravaill!B130</f>
        <v>Neodymium</v>
      </c>
      <c r="C130" t="str">
        <f>[1]Result_notebook_retravaill!C130</f>
        <v>Current Measures</v>
      </c>
      <c r="D130" t="str">
        <f>[1]Result_notebook_retravaill!D130</f>
        <v>Production potential</v>
      </c>
      <c r="E130" t="str">
        <f>[1]Result_notebook_retravaill!E130</f>
        <v>Current shares</v>
      </c>
      <c r="F130" t="str">
        <f>[1]Result_notebook_retravaill!F130</f>
        <v>Expansion Extractive+Circularity</v>
      </c>
      <c r="G130">
        <f>[1]Result_notebook_retravaill!G130</f>
        <v>395.17239379038261</v>
      </c>
      <c r="H130" s="3">
        <f>IF([1]Result_notebook_retravaill!I130&gt;[1]Result_notebook_retravaill!G130,[1]Result_notebook_retravaill!I130/[1]Result_notebook_retravaill!N130,[1]Result_notebook_retravaill!H130)</f>
        <v>3.8513667333084358</v>
      </c>
      <c r="I130" s="3">
        <f>[1]Result_notebook_retravaill!K130</f>
        <v>654.76928958399594</v>
      </c>
      <c r="J130" s="3">
        <f>MIN(G130,[1]Result_notebook_retravaill!I130)</f>
        <v>2.3052121187651879</v>
      </c>
      <c r="K130" s="3">
        <f>IF([1]Result_notebook_retravaill!I130&gt;[1]Result_notebook_retravaill!G130,0,IF([1]Result_notebook_retravaill!I130+[1]Result_notebook_retravaill!J130&gt;[1]Result_notebook_retravaill!G130,[1]Result_notebook_retravaill!G130-[1]Result_notebook_retravaill!I130,[1]Result_notebook_retravaill!J130))</f>
        <v>1.5461546145432479</v>
      </c>
      <c r="L130" s="3">
        <f>IF([1]Result_notebook_retravaill!I130&gt;[1]Result_notebook_retravaill!G130,0,IF([1]Result_notebook_retravaill!I130+[1]Result_notebook_retravaill!J130&gt;[1]Result_notebook_retravaill!G130,0,[1]Result_notebook_retravaill!M130))</f>
        <v>391.32102705707416</v>
      </c>
    </row>
    <row r="131" spans="1:12">
      <c r="A131">
        <f>[1]Result_notebook_retravaill!A131</f>
        <v>2026</v>
      </c>
      <c r="B131" t="str">
        <f>[1]Result_notebook_retravaill!B131</f>
        <v>Neodymium</v>
      </c>
      <c r="C131" t="str">
        <f>[1]Result_notebook_retravaill!C131</f>
        <v>Current Measures</v>
      </c>
      <c r="D131" t="str">
        <f>[1]Result_notebook_retravaill!D131</f>
        <v>Production potential</v>
      </c>
      <c r="E131" t="str">
        <f>[1]Result_notebook_retravaill!E131</f>
        <v>100% CAN</v>
      </c>
      <c r="F131" t="str">
        <f>[1]Result_notebook_retravaill!F131</f>
        <v>Integrated</v>
      </c>
      <c r="G131">
        <f>[1]Result_notebook_retravaill!G131</f>
        <v>395.17239379038261</v>
      </c>
      <c r="H131" s="3">
        <f>IF([1]Result_notebook_retravaill!I131&gt;[1]Result_notebook_retravaill!G131,[1]Result_notebook_retravaill!I131/[1]Result_notebook_retravaill!N131,[1]Result_notebook_retravaill!H131)</f>
        <v>3.8513667333084358</v>
      </c>
      <c r="I131" s="3">
        <f>[1]Result_notebook_retravaill!K131</f>
        <v>654.76928958399594</v>
      </c>
      <c r="J131" s="3">
        <f>MIN(G131,[1]Result_notebook_retravaill!I131)</f>
        <v>2.3052121187651879</v>
      </c>
      <c r="K131" s="3">
        <f>IF([1]Result_notebook_retravaill!I131&gt;[1]Result_notebook_retravaill!G131,0,IF([1]Result_notebook_retravaill!I131+[1]Result_notebook_retravaill!J131&gt;[1]Result_notebook_retravaill!G131,[1]Result_notebook_retravaill!G131-[1]Result_notebook_retravaill!I131,[1]Result_notebook_retravaill!J131))</f>
        <v>1.5461546145432479</v>
      </c>
      <c r="L131" s="3">
        <f>IF([1]Result_notebook_retravaill!I131&gt;[1]Result_notebook_retravaill!G131,0,IF([1]Result_notebook_retravaill!I131+[1]Result_notebook_retravaill!J131&gt;[1]Result_notebook_retravaill!G131,0,[1]Result_notebook_retravaill!M131))</f>
        <v>391.32102705707416</v>
      </c>
    </row>
    <row r="132" spans="1:12">
      <c r="A132">
        <f>[1]Result_notebook_retravaill!A132</f>
        <v>2026</v>
      </c>
      <c r="B132" t="str">
        <f>[1]Result_notebook_retravaill!B132</f>
        <v>Neodymium</v>
      </c>
      <c r="C132" t="str">
        <f>[1]Result_notebook_retravaill!C132</f>
        <v>Global Net-zero</v>
      </c>
      <c r="D132" t="str">
        <f>[1]Result_notebook_retravaill!D132</f>
        <v>Existing production</v>
      </c>
      <c r="E132" t="str">
        <f>[1]Result_notebook_retravaill!E132</f>
        <v>Current shares</v>
      </c>
      <c r="F132" t="str">
        <f>[1]Result_notebook_retravaill!F132</f>
        <v>NIMBY</v>
      </c>
      <c r="G132">
        <f>[1]Result_notebook_retravaill!G132</f>
        <v>557.3784617330648</v>
      </c>
      <c r="H132" s="3">
        <f>IF([1]Result_notebook_retravaill!I132&gt;[1]Result_notebook_retravaill!G132,[1]Result_notebook_retravaill!I132/[1]Result_notebook_retravaill!N132,[1]Result_notebook_retravaill!H132)</f>
        <v>0</v>
      </c>
      <c r="I132" s="3">
        <f>[1]Result_notebook_retravaill!K132</f>
        <v>928.9641028884414</v>
      </c>
      <c r="J132" s="3">
        <f>MIN(G132,[1]Result_notebook_retravaill!I132)</f>
        <v>0</v>
      </c>
      <c r="K132" s="3">
        <f>IF([1]Result_notebook_retravaill!I132&gt;[1]Result_notebook_retravaill!G132,0,IF([1]Result_notebook_retravaill!I132+[1]Result_notebook_retravaill!J132&gt;[1]Result_notebook_retravaill!G132,[1]Result_notebook_retravaill!G132-[1]Result_notebook_retravaill!I132,[1]Result_notebook_retravaill!J132))</f>
        <v>0</v>
      </c>
      <c r="L132" s="3">
        <f>IF([1]Result_notebook_retravaill!I132&gt;[1]Result_notebook_retravaill!G132,0,IF([1]Result_notebook_retravaill!I132+[1]Result_notebook_retravaill!J132&gt;[1]Result_notebook_retravaill!G132,0,[1]Result_notebook_retravaill!M132))</f>
        <v>557.3784617330648</v>
      </c>
    </row>
    <row r="133" spans="1:12">
      <c r="A133">
        <f>[1]Result_notebook_retravaill!A133</f>
        <v>2026</v>
      </c>
      <c r="B133" t="str">
        <f>[1]Result_notebook_retravaill!B133</f>
        <v>Neodymium</v>
      </c>
      <c r="C133" t="str">
        <f>[1]Result_notebook_retravaill!C133</f>
        <v>Global Net-zero</v>
      </c>
      <c r="D133" t="str">
        <f>[1]Result_notebook_retravaill!D133</f>
        <v>Existing production</v>
      </c>
      <c r="E133" t="str">
        <f>[1]Result_notebook_retravaill!E133</f>
        <v>Current shares</v>
      </c>
      <c r="F133" t="str">
        <f>[1]Result_notebook_retravaill!F133</f>
        <v>Status Quo</v>
      </c>
      <c r="G133">
        <f>[1]Result_notebook_retravaill!G133</f>
        <v>557.3784617330648</v>
      </c>
      <c r="H133" s="3">
        <f>IF([1]Result_notebook_retravaill!I133&gt;[1]Result_notebook_retravaill!G133,[1]Result_notebook_retravaill!I133/[1]Result_notebook_retravaill!N133,[1]Result_notebook_retravaill!H133)</f>
        <v>0</v>
      </c>
      <c r="I133" s="3">
        <f>[1]Result_notebook_retravaill!K133</f>
        <v>928.9641028884414</v>
      </c>
      <c r="J133" s="3">
        <f>MIN(G133,[1]Result_notebook_retravaill!I133)</f>
        <v>0</v>
      </c>
      <c r="K133" s="3">
        <f>IF([1]Result_notebook_retravaill!I133&gt;[1]Result_notebook_retravaill!G133,0,IF([1]Result_notebook_retravaill!I133+[1]Result_notebook_retravaill!J133&gt;[1]Result_notebook_retravaill!G133,[1]Result_notebook_retravaill!G133-[1]Result_notebook_retravaill!I133,[1]Result_notebook_retravaill!J133))</f>
        <v>0</v>
      </c>
      <c r="L133" s="3">
        <f>IF([1]Result_notebook_retravaill!I133&gt;[1]Result_notebook_retravaill!G133,0,IF([1]Result_notebook_retravaill!I133+[1]Result_notebook_retravaill!J133&gt;[1]Result_notebook_retravaill!G133,0,[1]Result_notebook_retravaill!M133))</f>
        <v>557.3784617330648</v>
      </c>
    </row>
    <row r="134" spans="1:12">
      <c r="A134">
        <f>[1]Result_notebook_retravaill!A134</f>
        <v>2026</v>
      </c>
      <c r="B134" t="str">
        <f>[1]Result_notebook_retravaill!B134</f>
        <v>Neodymium</v>
      </c>
      <c r="C134" t="str">
        <f>[1]Result_notebook_retravaill!C134</f>
        <v>Global Net-zero</v>
      </c>
      <c r="D134" t="str">
        <f>[1]Result_notebook_retravaill!D134</f>
        <v>Production potential</v>
      </c>
      <c r="E134" t="str">
        <f>[1]Result_notebook_retravaill!E134</f>
        <v>Current shares</v>
      </c>
      <c r="F134" t="str">
        <f>[1]Result_notebook_retravaill!F134</f>
        <v>Expansion Extractive</v>
      </c>
      <c r="G134">
        <f>[1]Result_notebook_retravaill!G134</f>
        <v>557.3784617330648</v>
      </c>
      <c r="H134" s="3">
        <f>IF([1]Result_notebook_retravaill!I134&gt;[1]Result_notebook_retravaill!G134,[1]Result_notebook_retravaill!I134/[1]Result_notebook_retravaill!N134,[1]Result_notebook_retravaill!H134)</f>
        <v>3.8513667333084358</v>
      </c>
      <c r="I134" s="3">
        <f>[1]Result_notebook_retravaill!K134</f>
        <v>925.11273615513301</v>
      </c>
      <c r="J134" s="3">
        <f>MIN(G134,[1]Result_notebook_retravaill!I134)</f>
        <v>2.3052121187651879</v>
      </c>
      <c r="K134" s="3">
        <f>IF([1]Result_notebook_retravaill!I134&gt;[1]Result_notebook_retravaill!G134,0,IF([1]Result_notebook_retravaill!I134+[1]Result_notebook_retravaill!J134&gt;[1]Result_notebook_retravaill!G134,[1]Result_notebook_retravaill!G134-[1]Result_notebook_retravaill!I134,[1]Result_notebook_retravaill!J134))</f>
        <v>1.5461546145432479</v>
      </c>
      <c r="L134" s="3">
        <f>IF([1]Result_notebook_retravaill!I134&gt;[1]Result_notebook_retravaill!G134,0,IF([1]Result_notebook_retravaill!I134+[1]Result_notebook_retravaill!J134&gt;[1]Result_notebook_retravaill!G134,0,[1]Result_notebook_retravaill!M134))</f>
        <v>553.52709499975629</v>
      </c>
    </row>
    <row r="135" spans="1:12">
      <c r="A135">
        <f>[1]Result_notebook_retravaill!A135</f>
        <v>2026</v>
      </c>
      <c r="B135" t="str">
        <f>[1]Result_notebook_retravaill!B135</f>
        <v>Neodymium</v>
      </c>
      <c r="C135" t="str">
        <f>[1]Result_notebook_retravaill!C135</f>
        <v>Global Net-zero</v>
      </c>
      <c r="D135" t="str">
        <f>[1]Result_notebook_retravaill!D135</f>
        <v>Production potential</v>
      </c>
      <c r="E135" t="str">
        <f>[1]Result_notebook_retravaill!E135</f>
        <v>Current shares</v>
      </c>
      <c r="F135" t="str">
        <f>[1]Result_notebook_retravaill!F135</f>
        <v>Expansion Extractive+Circularity</v>
      </c>
      <c r="G135">
        <f>[1]Result_notebook_retravaill!G135</f>
        <v>557.3784617330648</v>
      </c>
      <c r="H135" s="3">
        <f>IF([1]Result_notebook_retravaill!I135&gt;[1]Result_notebook_retravaill!G135,[1]Result_notebook_retravaill!I135/[1]Result_notebook_retravaill!N135,[1]Result_notebook_retravaill!H135)</f>
        <v>3.8513667333084358</v>
      </c>
      <c r="I135" s="3">
        <f>[1]Result_notebook_retravaill!K135</f>
        <v>925.11273615513301</v>
      </c>
      <c r="J135" s="3">
        <f>MIN(G135,[1]Result_notebook_retravaill!I135)</f>
        <v>2.3052121187651879</v>
      </c>
      <c r="K135" s="3">
        <f>IF([1]Result_notebook_retravaill!I135&gt;[1]Result_notebook_retravaill!G135,0,IF([1]Result_notebook_retravaill!I135+[1]Result_notebook_retravaill!J135&gt;[1]Result_notebook_retravaill!G135,[1]Result_notebook_retravaill!G135-[1]Result_notebook_retravaill!I135,[1]Result_notebook_retravaill!J135))</f>
        <v>1.5461546145432479</v>
      </c>
      <c r="L135" s="3">
        <f>IF([1]Result_notebook_retravaill!I135&gt;[1]Result_notebook_retravaill!G135,0,IF([1]Result_notebook_retravaill!I135+[1]Result_notebook_retravaill!J135&gt;[1]Result_notebook_retravaill!G135,0,[1]Result_notebook_retravaill!M135))</f>
        <v>553.52709499975629</v>
      </c>
    </row>
    <row r="136" spans="1:12">
      <c r="A136">
        <f>[1]Result_notebook_retravaill!A136</f>
        <v>2026</v>
      </c>
      <c r="B136" t="str">
        <f>[1]Result_notebook_retravaill!B136</f>
        <v>Neodymium</v>
      </c>
      <c r="C136" t="str">
        <f>[1]Result_notebook_retravaill!C136</f>
        <v>Global Net-zero</v>
      </c>
      <c r="D136" t="str">
        <f>[1]Result_notebook_retravaill!D136</f>
        <v>Production potential</v>
      </c>
      <c r="E136" t="str">
        <f>[1]Result_notebook_retravaill!E136</f>
        <v>100% CAN</v>
      </c>
      <c r="F136" t="str">
        <f>[1]Result_notebook_retravaill!F136</f>
        <v>Integrated</v>
      </c>
      <c r="G136">
        <f>[1]Result_notebook_retravaill!G136</f>
        <v>557.3784617330648</v>
      </c>
      <c r="H136" s="3">
        <f>IF([1]Result_notebook_retravaill!I136&gt;[1]Result_notebook_retravaill!G136,[1]Result_notebook_retravaill!I136/[1]Result_notebook_retravaill!N136,[1]Result_notebook_retravaill!H136)</f>
        <v>3.8513667333084358</v>
      </c>
      <c r="I136" s="3">
        <f>[1]Result_notebook_retravaill!K136</f>
        <v>925.11273615513301</v>
      </c>
      <c r="J136" s="3">
        <f>MIN(G136,[1]Result_notebook_retravaill!I136)</f>
        <v>2.3052121187651879</v>
      </c>
      <c r="K136" s="3">
        <f>IF([1]Result_notebook_retravaill!I136&gt;[1]Result_notebook_retravaill!G136,0,IF([1]Result_notebook_retravaill!I136+[1]Result_notebook_retravaill!J136&gt;[1]Result_notebook_retravaill!G136,[1]Result_notebook_retravaill!G136-[1]Result_notebook_retravaill!I136,[1]Result_notebook_retravaill!J136))</f>
        <v>1.5461546145432479</v>
      </c>
      <c r="L136" s="3">
        <f>IF([1]Result_notebook_retravaill!I136&gt;[1]Result_notebook_retravaill!G136,0,IF([1]Result_notebook_retravaill!I136+[1]Result_notebook_retravaill!J136&gt;[1]Result_notebook_retravaill!G136,0,[1]Result_notebook_retravaill!M136))</f>
        <v>553.52709499975629</v>
      </c>
    </row>
    <row r="137" spans="1:12">
      <c r="A137">
        <f>[1]Result_notebook_retravaill!A137</f>
        <v>2026</v>
      </c>
      <c r="B137" t="str">
        <f>[1]Result_notebook_retravaill!B137</f>
        <v>Nickel</v>
      </c>
      <c r="C137" t="str">
        <f>[1]Result_notebook_retravaill!C137</f>
        <v>Canada Net-zero</v>
      </c>
      <c r="D137" t="str">
        <f>[1]Result_notebook_retravaill!D137</f>
        <v>Existing production</v>
      </c>
      <c r="E137" t="str">
        <f>[1]Result_notebook_retravaill!E137</f>
        <v>Current shares</v>
      </c>
      <c r="F137" t="str">
        <f>[1]Result_notebook_retravaill!F137</f>
        <v>NIMBY</v>
      </c>
      <c r="G137">
        <f>[1]Result_notebook_retravaill!G137</f>
        <v>29818.531857293401</v>
      </c>
      <c r="H137" s="3">
        <f>IF([1]Result_notebook_retravaill!I137&gt;[1]Result_notebook_retravaill!G137,[1]Result_notebook_retravaill!I137/[1]Result_notebook_retravaill!N137,[1]Result_notebook_retravaill!H137)</f>
        <v>0</v>
      </c>
      <c r="I137" s="3">
        <f>[1]Result_notebook_retravaill!K137</f>
        <v>37744.97703454861</v>
      </c>
      <c r="J137" s="3">
        <f>MIN(G137,[1]Result_notebook_retravaill!I137)</f>
        <v>0</v>
      </c>
      <c r="K137" s="3">
        <f>IF([1]Result_notebook_retravaill!I137&gt;[1]Result_notebook_retravaill!G137,0,IF([1]Result_notebook_retravaill!I137+[1]Result_notebook_retravaill!J137&gt;[1]Result_notebook_retravaill!G137,[1]Result_notebook_retravaill!G137-[1]Result_notebook_retravaill!I137,[1]Result_notebook_retravaill!J137))</f>
        <v>0</v>
      </c>
      <c r="L137" s="3">
        <f>IF([1]Result_notebook_retravaill!I137&gt;[1]Result_notebook_retravaill!G137,0,IF([1]Result_notebook_retravaill!I137+[1]Result_notebook_retravaill!J137&gt;[1]Result_notebook_retravaill!G137,0,[1]Result_notebook_retravaill!M137))</f>
        <v>29818.531857293401</v>
      </c>
    </row>
    <row r="138" spans="1:12">
      <c r="A138">
        <f>[1]Result_notebook_retravaill!A138</f>
        <v>2026</v>
      </c>
      <c r="B138" t="str">
        <f>[1]Result_notebook_retravaill!B138</f>
        <v>Nickel</v>
      </c>
      <c r="C138" t="str">
        <f>[1]Result_notebook_retravaill!C138</f>
        <v>Canada Net-zero</v>
      </c>
      <c r="D138" t="str">
        <f>[1]Result_notebook_retravaill!D138</f>
        <v>Existing production</v>
      </c>
      <c r="E138" t="str">
        <f>[1]Result_notebook_retravaill!E138</f>
        <v>Current shares</v>
      </c>
      <c r="F138" t="str">
        <f>[1]Result_notebook_retravaill!F138</f>
        <v>Status Quo</v>
      </c>
      <c r="G138">
        <f>[1]Result_notebook_retravaill!G138</f>
        <v>29818.531857293401</v>
      </c>
      <c r="H138" s="3">
        <f>IF([1]Result_notebook_retravaill!I138&gt;[1]Result_notebook_retravaill!G138,[1]Result_notebook_retravaill!I138/[1]Result_notebook_retravaill!N138,[1]Result_notebook_retravaill!H138)</f>
        <v>127185.24196697887</v>
      </c>
      <c r="I138" s="3">
        <f>[1]Result_notebook_retravaill!K138</f>
        <v>0</v>
      </c>
      <c r="J138" s="3">
        <f>MIN(G138,[1]Result_notebook_retravaill!I138)</f>
        <v>29818.531857293401</v>
      </c>
      <c r="K138" s="3">
        <f>IF([1]Result_notebook_retravaill!I138&gt;[1]Result_notebook_retravaill!G138,0,IF([1]Result_notebook_retravaill!I138+[1]Result_notebook_retravaill!J138&gt;[1]Result_notebook_retravaill!G138,[1]Result_notebook_retravaill!G138-[1]Result_notebook_retravaill!I138,[1]Result_notebook_retravaill!J138))</f>
        <v>0</v>
      </c>
      <c r="L138" s="3">
        <f>IF([1]Result_notebook_retravaill!I138&gt;[1]Result_notebook_retravaill!G138,0,IF([1]Result_notebook_retravaill!I138+[1]Result_notebook_retravaill!J138&gt;[1]Result_notebook_retravaill!G138,0,[1]Result_notebook_retravaill!M138))</f>
        <v>0</v>
      </c>
    </row>
    <row r="139" spans="1:12">
      <c r="A139">
        <f>[1]Result_notebook_retravaill!A139</f>
        <v>2026</v>
      </c>
      <c r="B139" t="str">
        <f>[1]Result_notebook_retravaill!B139</f>
        <v>Nickel</v>
      </c>
      <c r="C139" t="str">
        <f>[1]Result_notebook_retravaill!C139</f>
        <v>Canada Net-zero</v>
      </c>
      <c r="D139" t="str">
        <f>[1]Result_notebook_retravaill!D139</f>
        <v>Production potential</v>
      </c>
      <c r="E139" t="str">
        <f>[1]Result_notebook_retravaill!E139</f>
        <v>Current shares</v>
      </c>
      <c r="F139" t="str">
        <f>[1]Result_notebook_retravaill!F139</f>
        <v>Expansion Extractive</v>
      </c>
      <c r="G139">
        <f>[1]Result_notebook_retravaill!G139</f>
        <v>29818.531857293401</v>
      </c>
      <c r="H139" s="3">
        <f>IF([1]Result_notebook_retravaill!I139&gt;[1]Result_notebook_retravaill!G139,[1]Result_notebook_retravaill!I139/[1]Result_notebook_retravaill!N139,[1]Result_notebook_retravaill!H139)</f>
        <v>167630.15533014096</v>
      </c>
      <c r="I139" s="3">
        <f>[1]Result_notebook_retravaill!K139</f>
        <v>0</v>
      </c>
      <c r="J139" s="3">
        <f>MIN(G139,[1]Result_notebook_retravaill!I139)</f>
        <v>29818.531857293401</v>
      </c>
      <c r="K139" s="3">
        <f>IF([1]Result_notebook_retravaill!I139&gt;[1]Result_notebook_retravaill!G139,0,IF([1]Result_notebook_retravaill!I139+[1]Result_notebook_retravaill!J139&gt;[1]Result_notebook_retravaill!G139,[1]Result_notebook_retravaill!G139-[1]Result_notebook_retravaill!I139,[1]Result_notebook_retravaill!J139))</f>
        <v>0</v>
      </c>
      <c r="L139" s="3">
        <f>IF([1]Result_notebook_retravaill!I139&gt;[1]Result_notebook_retravaill!G139,0,IF([1]Result_notebook_retravaill!I139+[1]Result_notebook_retravaill!J139&gt;[1]Result_notebook_retravaill!G139,0,[1]Result_notebook_retravaill!M139))</f>
        <v>0</v>
      </c>
    </row>
    <row r="140" spans="1:12">
      <c r="A140">
        <f>[1]Result_notebook_retravaill!A140</f>
        <v>2026</v>
      </c>
      <c r="B140" t="str">
        <f>[1]Result_notebook_retravaill!B140</f>
        <v>Nickel</v>
      </c>
      <c r="C140" t="str">
        <f>[1]Result_notebook_retravaill!C140</f>
        <v>Canada Net-zero</v>
      </c>
      <c r="D140" t="str">
        <f>[1]Result_notebook_retravaill!D140</f>
        <v>Production potential</v>
      </c>
      <c r="E140" t="str">
        <f>[1]Result_notebook_retravaill!E140</f>
        <v>Current shares</v>
      </c>
      <c r="F140" t="str">
        <f>[1]Result_notebook_retravaill!F140</f>
        <v>Expansion Extractive+Circularity</v>
      </c>
      <c r="G140">
        <f>[1]Result_notebook_retravaill!G140</f>
        <v>29818.531857293401</v>
      </c>
      <c r="H140" s="3">
        <f>IF([1]Result_notebook_retravaill!I140&gt;[1]Result_notebook_retravaill!G140,[1]Result_notebook_retravaill!I140/[1]Result_notebook_retravaill!N140,[1]Result_notebook_retravaill!H140)</f>
        <v>167630.15533014096</v>
      </c>
      <c r="I140" s="3">
        <f>[1]Result_notebook_retravaill!K140</f>
        <v>0</v>
      </c>
      <c r="J140" s="3">
        <f>MIN(G140,[1]Result_notebook_retravaill!I140)</f>
        <v>29818.531857293401</v>
      </c>
      <c r="K140" s="3">
        <f>IF([1]Result_notebook_retravaill!I140&gt;[1]Result_notebook_retravaill!G140,0,IF([1]Result_notebook_retravaill!I140+[1]Result_notebook_retravaill!J140&gt;[1]Result_notebook_retravaill!G140,[1]Result_notebook_retravaill!G140-[1]Result_notebook_retravaill!I140,[1]Result_notebook_retravaill!J140))</f>
        <v>0</v>
      </c>
      <c r="L140" s="3">
        <f>IF([1]Result_notebook_retravaill!I140&gt;[1]Result_notebook_retravaill!G140,0,IF([1]Result_notebook_retravaill!I140+[1]Result_notebook_retravaill!J140&gt;[1]Result_notebook_retravaill!G140,0,[1]Result_notebook_retravaill!M140))</f>
        <v>0</v>
      </c>
    </row>
    <row r="141" spans="1:12">
      <c r="A141">
        <f>[1]Result_notebook_retravaill!A141</f>
        <v>2026</v>
      </c>
      <c r="B141" t="str">
        <f>[1]Result_notebook_retravaill!B141</f>
        <v>Nickel</v>
      </c>
      <c r="C141" t="str">
        <f>[1]Result_notebook_retravaill!C141</f>
        <v>Canada Net-zero</v>
      </c>
      <c r="D141" t="str">
        <f>[1]Result_notebook_retravaill!D141</f>
        <v>Production potential</v>
      </c>
      <c r="E141" t="str">
        <f>[1]Result_notebook_retravaill!E141</f>
        <v>100% CAN</v>
      </c>
      <c r="F141" t="str">
        <f>[1]Result_notebook_retravaill!F141</f>
        <v>Integrated</v>
      </c>
      <c r="G141">
        <f>[1]Result_notebook_retravaill!G141</f>
        <v>29818.531857293401</v>
      </c>
      <c r="H141" s="3">
        <f>IF([1]Result_notebook_retravaill!I141&gt;[1]Result_notebook_retravaill!G141,[1]Result_notebook_retravaill!I141/[1]Result_notebook_retravaill!N141,[1]Result_notebook_retravaill!H141)</f>
        <v>235376.47332675057</v>
      </c>
      <c r="I141" s="3">
        <f>[1]Result_notebook_retravaill!K141</f>
        <v>0</v>
      </c>
      <c r="J141" s="3">
        <f>MIN(G141,[1]Result_notebook_retravaill!I141)</f>
        <v>29818.531857293401</v>
      </c>
      <c r="K141" s="3">
        <f>IF([1]Result_notebook_retravaill!I141&gt;[1]Result_notebook_retravaill!G141,0,IF([1]Result_notebook_retravaill!I141+[1]Result_notebook_retravaill!J141&gt;[1]Result_notebook_retravaill!G141,[1]Result_notebook_retravaill!G141-[1]Result_notebook_retravaill!I141,[1]Result_notebook_retravaill!J141))</f>
        <v>0</v>
      </c>
      <c r="L141" s="3">
        <f>IF([1]Result_notebook_retravaill!I141&gt;[1]Result_notebook_retravaill!G141,0,IF([1]Result_notebook_retravaill!I141+[1]Result_notebook_retravaill!J141&gt;[1]Result_notebook_retravaill!G141,0,[1]Result_notebook_retravaill!M141))</f>
        <v>0</v>
      </c>
    </row>
    <row r="142" spans="1:12">
      <c r="A142">
        <f>[1]Result_notebook_retravaill!A142</f>
        <v>2026</v>
      </c>
      <c r="B142" t="str">
        <f>[1]Result_notebook_retravaill!B142</f>
        <v>Nickel</v>
      </c>
      <c r="C142" t="str">
        <f>[1]Result_notebook_retravaill!C142</f>
        <v>Current Measures</v>
      </c>
      <c r="D142" t="str">
        <f>[1]Result_notebook_retravaill!D142</f>
        <v>Existing production</v>
      </c>
      <c r="E142" t="str">
        <f>[1]Result_notebook_retravaill!E142</f>
        <v>Current shares</v>
      </c>
      <c r="F142" t="str">
        <f>[1]Result_notebook_retravaill!F142</f>
        <v>NIMBY</v>
      </c>
      <c r="G142">
        <f>[1]Result_notebook_retravaill!G142</f>
        <v>24449.44165617535</v>
      </c>
      <c r="H142" s="3">
        <f>IF([1]Result_notebook_retravaill!I142&gt;[1]Result_notebook_retravaill!G142,[1]Result_notebook_retravaill!I142/[1]Result_notebook_retravaill!N142,[1]Result_notebook_retravaill!H142)</f>
        <v>0</v>
      </c>
      <c r="I142" s="3">
        <f>[1]Result_notebook_retravaill!K142</f>
        <v>30948.660324272591</v>
      </c>
      <c r="J142" s="3">
        <f>MIN(G142,[1]Result_notebook_retravaill!I142)</f>
        <v>0</v>
      </c>
      <c r="K142" s="3">
        <f>IF([1]Result_notebook_retravaill!I142&gt;[1]Result_notebook_retravaill!G142,0,IF([1]Result_notebook_retravaill!I142+[1]Result_notebook_retravaill!J142&gt;[1]Result_notebook_retravaill!G142,[1]Result_notebook_retravaill!G142-[1]Result_notebook_retravaill!I142,[1]Result_notebook_retravaill!J142))</f>
        <v>0</v>
      </c>
      <c r="L142" s="3">
        <f>IF([1]Result_notebook_retravaill!I142&gt;[1]Result_notebook_retravaill!G142,0,IF([1]Result_notebook_retravaill!I142+[1]Result_notebook_retravaill!J142&gt;[1]Result_notebook_retravaill!G142,0,[1]Result_notebook_retravaill!M142))</f>
        <v>24449.44165617535</v>
      </c>
    </row>
    <row r="143" spans="1:12">
      <c r="A143">
        <f>[1]Result_notebook_retravaill!A143</f>
        <v>2026</v>
      </c>
      <c r="B143" t="str">
        <f>[1]Result_notebook_retravaill!B143</f>
        <v>Nickel</v>
      </c>
      <c r="C143" t="str">
        <f>[1]Result_notebook_retravaill!C143</f>
        <v>Current Measures</v>
      </c>
      <c r="D143" t="str">
        <f>[1]Result_notebook_retravaill!D143</f>
        <v>Existing production</v>
      </c>
      <c r="E143" t="str">
        <f>[1]Result_notebook_retravaill!E143</f>
        <v>Current shares</v>
      </c>
      <c r="F143" t="str">
        <f>[1]Result_notebook_retravaill!F143</f>
        <v>Status Quo</v>
      </c>
      <c r="G143">
        <f>[1]Result_notebook_retravaill!G143</f>
        <v>24449.44165617535</v>
      </c>
      <c r="H143" s="3">
        <f>IF([1]Result_notebook_retravaill!I143&gt;[1]Result_notebook_retravaill!G143,[1]Result_notebook_retravaill!I143/[1]Result_notebook_retravaill!N143,[1]Result_notebook_retravaill!H143)</f>
        <v>127185.24196697887</v>
      </c>
      <c r="I143" s="3">
        <f>[1]Result_notebook_retravaill!K143</f>
        <v>0</v>
      </c>
      <c r="J143" s="3">
        <f>MIN(G143,[1]Result_notebook_retravaill!I143)</f>
        <v>24449.44165617535</v>
      </c>
      <c r="K143" s="3">
        <f>IF([1]Result_notebook_retravaill!I143&gt;[1]Result_notebook_retravaill!G143,0,IF([1]Result_notebook_retravaill!I143+[1]Result_notebook_retravaill!J143&gt;[1]Result_notebook_retravaill!G143,[1]Result_notebook_retravaill!G143-[1]Result_notebook_retravaill!I143,[1]Result_notebook_retravaill!J143))</f>
        <v>0</v>
      </c>
      <c r="L143" s="3">
        <f>IF([1]Result_notebook_retravaill!I143&gt;[1]Result_notebook_retravaill!G143,0,IF([1]Result_notebook_retravaill!I143+[1]Result_notebook_retravaill!J143&gt;[1]Result_notebook_retravaill!G143,0,[1]Result_notebook_retravaill!M143))</f>
        <v>0</v>
      </c>
    </row>
    <row r="144" spans="1:12">
      <c r="A144">
        <f>[1]Result_notebook_retravaill!A144</f>
        <v>2026</v>
      </c>
      <c r="B144" t="str">
        <f>[1]Result_notebook_retravaill!B144</f>
        <v>Nickel</v>
      </c>
      <c r="C144" t="str">
        <f>[1]Result_notebook_retravaill!C144</f>
        <v>Current Measures</v>
      </c>
      <c r="D144" t="str">
        <f>[1]Result_notebook_retravaill!D144</f>
        <v>Production potential</v>
      </c>
      <c r="E144" t="str">
        <f>[1]Result_notebook_retravaill!E144</f>
        <v>Current shares</v>
      </c>
      <c r="F144" t="str">
        <f>[1]Result_notebook_retravaill!F144</f>
        <v>Expansion Extractive</v>
      </c>
      <c r="G144">
        <f>[1]Result_notebook_retravaill!G144</f>
        <v>24449.44165617535</v>
      </c>
      <c r="H144" s="3">
        <f>IF([1]Result_notebook_retravaill!I144&gt;[1]Result_notebook_retravaill!G144,[1]Result_notebook_retravaill!I144/[1]Result_notebook_retravaill!N144,[1]Result_notebook_retravaill!H144)</f>
        <v>167630.15533014096</v>
      </c>
      <c r="I144" s="3">
        <f>[1]Result_notebook_retravaill!K144</f>
        <v>0</v>
      </c>
      <c r="J144" s="3">
        <f>MIN(G144,[1]Result_notebook_retravaill!I144)</f>
        <v>24449.44165617535</v>
      </c>
      <c r="K144" s="3">
        <f>IF([1]Result_notebook_retravaill!I144&gt;[1]Result_notebook_retravaill!G144,0,IF([1]Result_notebook_retravaill!I144+[1]Result_notebook_retravaill!J144&gt;[1]Result_notebook_retravaill!G144,[1]Result_notebook_retravaill!G144-[1]Result_notebook_retravaill!I144,[1]Result_notebook_retravaill!J144))</f>
        <v>0</v>
      </c>
      <c r="L144" s="3">
        <f>IF([1]Result_notebook_retravaill!I144&gt;[1]Result_notebook_retravaill!G144,0,IF([1]Result_notebook_retravaill!I144+[1]Result_notebook_retravaill!J144&gt;[1]Result_notebook_retravaill!G144,0,[1]Result_notebook_retravaill!M144))</f>
        <v>0</v>
      </c>
    </row>
    <row r="145" spans="1:12">
      <c r="A145">
        <f>[1]Result_notebook_retravaill!A145</f>
        <v>2026</v>
      </c>
      <c r="B145" t="str">
        <f>[1]Result_notebook_retravaill!B145</f>
        <v>Nickel</v>
      </c>
      <c r="C145" t="str">
        <f>[1]Result_notebook_retravaill!C145</f>
        <v>Current Measures</v>
      </c>
      <c r="D145" t="str">
        <f>[1]Result_notebook_retravaill!D145</f>
        <v>Production potential</v>
      </c>
      <c r="E145" t="str">
        <f>[1]Result_notebook_retravaill!E145</f>
        <v>Current shares</v>
      </c>
      <c r="F145" t="str">
        <f>[1]Result_notebook_retravaill!F145</f>
        <v>Expansion Extractive+Circularity</v>
      </c>
      <c r="G145">
        <f>[1]Result_notebook_retravaill!G145</f>
        <v>24449.44165617535</v>
      </c>
      <c r="H145" s="3">
        <f>IF([1]Result_notebook_retravaill!I145&gt;[1]Result_notebook_retravaill!G145,[1]Result_notebook_retravaill!I145/[1]Result_notebook_retravaill!N145,[1]Result_notebook_retravaill!H145)</f>
        <v>167630.15533014096</v>
      </c>
      <c r="I145" s="3">
        <f>[1]Result_notebook_retravaill!K145</f>
        <v>0</v>
      </c>
      <c r="J145" s="3">
        <f>MIN(G145,[1]Result_notebook_retravaill!I145)</f>
        <v>24449.44165617535</v>
      </c>
      <c r="K145" s="3">
        <f>IF([1]Result_notebook_retravaill!I145&gt;[1]Result_notebook_retravaill!G145,0,IF([1]Result_notebook_retravaill!I145+[1]Result_notebook_retravaill!J145&gt;[1]Result_notebook_retravaill!G145,[1]Result_notebook_retravaill!G145-[1]Result_notebook_retravaill!I145,[1]Result_notebook_retravaill!J145))</f>
        <v>0</v>
      </c>
      <c r="L145" s="3">
        <f>IF([1]Result_notebook_retravaill!I145&gt;[1]Result_notebook_retravaill!G145,0,IF([1]Result_notebook_retravaill!I145+[1]Result_notebook_retravaill!J145&gt;[1]Result_notebook_retravaill!G145,0,[1]Result_notebook_retravaill!M145))</f>
        <v>0</v>
      </c>
    </row>
    <row r="146" spans="1:12">
      <c r="A146">
        <f>[1]Result_notebook_retravaill!A146</f>
        <v>2026</v>
      </c>
      <c r="B146" t="str">
        <f>[1]Result_notebook_retravaill!B146</f>
        <v>Nickel</v>
      </c>
      <c r="C146" t="str">
        <f>[1]Result_notebook_retravaill!C146</f>
        <v>Current Measures</v>
      </c>
      <c r="D146" t="str">
        <f>[1]Result_notebook_retravaill!D146</f>
        <v>Production potential</v>
      </c>
      <c r="E146" t="str">
        <f>[1]Result_notebook_retravaill!E146</f>
        <v>100% CAN</v>
      </c>
      <c r="F146" t="str">
        <f>[1]Result_notebook_retravaill!F146</f>
        <v>Integrated</v>
      </c>
      <c r="G146">
        <f>[1]Result_notebook_retravaill!G146</f>
        <v>24449.44165617535</v>
      </c>
      <c r="H146" s="3">
        <f>IF([1]Result_notebook_retravaill!I146&gt;[1]Result_notebook_retravaill!G146,[1]Result_notebook_retravaill!I146/[1]Result_notebook_retravaill!N146,[1]Result_notebook_retravaill!H146)</f>
        <v>235376.47332675057</v>
      </c>
      <c r="I146" s="3">
        <f>[1]Result_notebook_retravaill!K146</f>
        <v>0</v>
      </c>
      <c r="J146" s="3">
        <f>MIN(G146,[1]Result_notebook_retravaill!I146)</f>
        <v>24449.44165617535</v>
      </c>
      <c r="K146" s="3">
        <f>IF([1]Result_notebook_retravaill!I146&gt;[1]Result_notebook_retravaill!G146,0,IF([1]Result_notebook_retravaill!I146+[1]Result_notebook_retravaill!J146&gt;[1]Result_notebook_retravaill!G146,[1]Result_notebook_retravaill!G146-[1]Result_notebook_retravaill!I146,[1]Result_notebook_retravaill!J146))</f>
        <v>0</v>
      </c>
      <c r="L146" s="3">
        <f>IF([1]Result_notebook_retravaill!I146&gt;[1]Result_notebook_retravaill!G146,0,IF([1]Result_notebook_retravaill!I146+[1]Result_notebook_retravaill!J146&gt;[1]Result_notebook_retravaill!G146,0,[1]Result_notebook_retravaill!M146))</f>
        <v>0</v>
      </c>
    </row>
    <row r="147" spans="1:12">
      <c r="A147">
        <f>[1]Result_notebook_retravaill!A147</f>
        <v>2026</v>
      </c>
      <c r="B147" t="str">
        <f>[1]Result_notebook_retravaill!B147</f>
        <v>Nickel</v>
      </c>
      <c r="C147" t="str">
        <f>[1]Result_notebook_retravaill!C147</f>
        <v>Global Net-zero</v>
      </c>
      <c r="D147" t="str">
        <f>[1]Result_notebook_retravaill!D147</f>
        <v>Existing production</v>
      </c>
      <c r="E147" t="str">
        <f>[1]Result_notebook_retravaill!E147</f>
        <v>Current shares</v>
      </c>
      <c r="F147" t="str">
        <f>[1]Result_notebook_retravaill!F147</f>
        <v>NIMBY</v>
      </c>
      <c r="G147">
        <f>[1]Result_notebook_retravaill!G147</f>
        <v>28983.298578402391</v>
      </c>
      <c r="H147" s="3">
        <f>IF([1]Result_notebook_retravaill!I147&gt;[1]Result_notebook_retravaill!G147,[1]Result_notebook_retravaill!I147/[1]Result_notebook_retravaill!N147,[1]Result_notebook_retravaill!H147)</f>
        <v>0</v>
      </c>
      <c r="I147" s="3">
        <f>[1]Result_notebook_retravaill!K147</f>
        <v>36687.719719496687</v>
      </c>
      <c r="J147" s="3">
        <f>MIN(G147,[1]Result_notebook_retravaill!I147)</f>
        <v>0</v>
      </c>
      <c r="K147" s="3">
        <f>IF([1]Result_notebook_retravaill!I147&gt;[1]Result_notebook_retravaill!G147,0,IF([1]Result_notebook_retravaill!I147+[1]Result_notebook_retravaill!J147&gt;[1]Result_notebook_retravaill!G147,[1]Result_notebook_retravaill!G147-[1]Result_notebook_retravaill!I147,[1]Result_notebook_retravaill!J147))</f>
        <v>0</v>
      </c>
      <c r="L147" s="3">
        <f>IF([1]Result_notebook_retravaill!I147&gt;[1]Result_notebook_retravaill!G147,0,IF([1]Result_notebook_retravaill!I147+[1]Result_notebook_retravaill!J147&gt;[1]Result_notebook_retravaill!G147,0,[1]Result_notebook_retravaill!M147))</f>
        <v>28983.298578402391</v>
      </c>
    </row>
    <row r="148" spans="1:12">
      <c r="A148">
        <f>[1]Result_notebook_retravaill!A148</f>
        <v>2026</v>
      </c>
      <c r="B148" t="str">
        <f>[1]Result_notebook_retravaill!B148</f>
        <v>Nickel</v>
      </c>
      <c r="C148" t="str">
        <f>[1]Result_notebook_retravaill!C148</f>
        <v>Global Net-zero</v>
      </c>
      <c r="D148" t="str">
        <f>[1]Result_notebook_retravaill!D148</f>
        <v>Existing production</v>
      </c>
      <c r="E148" t="str">
        <f>[1]Result_notebook_retravaill!E148</f>
        <v>Current shares</v>
      </c>
      <c r="F148" t="str">
        <f>[1]Result_notebook_retravaill!F148</f>
        <v>Status Quo</v>
      </c>
      <c r="G148">
        <f>[1]Result_notebook_retravaill!G148</f>
        <v>28983.298578402391</v>
      </c>
      <c r="H148" s="3">
        <f>IF([1]Result_notebook_retravaill!I148&gt;[1]Result_notebook_retravaill!G148,[1]Result_notebook_retravaill!I148/[1]Result_notebook_retravaill!N148,[1]Result_notebook_retravaill!H148)</f>
        <v>127185.24196697887</v>
      </c>
      <c r="I148" s="3">
        <f>[1]Result_notebook_retravaill!K148</f>
        <v>0</v>
      </c>
      <c r="J148" s="3">
        <f>MIN(G148,[1]Result_notebook_retravaill!I148)</f>
        <v>28983.298578402391</v>
      </c>
      <c r="K148" s="3">
        <f>IF([1]Result_notebook_retravaill!I148&gt;[1]Result_notebook_retravaill!G148,0,IF([1]Result_notebook_retravaill!I148+[1]Result_notebook_retravaill!J148&gt;[1]Result_notebook_retravaill!G148,[1]Result_notebook_retravaill!G148-[1]Result_notebook_retravaill!I148,[1]Result_notebook_retravaill!J148))</f>
        <v>0</v>
      </c>
      <c r="L148" s="3">
        <f>IF([1]Result_notebook_retravaill!I148&gt;[1]Result_notebook_retravaill!G148,0,IF([1]Result_notebook_retravaill!I148+[1]Result_notebook_retravaill!J148&gt;[1]Result_notebook_retravaill!G148,0,[1]Result_notebook_retravaill!M148))</f>
        <v>0</v>
      </c>
    </row>
    <row r="149" spans="1:12">
      <c r="A149">
        <f>[1]Result_notebook_retravaill!A149</f>
        <v>2026</v>
      </c>
      <c r="B149" t="str">
        <f>[1]Result_notebook_retravaill!B149</f>
        <v>Nickel</v>
      </c>
      <c r="C149" t="str">
        <f>[1]Result_notebook_retravaill!C149</f>
        <v>Global Net-zero</v>
      </c>
      <c r="D149" t="str">
        <f>[1]Result_notebook_retravaill!D149</f>
        <v>Production potential</v>
      </c>
      <c r="E149" t="str">
        <f>[1]Result_notebook_retravaill!E149</f>
        <v>Current shares</v>
      </c>
      <c r="F149" t="str">
        <f>[1]Result_notebook_retravaill!F149</f>
        <v>Expansion Extractive</v>
      </c>
      <c r="G149">
        <f>[1]Result_notebook_retravaill!G149</f>
        <v>28983.298578402391</v>
      </c>
      <c r="H149" s="3">
        <f>IF([1]Result_notebook_retravaill!I149&gt;[1]Result_notebook_retravaill!G149,[1]Result_notebook_retravaill!I149/[1]Result_notebook_retravaill!N149,[1]Result_notebook_retravaill!H149)</f>
        <v>167630.15533014096</v>
      </c>
      <c r="I149" s="3">
        <f>[1]Result_notebook_retravaill!K149</f>
        <v>0</v>
      </c>
      <c r="J149" s="3">
        <f>MIN(G149,[1]Result_notebook_retravaill!I149)</f>
        <v>28983.298578402391</v>
      </c>
      <c r="K149" s="3">
        <f>IF([1]Result_notebook_retravaill!I149&gt;[1]Result_notebook_retravaill!G149,0,IF([1]Result_notebook_retravaill!I149+[1]Result_notebook_retravaill!J149&gt;[1]Result_notebook_retravaill!G149,[1]Result_notebook_retravaill!G149-[1]Result_notebook_retravaill!I149,[1]Result_notebook_retravaill!J149))</f>
        <v>0</v>
      </c>
      <c r="L149" s="3">
        <f>IF([1]Result_notebook_retravaill!I149&gt;[1]Result_notebook_retravaill!G149,0,IF([1]Result_notebook_retravaill!I149+[1]Result_notebook_retravaill!J149&gt;[1]Result_notebook_retravaill!G149,0,[1]Result_notebook_retravaill!M149))</f>
        <v>0</v>
      </c>
    </row>
    <row r="150" spans="1:12">
      <c r="A150">
        <f>[1]Result_notebook_retravaill!A150</f>
        <v>2026</v>
      </c>
      <c r="B150" t="str">
        <f>[1]Result_notebook_retravaill!B150</f>
        <v>Nickel</v>
      </c>
      <c r="C150" t="str">
        <f>[1]Result_notebook_retravaill!C150</f>
        <v>Global Net-zero</v>
      </c>
      <c r="D150" t="str">
        <f>[1]Result_notebook_retravaill!D150</f>
        <v>Production potential</v>
      </c>
      <c r="E150" t="str">
        <f>[1]Result_notebook_retravaill!E150</f>
        <v>Current shares</v>
      </c>
      <c r="F150" t="str">
        <f>[1]Result_notebook_retravaill!F150</f>
        <v>Expansion Extractive+Circularity</v>
      </c>
      <c r="G150">
        <f>[1]Result_notebook_retravaill!G150</f>
        <v>28983.298578402391</v>
      </c>
      <c r="H150" s="3">
        <f>IF([1]Result_notebook_retravaill!I150&gt;[1]Result_notebook_retravaill!G150,[1]Result_notebook_retravaill!I150/[1]Result_notebook_retravaill!N150,[1]Result_notebook_retravaill!H150)</f>
        <v>167630.15533014096</v>
      </c>
      <c r="I150" s="3">
        <f>[1]Result_notebook_retravaill!K150</f>
        <v>0</v>
      </c>
      <c r="J150" s="3">
        <f>MIN(G150,[1]Result_notebook_retravaill!I150)</f>
        <v>28983.298578402391</v>
      </c>
      <c r="K150" s="3">
        <f>IF([1]Result_notebook_retravaill!I150&gt;[1]Result_notebook_retravaill!G150,0,IF([1]Result_notebook_retravaill!I150+[1]Result_notebook_retravaill!J150&gt;[1]Result_notebook_retravaill!G150,[1]Result_notebook_retravaill!G150-[1]Result_notebook_retravaill!I150,[1]Result_notebook_retravaill!J150))</f>
        <v>0</v>
      </c>
      <c r="L150" s="3">
        <f>IF([1]Result_notebook_retravaill!I150&gt;[1]Result_notebook_retravaill!G150,0,IF([1]Result_notebook_retravaill!I150+[1]Result_notebook_retravaill!J150&gt;[1]Result_notebook_retravaill!G150,0,[1]Result_notebook_retravaill!M150))</f>
        <v>0</v>
      </c>
    </row>
    <row r="151" spans="1:12">
      <c r="A151">
        <f>[1]Result_notebook_retravaill!A151</f>
        <v>2026</v>
      </c>
      <c r="B151" t="str">
        <f>[1]Result_notebook_retravaill!B151</f>
        <v>Nickel</v>
      </c>
      <c r="C151" t="str">
        <f>[1]Result_notebook_retravaill!C151</f>
        <v>Global Net-zero</v>
      </c>
      <c r="D151" t="str">
        <f>[1]Result_notebook_retravaill!D151</f>
        <v>Production potential</v>
      </c>
      <c r="E151" t="str">
        <f>[1]Result_notebook_retravaill!E151</f>
        <v>100% CAN</v>
      </c>
      <c r="F151" t="str">
        <f>[1]Result_notebook_retravaill!F151</f>
        <v>Integrated</v>
      </c>
      <c r="G151">
        <f>[1]Result_notebook_retravaill!G151</f>
        <v>28983.298578402391</v>
      </c>
      <c r="H151" s="3">
        <f>IF([1]Result_notebook_retravaill!I151&gt;[1]Result_notebook_retravaill!G151,[1]Result_notebook_retravaill!I151/[1]Result_notebook_retravaill!N151,[1]Result_notebook_retravaill!H151)</f>
        <v>235376.47332675057</v>
      </c>
      <c r="I151" s="3">
        <f>[1]Result_notebook_retravaill!K151</f>
        <v>0</v>
      </c>
      <c r="J151" s="3">
        <f>MIN(G151,[1]Result_notebook_retravaill!I151)</f>
        <v>28983.298578402391</v>
      </c>
      <c r="K151" s="3">
        <f>IF([1]Result_notebook_retravaill!I151&gt;[1]Result_notebook_retravaill!G151,0,IF([1]Result_notebook_retravaill!I151+[1]Result_notebook_retravaill!J151&gt;[1]Result_notebook_retravaill!G151,[1]Result_notebook_retravaill!G151-[1]Result_notebook_retravaill!I151,[1]Result_notebook_retravaill!J151))</f>
        <v>0</v>
      </c>
      <c r="L151" s="3">
        <f>IF([1]Result_notebook_retravaill!I151&gt;[1]Result_notebook_retravaill!G151,0,IF([1]Result_notebook_retravaill!I151+[1]Result_notebook_retravaill!J151&gt;[1]Result_notebook_retravaill!G151,0,[1]Result_notebook_retravaill!M151))</f>
        <v>0</v>
      </c>
    </row>
    <row r="152" spans="1:12">
      <c r="A152">
        <f>[1]Result_notebook_retravaill!A152</f>
        <v>2026</v>
      </c>
      <c r="B152" t="str">
        <f>[1]Result_notebook_retravaill!B152</f>
        <v>Graphite</v>
      </c>
      <c r="C152" t="str">
        <f>[1]Result_notebook_retravaill!C152</f>
        <v>Canada Net-zero</v>
      </c>
      <c r="D152" t="str">
        <f>[1]Result_notebook_retravaill!D152</f>
        <v>Existing production</v>
      </c>
      <c r="E152" t="str">
        <f>[1]Result_notebook_retravaill!E152</f>
        <v>Current shares</v>
      </c>
      <c r="F152" t="str">
        <f>[1]Result_notebook_retravaill!F152</f>
        <v>NIMBY</v>
      </c>
      <c r="G152">
        <f>[1]Result_notebook_retravaill!G152</f>
        <v>595.19964669675574</v>
      </c>
      <c r="H152" s="3">
        <f>IF([1]Result_notebook_retravaill!I152&gt;[1]Result_notebook_retravaill!G152,[1]Result_notebook_retravaill!I152/[1]Result_notebook_retravaill!N152,[1]Result_notebook_retravaill!H152)</f>
        <v>0</v>
      </c>
      <c r="I152" s="3">
        <f>[1]Result_notebook_retravaill!K152</f>
        <v>595.19964669675574</v>
      </c>
      <c r="J152" s="3">
        <f>MIN(G152,[1]Result_notebook_retravaill!I152)</f>
        <v>0</v>
      </c>
      <c r="K152" s="3">
        <f>IF([1]Result_notebook_retravaill!I152&gt;[1]Result_notebook_retravaill!G152,0,IF([1]Result_notebook_retravaill!I152+[1]Result_notebook_retravaill!J152&gt;[1]Result_notebook_retravaill!G152,[1]Result_notebook_retravaill!G152-[1]Result_notebook_retravaill!I152,[1]Result_notebook_retravaill!J152))</f>
        <v>0</v>
      </c>
      <c r="L152" s="3">
        <f>IF([1]Result_notebook_retravaill!I152&gt;[1]Result_notebook_retravaill!G152,0,IF([1]Result_notebook_retravaill!I152+[1]Result_notebook_retravaill!J152&gt;[1]Result_notebook_retravaill!G152,0,[1]Result_notebook_retravaill!M152))</f>
        <v>595.19964669675574</v>
      </c>
    </row>
    <row r="153" spans="1:12">
      <c r="A153">
        <f>[1]Result_notebook_retravaill!A153</f>
        <v>2026</v>
      </c>
      <c r="B153" t="str">
        <f>[1]Result_notebook_retravaill!B153</f>
        <v>Graphite</v>
      </c>
      <c r="C153" t="str">
        <f>[1]Result_notebook_retravaill!C153</f>
        <v>Canada Net-zero</v>
      </c>
      <c r="D153" t="str">
        <f>[1]Result_notebook_retravaill!D153</f>
        <v>Existing production</v>
      </c>
      <c r="E153" t="str">
        <f>[1]Result_notebook_retravaill!E153</f>
        <v>Current shares</v>
      </c>
      <c r="F153" t="str">
        <f>[1]Result_notebook_retravaill!F153</f>
        <v>Status Quo</v>
      </c>
      <c r="G153">
        <f>[1]Result_notebook_retravaill!G153</f>
        <v>595.19964669675574</v>
      </c>
      <c r="H153" s="3">
        <f>IF([1]Result_notebook_retravaill!I153&gt;[1]Result_notebook_retravaill!G153,[1]Result_notebook_retravaill!I153/[1]Result_notebook_retravaill!N153,[1]Result_notebook_retravaill!H153)</f>
        <v>0</v>
      </c>
      <c r="I153" s="3">
        <f>[1]Result_notebook_retravaill!K153</f>
        <v>595.19964669675574</v>
      </c>
      <c r="J153" s="3">
        <f>MIN(G153,[1]Result_notebook_retravaill!I153)</f>
        <v>0</v>
      </c>
      <c r="K153" s="3">
        <f>IF([1]Result_notebook_retravaill!I153&gt;[1]Result_notebook_retravaill!G153,0,IF([1]Result_notebook_retravaill!I153+[1]Result_notebook_retravaill!J153&gt;[1]Result_notebook_retravaill!G153,[1]Result_notebook_retravaill!G153-[1]Result_notebook_retravaill!I153,[1]Result_notebook_retravaill!J153))</f>
        <v>0</v>
      </c>
      <c r="L153" s="3">
        <f>IF([1]Result_notebook_retravaill!I153&gt;[1]Result_notebook_retravaill!G153,0,IF([1]Result_notebook_retravaill!I153+[1]Result_notebook_retravaill!J153&gt;[1]Result_notebook_retravaill!G153,0,[1]Result_notebook_retravaill!M153))</f>
        <v>595.19964669675574</v>
      </c>
    </row>
    <row r="154" spans="1:12">
      <c r="A154">
        <f>[1]Result_notebook_retravaill!A154</f>
        <v>2026</v>
      </c>
      <c r="B154" t="str">
        <f>[1]Result_notebook_retravaill!B154</f>
        <v>Graphite</v>
      </c>
      <c r="C154" t="str">
        <f>[1]Result_notebook_retravaill!C154</f>
        <v>Canada Net-zero</v>
      </c>
      <c r="D154" t="str">
        <f>[1]Result_notebook_retravaill!D154</f>
        <v>Production potential</v>
      </c>
      <c r="E154" t="str">
        <f>[1]Result_notebook_retravaill!E154</f>
        <v>Current shares</v>
      </c>
      <c r="F154" t="str">
        <f>[1]Result_notebook_retravaill!F154</f>
        <v>Expansion Extractive</v>
      </c>
      <c r="G154">
        <f>[1]Result_notebook_retravaill!G154</f>
        <v>595.19964669675574</v>
      </c>
      <c r="H154" s="3">
        <f>IF([1]Result_notebook_retravaill!I154&gt;[1]Result_notebook_retravaill!G154,[1]Result_notebook_retravaill!I154/[1]Result_notebook_retravaill!N154,[1]Result_notebook_retravaill!H154)</f>
        <v>54951.857718749234</v>
      </c>
      <c r="I154" s="3">
        <f>[1]Result_notebook_retravaill!K154</f>
        <v>0</v>
      </c>
      <c r="J154" s="3">
        <f>MIN(G154,[1]Result_notebook_retravaill!I154)</f>
        <v>595.19964669675574</v>
      </c>
      <c r="K154" s="3">
        <f>IF([1]Result_notebook_retravaill!I154&gt;[1]Result_notebook_retravaill!G154,0,IF([1]Result_notebook_retravaill!I154+[1]Result_notebook_retravaill!J154&gt;[1]Result_notebook_retravaill!G154,[1]Result_notebook_retravaill!G154-[1]Result_notebook_retravaill!I154,[1]Result_notebook_retravaill!J154))</f>
        <v>0</v>
      </c>
      <c r="L154" s="3">
        <f>IF([1]Result_notebook_retravaill!I154&gt;[1]Result_notebook_retravaill!G154,0,IF([1]Result_notebook_retravaill!I154+[1]Result_notebook_retravaill!J154&gt;[1]Result_notebook_retravaill!G154,0,[1]Result_notebook_retravaill!M154))</f>
        <v>0</v>
      </c>
    </row>
    <row r="155" spans="1:12">
      <c r="A155">
        <f>[1]Result_notebook_retravaill!A155</f>
        <v>2026</v>
      </c>
      <c r="B155" t="str">
        <f>[1]Result_notebook_retravaill!B155</f>
        <v>Graphite</v>
      </c>
      <c r="C155" t="str">
        <f>[1]Result_notebook_retravaill!C155</f>
        <v>Canada Net-zero</v>
      </c>
      <c r="D155" t="str">
        <f>[1]Result_notebook_retravaill!D155</f>
        <v>Production potential</v>
      </c>
      <c r="E155" t="str">
        <f>[1]Result_notebook_retravaill!E155</f>
        <v>Current shares</v>
      </c>
      <c r="F155" t="str">
        <f>[1]Result_notebook_retravaill!F155</f>
        <v>Expansion Extractive+Circularity</v>
      </c>
      <c r="G155">
        <f>[1]Result_notebook_retravaill!G155</f>
        <v>595.19964669675574</v>
      </c>
      <c r="H155" s="3">
        <f>IF([1]Result_notebook_retravaill!I155&gt;[1]Result_notebook_retravaill!G155,[1]Result_notebook_retravaill!I155/[1]Result_notebook_retravaill!N155,[1]Result_notebook_retravaill!H155)</f>
        <v>54951.857718749234</v>
      </c>
      <c r="I155" s="3">
        <f>[1]Result_notebook_retravaill!K155</f>
        <v>0</v>
      </c>
      <c r="J155" s="3">
        <f>MIN(G155,[1]Result_notebook_retravaill!I155)</f>
        <v>595.19964669675574</v>
      </c>
      <c r="K155" s="3">
        <f>IF([1]Result_notebook_retravaill!I155&gt;[1]Result_notebook_retravaill!G155,0,IF([1]Result_notebook_retravaill!I155+[1]Result_notebook_retravaill!J155&gt;[1]Result_notebook_retravaill!G155,[1]Result_notebook_retravaill!G155-[1]Result_notebook_retravaill!I155,[1]Result_notebook_retravaill!J155))</f>
        <v>0</v>
      </c>
      <c r="L155" s="3">
        <f>IF([1]Result_notebook_retravaill!I155&gt;[1]Result_notebook_retravaill!G155,0,IF([1]Result_notebook_retravaill!I155+[1]Result_notebook_retravaill!J155&gt;[1]Result_notebook_retravaill!G155,0,[1]Result_notebook_retravaill!M155))</f>
        <v>0</v>
      </c>
    </row>
    <row r="156" spans="1:12">
      <c r="A156">
        <f>[1]Result_notebook_retravaill!A156</f>
        <v>2026</v>
      </c>
      <c r="B156" t="str">
        <f>[1]Result_notebook_retravaill!B156</f>
        <v>Graphite</v>
      </c>
      <c r="C156" t="str">
        <f>[1]Result_notebook_retravaill!C156</f>
        <v>Canada Net-zero</v>
      </c>
      <c r="D156" t="str">
        <f>[1]Result_notebook_retravaill!D156</f>
        <v>Production potential</v>
      </c>
      <c r="E156" t="str">
        <f>[1]Result_notebook_retravaill!E156</f>
        <v>100% CAN</v>
      </c>
      <c r="F156" t="str">
        <f>[1]Result_notebook_retravaill!F156</f>
        <v>Integrated</v>
      </c>
      <c r="G156">
        <f>[1]Result_notebook_retravaill!G156</f>
        <v>595.19964669675574</v>
      </c>
      <c r="H156" s="3">
        <f>IF([1]Result_notebook_retravaill!I156&gt;[1]Result_notebook_retravaill!G156,[1]Result_notebook_retravaill!I156/[1]Result_notebook_retravaill!N156,[1]Result_notebook_retravaill!H156)</f>
        <v>54951.857718749234</v>
      </c>
      <c r="I156" s="3">
        <f>[1]Result_notebook_retravaill!K156</f>
        <v>0</v>
      </c>
      <c r="J156" s="3">
        <f>MIN(G156,[1]Result_notebook_retravaill!I156)</f>
        <v>595.19964669675574</v>
      </c>
      <c r="K156" s="3">
        <f>IF([1]Result_notebook_retravaill!I156&gt;[1]Result_notebook_retravaill!G156,0,IF([1]Result_notebook_retravaill!I156+[1]Result_notebook_retravaill!J156&gt;[1]Result_notebook_retravaill!G156,[1]Result_notebook_retravaill!G156-[1]Result_notebook_retravaill!I156,[1]Result_notebook_retravaill!J156))</f>
        <v>0</v>
      </c>
      <c r="L156" s="3">
        <f>IF([1]Result_notebook_retravaill!I156&gt;[1]Result_notebook_retravaill!G156,0,IF([1]Result_notebook_retravaill!I156+[1]Result_notebook_retravaill!J156&gt;[1]Result_notebook_retravaill!G156,0,[1]Result_notebook_retravaill!M156))</f>
        <v>0</v>
      </c>
    </row>
    <row r="157" spans="1:12">
      <c r="A157">
        <f>[1]Result_notebook_retravaill!A157</f>
        <v>2026</v>
      </c>
      <c r="B157" t="str">
        <f>[1]Result_notebook_retravaill!B157</f>
        <v>Graphite</v>
      </c>
      <c r="C157" t="str">
        <f>[1]Result_notebook_retravaill!C157</f>
        <v>Current Measures</v>
      </c>
      <c r="D157" t="str">
        <f>[1]Result_notebook_retravaill!D157</f>
        <v>Existing production</v>
      </c>
      <c r="E157" t="str">
        <f>[1]Result_notebook_retravaill!E157</f>
        <v>Current shares</v>
      </c>
      <c r="F157" t="str">
        <f>[1]Result_notebook_retravaill!F157</f>
        <v>NIMBY</v>
      </c>
      <c r="G157">
        <f>[1]Result_notebook_retravaill!G157</f>
        <v>466.18816950520568</v>
      </c>
      <c r="H157" s="3">
        <f>IF([1]Result_notebook_retravaill!I157&gt;[1]Result_notebook_retravaill!G157,[1]Result_notebook_retravaill!I157/[1]Result_notebook_retravaill!N157,[1]Result_notebook_retravaill!H157)</f>
        <v>0</v>
      </c>
      <c r="I157" s="3">
        <f>[1]Result_notebook_retravaill!K157</f>
        <v>466.18816950520568</v>
      </c>
      <c r="J157" s="3">
        <f>MIN(G157,[1]Result_notebook_retravaill!I157)</f>
        <v>0</v>
      </c>
      <c r="K157" s="3">
        <f>IF([1]Result_notebook_retravaill!I157&gt;[1]Result_notebook_retravaill!G157,0,IF([1]Result_notebook_retravaill!I157+[1]Result_notebook_retravaill!J157&gt;[1]Result_notebook_retravaill!G157,[1]Result_notebook_retravaill!G157-[1]Result_notebook_retravaill!I157,[1]Result_notebook_retravaill!J157))</f>
        <v>0</v>
      </c>
      <c r="L157" s="3">
        <f>IF([1]Result_notebook_retravaill!I157&gt;[1]Result_notebook_retravaill!G157,0,IF([1]Result_notebook_retravaill!I157+[1]Result_notebook_retravaill!J157&gt;[1]Result_notebook_retravaill!G157,0,[1]Result_notebook_retravaill!M157))</f>
        <v>466.18816950520568</v>
      </c>
    </row>
    <row r="158" spans="1:12">
      <c r="A158">
        <f>[1]Result_notebook_retravaill!A158</f>
        <v>2026</v>
      </c>
      <c r="B158" t="str">
        <f>[1]Result_notebook_retravaill!B158</f>
        <v>Graphite</v>
      </c>
      <c r="C158" t="str">
        <f>[1]Result_notebook_retravaill!C158</f>
        <v>Current Measures</v>
      </c>
      <c r="D158" t="str">
        <f>[1]Result_notebook_retravaill!D158</f>
        <v>Existing production</v>
      </c>
      <c r="E158" t="str">
        <f>[1]Result_notebook_retravaill!E158</f>
        <v>Current shares</v>
      </c>
      <c r="F158" t="str">
        <f>[1]Result_notebook_retravaill!F158</f>
        <v>Status Quo</v>
      </c>
      <c r="G158">
        <f>[1]Result_notebook_retravaill!G158</f>
        <v>466.18816950520568</v>
      </c>
      <c r="H158" s="3">
        <f>IF([1]Result_notebook_retravaill!I158&gt;[1]Result_notebook_retravaill!G158,[1]Result_notebook_retravaill!I158/[1]Result_notebook_retravaill!N158,[1]Result_notebook_retravaill!H158)</f>
        <v>0</v>
      </c>
      <c r="I158" s="3">
        <f>[1]Result_notebook_retravaill!K158</f>
        <v>466.18816950520568</v>
      </c>
      <c r="J158" s="3">
        <f>MIN(G158,[1]Result_notebook_retravaill!I158)</f>
        <v>0</v>
      </c>
      <c r="K158" s="3">
        <f>IF([1]Result_notebook_retravaill!I158&gt;[1]Result_notebook_retravaill!G158,0,IF([1]Result_notebook_retravaill!I158+[1]Result_notebook_retravaill!J158&gt;[1]Result_notebook_retravaill!G158,[1]Result_notebook_retravaill!G158-[1]Result_notebook_retravaill!I158,[1]Result_notebook_retravaill!J158))</f>
        <v>0</v>
      </c>
      <c r="L158" s="3">
        <f>IF([1]Result_notebook_retravaill!I158&gt;[1]Result_notebook_retravaill!G158,0,IF([1]Result_notebook_retravaill!I158+[1]Result_notebook_retravaill!J158&gt;[1]Result_notebook_retravaill!G158,0,[1]Result_notebook_retravaill!M158))</f>
        <v>466.18816950520568</v>
      </c>
    </row>
    <row r="159" spans="1:12">
      <c r="A159">
        <f>[1]Result_notebook_retravaill!A159</f>
        <v>2026</v>
      </c>
      <c r="B159" t="str">
        <f>[1]Result_notebook_retravaill!B159</f>
        <v>Graphite</v>
      </c>
      <c r="C159" t="str">
        <f>[1]Result_notebook_retravaill!C159</f>
        <v>Current Measures</v>
      </c>
      <c r="D159" t="str">
        <f>[1]Result_notebook_retravaill!D159</f>
        <v>Production potential</v>
      </c>
      <c r="E159" t="str">
        <f>[1]Result_notebook_retravaill!E159</f>
        <v>Current shares</v>
      </c>
      <c r="F159" t="str">
        <f>[1]Result_notebook_retravaill!F159</f>
        <v>Expansion Extractive</v>
      </c>
      <c r="G159">
        <f>[1]Result_notebook_retravaill!G159</f>
        <v>466.18816950520568</v>
      </c>
      <c r="H159" s="3">
        <f>IF([1]Result_notebook_retravaill!I159&gt;[1]Result_notebook_retravaill!G159,[1]Result_notebook_retravaill!I159/[1]Result_notebook_retravaill!N159,[1]Result_notebook_retravaill!H159)</f>
        <v>54951.857718749234</v>
      </c>
      <c r="I159" s="3">
        <f>[1]Result_notebook_retravaill!K159</f>
        <v>0</v>
      </c>
      <c r="J159" s="3">
        <f>MIN(G159,[1]Result_notebook_retravaill!I159)</f>
        <v>466.18816950520568</v>
      </c>
      <c r="K159" s="3">
        <f>IF([1]Result_notebook_retravaill!I159&gt;[1]Result_notebook_retravaill!G159,0,IF([1]Result_notebook_retravaill!I159+[1]Result_notebook_retravaill!J159&gt;[1]Result_notebook_retravaill!G159,[1]Result_notebook_retravaill!G159-[1]Result_notebook_retravaill!I159,[1]Result_notebook_retravaill!J159))</f>
        <v>0</v>
      </c>
      <c r="L159" s="3">
        <f>IF([1]Result_notebook_retravaill!I159&gt;[1]Result_notebook_retravaill!G159,0,IF([1]Result_notebook_retravaill!I159+[1]Result_notebook_retravaill!J159&gt;[1]Result_notebook_retravaill!G159,0,[1]Result_notebook_retravaill!M159))</f>
        <v>0</v>
      </c>
    </row>
    <row r="160" spans="1:12">
      <c r="A160">
        <f>[1]Result_notebook_retravaill!A160</f>
        <v>2026</v>
      </c>
      <c r="B160" t="str">
        <f>[1]Result_notebook_retravaill!B160</f>
        <v>Graphite</v>
      </c>
      <c r="C160" t="str">
        <f>[1]Result_notebook_retravaill!C160</f>
        <v>Current Measures</v>
      </c>
      <c r="D160" t="str">
        <f>[1]Result_notebook_retravaill!D160</f>
        <v>Production potential</v>
      </c>
      <c r="E160" t="str">
        <f>[1]Result_notebook_retravaill!E160</f>
        <v>Current shares</v>
      </c>
      <c r="F160" t="str">
        <f>[1]Result_notebook_retravaill!F160</f>
        <v>Expansion Extractive+Circularity</v>
      </c>
      <c r="G160">
        <f>[1]Result_notebook_retravaill!G160</f>
        <v>466.18816950520568</v>
      </c>
      <c r="H160" s="3">
        <f>IF([1]Result_notebook_retravaill!I160&gt;[1]Result_notebook_retravaill!G160,[1]Result_notebook_retravaill!I160/[1]Result_notebook_retravaill!N160,[1]Result_notebook_retravaill!H160)</f>
        <v>54951.857718749234</v>
      </c>
      <c r="I160" s="3">
        <f>[1]Result_notebook_retravaill!K160</f>
        <v>0</v>
      </c>
      <c r="J160" s="3">
        <f>MIN(G160,[1]Result_notebook_retravaill!I160)</f>
        <v>466.18816950520568</v>
      </c>
      <c r="K160" s="3">
        <f>IF([1]Result_notebook_retravaill!I160&gt;[1]Result_notebook_retravaill!G160,0,IF([1]Result_notebook_retravaill!I160+[1]Result_notebook_retravaill!J160&gt;[1]Result_notebook_retravaill!G160,[1]Result_notebook_retravaill!G160-[1]Result_notebook_retravaill!I160,[1]Result_notebook_retravaill!J160))</f>
        <v>0</v>
      </c>
      <c r="L160" s="3">
        <f>IF([1]Result_notebook_retravaill!I160&gt;[1]Result_notebook_retravaill!G160,0,IF([1]Result_notebook_retravaill!I160+[1]Result_notebook_retravaill!J160&gt;[1]Result_notebook_retravaill!G160,0,[1]Result_notebook_retravaill!M160))</f>
        <v>0</v>
      </c>
    </row>
    <row r="161" spans="1:12">
      <c r="A161">
        <f>[1]Result_notebook_retravaill!A161</f>
        <v>2026</v>
      </c>
      <c r="B161" t="str">
        <f>[1]Result_notebook_retravaill!B161</f>
        <v>Graphite</v>
      </c>
      <c r="C161" t="str">
        <f>[1]Result_notebook_retravaill!C161</f>
        <v>Current Measures</v>
      </c>
      <c r="D161" t="str">
        <f>[1]Result_notebook_retravaill!D161</f>
        <v>Production potential</v>
      </c>
      <c r="E161" t="str">
        <f>[1]Result_notebook_retravaill!E161</f>
        <v>100% CAN</v>
      </c>
      <c r="F161" t="str">
        <f>[1]Result_notebook_retravaill!F161</f>
        <v>Integrated</v>
      </c>
      <c r="G161">
        <f>[1]Result_notebook_retravaill!G161</f>
        <v>466.18816950520568</v>
      </c>
      <c r="H161" s="3">
        <f>IF([1]Result_notebook_retravaill!I161&gt;[1]Result_notebook_retravaill!G161,[1]Result_notebook_retravaill!I161/[1]Result_notebook_retravaill!N161,[1]Result_notebook_retravaill!H161)</f>
        <v>54951.857718749234</v>
      </c>
      <c r="I161" s="3">
        <f>[1]Result_notebook_retravaill!K161</f>
        <v>0</v>
      </c>
      <c r="J161" s="3">
        <f>MIN(G161,[1]Result_notebook_retravaill!I161)</f>
        <v>466.18816950520568</v>
      </c>
      <c r="K161" s="3">
        <f>IF([1]Result_notebook_retravaill!I161&gt;[1]Result_notebook_retravaill!G161,0,IF([1]Result_notebook_retravaill!I161+[1]Result_notebook_retravaill!J161&gt;[1]Result_notebook_retravaill!G161,[1]Result_notebook_retravaill!G161-[1]Result_notebook_retravaill!I161,[1]Result_notebook_retravaill!J161))</f>
        <v>0</v>
      </c>
      <c r="L161" s="3">
        <f>IF([1]Result_notebook_retravaill!I161&gt;[1]Result_notebook_retravaill!G161,0,IF([1]Result_notebook_retravaill!I161+[1]Result_notebook_retravaill!J161&gt;[1]Result_notebook_retravaill!G161,0,[1]Result_notebook_retravaill!M161))</f>
        <v>0</v>
      </c>
    </row>
    <row r="162" spans="1:12">
      <c r="A162">
        <f>[1]Result_notebook_retravaill!A162</f>
        <v>2026</v>
      </c>
      <c r="B162" t="str">
        <f>[1]Result_notebook_retravaill!B162</f>
        <v>Graphite</v>
      </c>
      <c r="C162" t="str">
        <f>[1]Result_notebook_retravaill!C162</f>
        <v>Global Net-zero</v>
      </c>
      <c r="D162" t="str">
        <f>[1]Result_notebook_retravaill!D162</f>
        <v>Existing production</v>
      </c>
      <c r="E162" t="str">
        <f>[1]Result_notebook_retravaill!E162</f>
        <v>Current shares</v>
      </c>
      <c r="F162" t="str">
        <f>[1]Result_notebook_retravaill!F162</f>
        <v>NIMBY</v>
      </c>
      <c r="G162">
        <f>[1]Result_notebook_retravaill!G162</f>
        <v>587.70528713969418</v>
      </c>
      <c r="H162" s="3">
        <f>IF([1]Result_notebook_retravaill!I162&gt;[1]Result_notebook_retravaill!G162,[1]Result_notebook_retravaill!I162/[1]Result_notebook_retravaill!N162,[1]Result_notebook_retravaill!H162)</f>
        <v>0</v>
      </c>
      <c r="I162" s="3">
        <f>[1]Result_notebook_retravaill!K162</f>
        <v>587.70528713969418</v>
      </c>
      <c r="J162" s="3">
        <f>MIN(G162,[1]Result_notebook_retravaill!I162)</f>
        <v>0</v>
      </c>
      <c r="K162" s="3">
        <f>IF([1]Result_notebook_retravaill!I162&gt;[1]Result_notebook_retravaill!G162,0,IF([1]Result_notebook_retravaill!I162+[1]Result_notebook_retravaill!J162&gt;[1]Result_notebook_retravaill!G162,[1]Result_notebook_retravaill!G162-[1]Result_notebook_retravaill!I162,[1]Result_notebook_retravaill!J162))</f>
        <v>0</v>
      </c>
      <c r="L162" s="3">
        <f>IF([1]Result_notebook_retravaill!I162&gt;[1]Result_notebook_retravaill!G162,0,IF([1]Result_notebook_retravaill!I162+[1]Result_notebook_retravaill!J162&gt;[1]Result_notebook_retravaill!G162,0,[1]Result_notebook_retravaill!M162))</f>
        <v>587.70528713969418</v>
      </c>
    </row>
    <row r="163" spans="1:12">
      <c r="A163">
        <f>[1]Result_notebook_retravaill!A163</f>
        <v>2026</v>
      </c>
      <c r="B163" t="str">
        <f>[1]Result_notebook_retravaill!B163</f>
        <v>Graphite</v>
      </c>
      <c r="C163" t="str">
        <f>[1]Result_notebook_retravaill!C163</f>
        <v>Global Net-zero</v>
      </c>
      <c r="D163" t="str">
        <f>[1]Result_notebook_retravaill!D163</f>
        <v>Existing production</v>
      </c>
      <c r="E163" t="str">
        <f>[1]Result_notebook_retravaill!E163</f>
        <v>Current shares</v>
      </c>
      <c r="F163" t="str">
        <f>[1]Result_notebook_retravaill!F163</f>
        <v>Status Quo</v>
      </c>
      <c r="G163">
        <f>[1]Result_notebook_retravaill!G163</f>
        <v>587.70528713969418</v>
      </c>
      <c r="H163" s="3">
        <f>IF([1]Result_notebook_retravaill!I163&gt;[1]Result_notebook_retravaill!G163,[1]Result_notebook_retravaill!I163/[1]Result_notebook_retravaill!N163,[1]Result_notebook_retravaill!H163)</f>
        <v>0</v>
      </c>
      <c r="I163" s="3">
        <f>[1]Result_notebook_retravaill!K163</f>
        <v>587.70528713969418</v>
      </c>
      <c r="J163" s="3">
        <f>MIN(G163,[1]Result_notebook_retravaill!I163)</f>
        <v>0</v>
      </c>
      <c r="K163" s="3">
        <f>IF([1]Result_notebook_retravaill!I163&gt;[1]Result_notebook_retravaill!G163,0,IF([1]Result_notebook_retravaill!I163+[1]Result_notebook_retravaill!J163&gt;[1]Result_notebook_retravaill!G163,[1]Result_notebook_retravaill!G163-[1]Result_notebook_retravaill!I163,[1]Result_notebook_retravaill!J163))</f>
        <v>0</v>
      </c>
      <c r="L163" s="3">
        <f>IF([1]Result_notebook_retravaill!I163&gt;[1]Result_notebook_retravaill!G163,0,IF([1]Result_notebook_retravaill!I163+[1]Result_notebook_retravaill!J163&gt;[1]Result_notebook_retravaill!G163,0,[1]Result_notebook_retravaill!M163))</f>
        <v>587.70528713969418</v>
      </c>
    </row>
    <row r="164" spans="1:12">
      <c r="A164">
        <f>[1]Result_notebook_retravaill!A164</f>
        <v>2026</v>
      </c>
      <c r="B164" t="str">
        <f>[1]Result_notebook_retravaill!B164</f>
        <v>Graphite</v>
      </c>
      <c r="C164" t="str">
        <f>[1]Result_notebook_retravaill!C164</f>
        <v>Global Net-zero</v>
      </c>
      <c r="D164" t="str">
        <f>[1]Result_notebook_retravaill!D164</f>
        <v>Production potential</v>
      </c>
      <c r="E164" t="str">
        <f>[1]Result_notebook_retravaill!E164</f>
        <v>Current shares</v>
      </c>
      <c r="F164" t="str">
        <f>[1]Result_notebook_retravaill!F164</f>
        <v>Expansion Extractive</v>
      </c>
      <c r="G164">
        <f>[1]Result_notebook_retravaill!G164</f>
        <v>587.70528713969418</v>
      </c>
      <c r="H164" s="3">
        <f>IF([1]Result_notebook_retravaill!I164&gt;[1]Result_notebook_retravaill!G164,[1]Result_notebook_retravaill!I164/[1]Result_notebook_retravaill!N164,[1]Result_notebook_retravaill!H164)</f>
        <v>54951.857718749234</v>
      </c>
      <c r="I164" s="3">
        <f>[1]Result_notebook_retravaill!K164</f>
        <v>0</v>
      </c>
      <c r="J164" s="3">
        <f>MIN(G164,[1]Result_notebook_retravaill!I164)</f>
        <v>587.70528713969418</v>
      </c>
      <c r="K164" s="3">
        <f>IF([1]Result_notebook_retravaill!I164&gt;[1]Result_notebook_retravaill!G164,0,IF([1]Result_notebook_retravaill!I164+[1]Result_notebook_retravaill!J164&gt;[1]Result_notebook_retravaill!G164,[1]Result_notebook_retravaill!G164-[1]Result_notebook_retravaill!I164,[1]Result_notebook_retravaill!J164))</f>
        <v>0</v>
      </c>
      <c r="L164" s="3">
        <f>IF([1]Result_notebook_retravaill!I164&gt;[1]Result_notebook_retravaill!G164,0,IF([1]Result_notebook_retravaill!I164+[1]Result_notebook_retravaill!J164&gt;[1]Result_notebook_retravaill!G164,0,[1]Result_notebook_retravaill!M164))</f>
        <v>0</v>
      </c>
    </row>
    <row r="165" spans="1:12">
      <c r="A165">
        <f>[1]Result_notebook_retravaill!A165</f>
        <v>2026</v>
      </c>
      <c r="B165" t="str">
        <f>[1]Result_notebook_retravaill!B165</f>
        <v>Graphite</v>
      </c>
      <c r="C165" t="str">
        <f>[1]Result_notebook_retravaill!C165</f>
        <v>Global Net-zero</v>
      </c>
      <c r="D165" t="str">
        <f>[1]Result_notebook_retravaill!D165</f>
        <v>Production potential</v>
      </c>
      <c r="E165" t="str">
        <f>[1]Result_notebook_retravaill!E165</f>
        <v>Current shares</v>
      </c>
      <c r="F165" t="str">
        <f>[1]Result_notebook_retravaill!F165</f>
        <v>Expansion Extractive+Circularity</v>
      </c>
      <c r="G165">
        <f>[1]Result_notebook_retravaill!G165</f>
        <v>587.70528713969418</v>
      </c>
      <c r="H165" s="3">
        <f>IF([1]Result_notebook_retravaill!I165&gt;[1]Result_notebook_retravaill!G165,[1]Result_notebook_retravaill!I165/[1]Result_notebook_retravaill!N165,[1]Result_notebook_retravaill!H165)</f>
        <v>54951.857718749234</v>
      </c>
      <c r="I165" s="3">
        <f>[1]Result_notebook_retravaill!K165</f>
        <v>0</v>
      </c>
      <c r="J165" s="3">
        <f>MIN(G165,[1]Result_notebook_retravaill!I165)</f>
        <v>587.70528713969418</v>
      </c>
      <c r="K165" s="3">
        <f>IF([1]Result_notebook_retravaill!I165&gt;[1]Result_notebook_retravaill!G165,0,IF([1]Result_notebook_retravaill!I165+[1]Result_notebook_retravaill!J165&gt;[1]Result_notebook_retravaill!G165,[1]Result_notebook_retravaill!G165-[1]Result_notebook_retravaill!I165,[1]Result_notebook_retravaill!J165))</f>
        <v>0</v>
      </c>
      <c r="L165" s="3">
        <f>IF([1]Result_notebook_retravaill!I165&gt;[1]Result_notebook_retravaill!G165,0,IF([1]Result_notebook_retravaill!I165+[1]Result_notebook_retravaill!J165&gt;[1]Result_notebook_retravaill!G165,0,[1]Result_notebook_retravaill!M165))</f>
        <v>0</v>
      </c>
    </row>
    <row r="166" spans="1:12">
      <c r="A166">
        <f>[1]Result_notebook_retravaill!A166</f>
        <v>2026</v>
      </c>
      <c r="B166" t="str">
        <f>[1]Result_notebook_retravaill!B166</f>
        <v>Graphite</v>
      </c>
      <c r="C166" t="str">
        <f>[1]Result_notebook_retravaill!C166</f>
        <v>Global Net-zero</v>
      </c>
      <c r="D166" t="str">
        <f>[1]Result_notebook_retravaill!D166</f>
        <v>Production potential</v>
      </c>
      <c r="E166" t="str">
        <f>[1]Result_notebook_retravaill!E166</f>
        <v>100% CAN</v>
      </c>
      <c r="F166" t="str">
        <f>[1]Result_notebook_retravaill!F166</f>
        <v>Integrated</v>
      </c>
      <c r="G166">
        <f>[1]Result_notebook_retravaill!G166</f>
        <v>587.70528713969418</v>
      </c>
      <c r="H166" s="3">
        <f>IF([1]Result_notebook_retravaill!I166&gt;[1]Result_notebook_retravaill!G166,[1]Result_notebook_retravaill!I166/[1]Result_notebook_retravaill!N166,[1]Result_notebook_retravaill!H166)</f>
        <v>54951.857718749234</v>
      </c>
      <c r="I166" s="3">
        <f>[1]Result_notebook_retravaill!K166</f>
        <v>0</v>
      </c>
      <c r="J166" s="3">
        <f>MIN(G166,[1]Result_notebook_retravaill!I166)</f>
        <v>587.70528713969418</v>
      </c>
      <c r="K166" s="3">
        <f>IF([1]Result_notebook_retravaill!I166&gt;[1]Result_notebook_retravaill!G166,0,IF([1]Result_notebook_retravaill!I166+[1]Result_notebook_retravaill!J166&gt;[1]Result_notebook_retravaill!G166,[1]Result_notebook_retravaill!G166-[1]Result_notebook_retravaill!I166,[1]Result_notebook_retravaill!J166))</f>
        <v>0</v>
      </c>
      <c r="L166" s="3">
        <f>IF([1]Result_notebook_retravaill!I166&gt;[1]Result_notebook_retravaill!G166,0,IF([1]Result_notebook_retravaill!I166+[1]Result_notebook_retravaill!J166&gt;[1]Result_notebook_retravaill!G166,0,[1]Result_notebook_retravaill!M166))</f>
        <v>0</v>
      </c>
    </row>
    <row r="167" spans="1:12">
      <c r="A167">
        <f>[1]Result_notebook_retravaill!A167</f>
        <v>2026</v>
      </c>
      <c r="B167" t="str">
        <f>[1]Result_notebook_retravaill!B167</f>
        <v>Lithium</v>
      </c>
      <c r="C167" t="str">
        <f>[1]Result_notebook_retravaill!C167</f>
        <v>Canada Net-zero</v>
      </c>
      <c r="D167" t="str">
        <f>[1]Result_notebook_retravaill!D167</f>
        <v>Existing production</v>
      </c>
      <c r="E167" t="str">
        <f>[1]Result_notebook_retravaill!E167</f>
        <v>Current shares</v>
      </c>
      <c r="F167" t="str">
        <f>[1]Result_notebook_retravaill!F167</f>
        <v>NIMBY</v>
      </c>
      <c r="G167">
        <f>[1]Result_notebook_retravaill!G167</f>
        <v>9264.2962116299586</v>
      </c>
      <c r="H167" s="3">
        <f>IF([1]Result_notebook_retravaill!I167&gt;[1]Result_notebook_retravaill!G167,[1]Result_notebook_retravaill!I167/[1]Result_notebook_retravaill!N167,[1]Result_notebook_retravaill!H167)</f>
        <v>0</v>
      </c>
      <c r="I167" s="3">
        <f>[1]Result_notebook_retravaill!K167</f>
        <v>13234.708873757079</v>
      </c>
      <c r="J167" s="3">
        <f>MIN(G167,[1]Result_notebook_retravaill!I167)</f>
        <v>0</v>
      </c>
      <c r="K167" s="3">
        <f>IF([1]Result_notebook_retravaill!I167&gt;[1]Result_notebook_retravaill!G167,0,IF([1]Result_notebook_retravaill!I167+[1]Result_notebook_retravaill!J167&gt;[1]Result_notebook_retravaill!G167,[1]Result_notebook_retravaill!G167-[1]Result_notebook_retravaill!I167,[1]Result_notebook_retravaill!J167))</f>
        <v>0</v>
      </c>
      <c r="L167" s="3">
        <f>IF([1]Result_notebook_retravaill!I167&gt;[1]Result_notebook_retravaill!G167,0,IF([1]Result_notebook_retravaill!I167+[1]Result_notebook_retravaill!J167&gt;[1]Result_notebook_retravaill!G167,0,[1]Result_notebook_retravaill!M167))</f>
        <v>9264.2962116299586</v>
      </c>
    </row>
    <row r="168" spans="1:12">
      <c r="A168">
        <f>[1]Result_notebook_retravaill!A168</f>
        <v>2026</v>
      </c>
      <c r="B168" t="str">
        <f>[1]Result_notebook_retravaill!B168</f>
        <v>Lithium</v>
      </c>
      <c r="C168" t="str">
        <f>[1]Result_notebook_retravaill!C168</f>
        <v>Canada Net-zero</v>
      </c>
      <c r="D168" t="str">
        <f>[1]Result_notebook_retravaill!D168</f>
        <v>Existing production</v>
      </c>
      <c r="E168" t="str">
        <f>[1]Result_notebook_retravaill!E168</f>
        <v>Current shares</v>
      </c>
      <c r="F168" t="str">
        <f>[1]Result_notebook_retravaill!F168</f>
        <v>Status Quo</v>
      </c>
      <c r="G168">
        <f>[1]Result_notebook_retravaill!G168</f>
        <v>9264.2962116299586</v>
      </c>
      <c r="H168" s="3">
        <f>IF([1]Result_notebook_retravaill!I168&gt;[1]Result_notebook_retravaill!G168,[1]Result_notebook_retravaill!I168/[1]Result_notebook_retravaill!N168,[1]Result_notebook_retravaill!H168)</f>
        <v>35483.419778347088</v>
      </c>
      <c r="I168" s="3">
        <f>[1]Result_notebook_retravaill!K168</f>
        <v>0</v>
      </c>
      <c r="J168" s="3">
        <f>MIN(G168,[1]Result_notebook_retravaill!I168)</f>
        <v>9264.2962116299586</v>
      </c>
      <c r="K168" s="3">
        <f>IF([1]Result_notebook_retravaill!I168&gt;[1]Result_notebook_retravaill!G168,0,IF([1]Result_notebook_retravaill!I168+[1]Result_notebook_retravaill!J168&gt;[1]Result_notebook_retravaill!G168,[1]Result_notebook_retravaill!G168-[1]Result_notebook_retravaill!I168,[1]Result_notebook_retravaill!J168))</f>
        <v>0</v>
      </c>
      <c r="L168" s="3">
        <f>IF([1]Result_notebook_retravaill!I168&gt;[1]Result_notebook_retravaill!G168,0,IF([1]Result_notebook_retravaill!I168+[1]Result_notebook_retravaill!J168&gt;[1]Result_notebook_retravaill!G168,0,[1]Result_notebook_retravaill!M168))</f>
        <v>0</v>
      </c>
    </row>
    <row r="169" spans="1:12">
      <c r="A169">
        <f>[1]Result_notebook_retravaill!A169</f>
        <v>2026</v>
      </c>
      <c r="B169" t="str">
        <f>[1]Result_notebook_retravaill!B169</f>
        <v>Lithium</v>
      </c>
      <c r="C169" t="str">
        <f>[1]Result_notebook_retravaill!C169</f>
        <v>Canada Net-zero</v>
      </c>
      <c r="D169" t="str">
        <f>[1]Result_notebook_retravaill!D169</f>
        <v>Production potential</v>
      </c>
      <c r="E169" t="str">
        <f>[1]Result_notebook_retravaill!E169</f>
        <v>Current shares</v>
      </c>
      <c r="F169" t="str">
        <f>[1]Result_notebook_retravaill!F169</f>
        <v>Expansion Extractive</v>
      </c>
      <c r="G169">
        <f>[1]Result_notebook_retravaill!G169</f>
        <v>9264.2962116299586</v>
      </c>
      <c r="H169" s="3">
        <f>IF([1]Result_notebook_retravaill!I169&gt;[1]Result_notebook_retravaill!G169,[1]Result_notebook_retravaill!I169/[1]Result_notebook_retravaill!N169,[1]Result_notebook_retravaill!H169)</f>
        <v>128131.46421449262</v>
      </c>
      <c r="I169" s="3">
        <f>[1]Result_notebook_retravaill!K169</f>
        <v>0</v>
      </c>
      <c r="J169" s="3">
        <f>MIN(G169,[1]Result_notebook_retravaill!I169)</f>
        <v>9264.2962116299586</v>
      </c>
      <c r="K169" s="3">
        <f>IF([1]Result_notebook_retravaill!I169&gt;[1]Result_notebook_retravaill!G169,0,IF([1]Result_notebook_retravaill!I169+[1]Result_notebook_retravaill!J169&gt;[1]Result_notebook_retravaill!G169,[1]Result_notebook_retravaill!G169-[1]Result_notebook_retravaill!I169,[1]Result_notebook_retravaill!J169))</f>
        <v>0</v>
      </c>
      <c r="L169" s="3">
        <f>IF([1]Result_notebook_retravaill!I169&gt;[1]Result_notebook_retravaill!G169,0,IF([1]Result_notebook_retravaill!I169+[1]Result_notebook_retravaill!J169&gt;[1]Result_notebook_retravaill!G169,0,[1]Result_notebook_retravaill!M169))</f>
        <v>0</v>
      </c>
    </row>
    <row r="170" spans="1:12">
      <c r="A170">
        <f>[1]Result_notebook_retravaill!A170</f>
        <v>2026</v>
      </c>
      <c r="B170" t="str">
        <f>[1]Result_notebook_retravaill!B170</f>
        <v>Lithium</v>
      </c>
      <c r="C170" t="str">
        <f>[1]Result_notebook_retravaill!C170</f>
        <v>Canada Net-zero</v>
      </c>
      <c r="D170" t="str">
        <f>[1]Result_notebook_retravaill!D170</f>
        <v>Production potential</v>
      </c>
      <c r="E170" t="str">
        <f>[1]Result_notebook_retravaill!E170</f>
        <v>Current shares</v>
      </c>
      <c r="F170" t="str">
        <f>[1]Result_notebook_retravaill!F170</f>
        <v>Expansion Extractive+Circularity</v>
      </c>
      <c r="G170">
        <f>[1]Result_notebook_retravaill!G170</f>
        <v>9264.2962116299586</v>
      </c>
      <c r="H170" s="3">
        <f>IF([1]Result_notebook_retravaill!I170&gt;[1]Result_notebook_retravaill!G170,[1]Result_notebook_retravaill!I170/[1]Result_notebook_retravaill!N170,[1]Result_notebook_retravaill!H170)</f>
        <v>128131.46421449262</v>
      </c>
      <c r="I170" s="3">
        <f>[1]Result_notebook_retravaill!K170</f>
        <v>0</v>
      </c>
      <c r="J170" s="3">
        <f>MIN(G170,[1]Result_notebook_retravaill!I170)</f>
        <v>9264.2962116299586</v>
      </c>
      <c r="K170" s="3">
        <f>IF([1]Result_notebook_retravaill!I170&gt;[1]Result_notebook_retravaill!G170,0,IF([1]Result_notebook_retravaill!I170+[1]Result_notebook_retravaill!J170&gt;[1]Result_notebook_retravaill!G170,[1]Result_notebook_retravaill!G170-[1]Result_notebook_retravaill!I170,[1]Result_notebook_retravaill!J170))</f>
        <v>0</v>
      </c>
      <c r="L170" s="3">
        <f>IF([1]Result_notebook_retravaill!I170&gt;[1]Result_notebook_retravaill!G170,0,IF([1]Result_notebook_retravaill!I170+[1]Result_notebook_retravaill!J170&gt;[1]Result_notebook_retravaill!G170,0,[1]Result_notebook_retravaill!M170))</f>
        <v>0</v>
      </c>
    </row>
    <row r="171" spans="1:12">
      <c r="A171">
        <f>[1]Result_notebook_retravaill!A171</f>
        <v>2026</v>
      </c>
      <c r="B171" t="str">
        <f>[1]Result_notebook_retravaill!B171</f>
        <v>Lithium</v>
      </c>
      <c r="C171" t="str">
        <f>[1]Result_notebook_retravaill!C171</f>
        <v>Canada Net-zero</v>
      </c>
      <c r="D171" t="str">
        <f>[1]Result_notebook_retravaill!D171</f>
        <v>Production potential</v>
      </c>
      <c r="E171" t="str">
        <f>[1]Result_notebook_retravaill!E171</f>
        <v>100% CAN</v>
      </c>
      <c r="F171" t="str">
        <f>[1]Result_notebook_retravaill!F171</f>
        <v>Integrated</v>
      </c>
      <c r="G171">
        <f>[1]Result_notebook_retravaill!G171</f>
        <v>9264.2962116299586</v>
      </c>
      <c r="H171" s="3">
        <f>IF([1]Result_notebook_retravaill!I171&gt;[1]Result_notebook_retravaill!G171,[1]Result_notebook_retravaill!I171/[1]Result_notebook_retravaill!N171,[1]Result_notebook_retravaill!H171)</f>
        <v>128131.46421449262</v>
      </c>
      <c r="I171" s="3">
        <f>[1]Result_notebook_retravaill!K171</f>
        <v>0</v>
      </c>
      <c r="J171" s="3">
        <f>MIN(G171,[1]Result_notebook_retravaill!I171)</f>
        <v>9264.2962116299586</v>
      </c>
      <c r="K171" s="3">
        <f>IF([1]Result_notebook_retravaill!I171&gt;[1]Result_notebook_retravaill!G171,0,IF([1]Result_notebook_retravaill!I171+[1]Result_notebook_retravaill!J171&gt;[1]Result_notebook_retravaill!G171,[1]Result_notebook_retravaill!G171-[1]Result_notebook_retravaill!I171,[1]Result_notebook_retravaill!J171))</f>
        <v>0</v>
      </c>
      <c r="L171" s="3">
        <f>IF([1]Result_notebook_retravaill!I171&gt;[1]Result_notebook_retravaill!G171,0,IF([1]Result_notebook_retravaill!I171+[1]Result_notebook_retravaill!J171&gt;[1]Result_notebook_retravaill!G171,0,[1]Result_notebook_retravaill!M171))</f>
        <v>0</v>
      </c>
    </row>
    <row r="172" spans="1:12">
      <c r="A172">
        <f>[1]Result_notebook_retravaill!A172</f>
        <v>2026</v>
      </c>
      <c r="B172" t="str">
        <f>[1]Result_notebook_retravaill!B172</f>
        <v>Lithium</v>
      </c>
      <c r="C172" t="str">
        <f>[1]Result_notebook_retravaill!C172</f>
        <v>Current Measures</v>
      </c>
      <c r="D172" t="str">
        <f>[1]Result_notebook_retravaill!D172</f>
        <v>Existing production</v>
      </c>
      <c r="E172" t="str">
        <f>[1]Result_notebook_retravaill!E172</f>
        <v>Current shares</v>
      </c>
      <c r="F172" t="str">
        <f>[1]Result_notebook_retravaill!F172</f>
        <v>NIMBY</v>
      </c>
      <c r="G172">
        <f>[1]Result_notebook_retravaill!G172</f>
        <v>7256.2295972836719</v>
      </c>
      <c r="H172" s="3">
        <f>IF([1]Result_notebook_retravaill!I172&gt;[1]Result_notebook_retravaill!G172,[1]Result_notebook_retravaill!I172/[1]Result_notebook_retravaill!N172,[1]Result_notebook_retravaill!H172)</f>
        <v>0</v>
      </c>
      <c r="I172" s="3">
        <f>[1]Result_notebook_retravaill!K172</f>
        <v>10366.042281833819</v>
      </c>
      <c r="J172" s="3">
        <f>MIN(G172,[1]Result_notebook_retravaill!I172)</f>
        <v>0</v>
      </c>
      <c r="K172" s="3">
        <f>IF([1]Result_notebook_retravaill!I172&gt;[1]Result_notebook_retravaill!G172,0,IF([1]Result_notebook_retravaill!I172+[1]Result_notebook_retravaill!J172&gt;[1]Result_notebook_retravaill!G172,[1]Result_notebook_retravaill!G172-[1]Result_notebook_retravaill!I172,[1]Result_notebook_retravaill!J172))</f>
        <v>0</v>
      </c>
      <c r="L172" s="3">
        <f>IF([1]Result_notebook_retravaill!I172&gt;[1]Result_notebook_retravaill!G172,0,IF([1]Result_notebook_retravaill!I172+[1]Result_notebook_retravaill!J172&gt;[1]Result_notebook_retravaill!G172,0,[1]Result_notebook_retravaill!M172))</f>
        <v>7256.2295972836719</v>
      </c>
    </row>
    <row r="173" spans="1:12">
      <c r="A173">
        <f>[1]Result_notebook_retravaill!A173</f>
        <v>2026</v>
      </c>
      <c r="B173" t="str">
        <f>[1]Result_notebook_retravaill!B173</f>
        <v>Lithium</v>
      </c>
      <c r="C173" t="str">
        <f>[1]Result_notebook_retravaill!C173</f>
        <v>Current Measures</v>
      </c>
      <c r="D173" t="str">
        <f>[1]Result_notebook_retravaill!D173</f>
        <v>Existing production</v>
      </c>
      <c r="E173" t="str">
        <f>[1]Result_notebook_retravaill!E173</f>
        <v>Current shares</v>
      </c>
      <c r="F173" t="str">
        <f>[1]Result_notebook_retravaill!F173</f>
        <v>Status Quo</v>
      </c>
      <c r="G173">
        <f>[1]Result_notebook_retravaill!G173</f>
        <v>7256.2295972836719</v>
      </c>
      <c r="H173" s="3">
        <f>IF([1]Result_notebook_retravaill!I173&gt;[1]Result_notebook_retravaill!G173,[1]Result_notebook_retravaill!I173/[1]Result_notebook_retravaill!N173,[1]Result_notebook_retravaill!H173)</f>
        <v>35483.419778347088</v>
      </c>
      <c r="I173" s="3">
        <f>[1]Result_notebook_retravaill!K173</f>
        <v>0</v>
      </c>
      <c r="J173" s="3">
        <f>MIN(G173,[1]Result_notebook_retravaill!I173)</f>
        <v>7256.2295972836719</v>
      </c>
      <c r="K173" s="3">
        <f>IF([1]Result_notebook_retravaill!I173&gt;[1]Result_notebook_retravaill!G173,0,IF([1]Result_notebook_retravaill!I173+[1]Result_notebook_retravaill!J173&gt;[1]Result_notebook_retravaill!G173,[1]Result_notebook_retravaill!G173-[1]Result_notebook_retravaill!I173,[1]Result_notebook_retravaill!J173))</f>
        <v>0</v>
      </c>
      <c r="L173" s="3">
        <f>IF([1]Result_notebook_retravaill!I173&gt;[1]Result_notebook_retravaill!G173,0,IF([1]Result_notebook_retravaill!I173+[1]Result_notebook_retravaill!J173&gt;[1]Result_notebook_retravaill!G173,0,[1]Result_notebook_retravaill!M173))</f>
        <v>0</v>
      </c>
    </row>
    <row r="174" spans="1:12">
      <c r="A174">
        <f>[1]Result_notebook_retravaill!A174</f>
        <v>2026</v>
      </c>
      <c r="B174" t="str">
        <f>[1]Result_notebook_retravaill!B174</f>
        <v>Lithium</v>
      </c>
      <c r="C174" t="str">
        <f>[1]Result_notebook_retravaill!C174</f>
        <v>Current Measures</v>
      </c>
      <c r="D174" t="str">
        <f>[1]Result_notebook_retravaill!D174</f>
        <v>Production potential</v>
      </c>
      <c r="E174" t="str">
        <f>[1]Result_notebook_retravaill!E174</f>
        <v>Current shares</v>
      </c>
      <c r="F174" t="str">
        <f>[1]Result_notebook_retravaill!F174</f>
        <v>Expansion Extractive</v>
      </c>
      <c r="G174">
        <f>[1]Result_notebook_retravaill!G174</f>
        <v>7256.2295972836719</v>
      </c>
      <c r="H174" s="3">
        <f>IF([1]Result_notebook_retravaill!I174&gt;[1]Result_notebook_retravaill!G174,[1]Result_notebook_retravaill!I174/[1]Result_notebook_retravaill!N174,[1]Result_notebook_retravaill!H174)</f>
        <v>128131.46421449262</v>
      </c>
      <c r="I174" s="3">
        <f>[1]Result_notebook_retravaill!K174</f>
        <v>0</v>
      </c>
      <c r="J174" s="3">
        <f>MIN(G174,[1]Result_notebook_retravaill!I174)</f>
        <v>7256.2295972836719</v>
      </c>
      <c r="K174" s="3">
        <f>IF([1]Result_notebook_retravaill!I174&gt;[1]Result_notebook_retravaill!G174,0,IF([1]Result_notebook_retravaill!I174+[1]Result_notebook_retravaill!J174&gt;[1]Result_notebook_retravaill!G174,[1]Result_notebook_retravaill!G174-[1]Result_notebook_retravaill!I174,[1]Result_notebook_retravaill!J174))</f>
        <v>0</v>
      </c>
      <c r="L174" s="3">
        <f>IF([1]Result_notebook_retravaill!I174&gt;[1]Result_notebook_retravaill!G174,0,IF([1]Result_notebook_retravaill!I174+[1]Result_notebook_retravaill!J174&gt;[1]Result_notebook_retravaill!G174,0,[1]Result_notebook_retravaill!M174))</f>
        <v>0</v>
      </c>
    </row>
    <row r="175" spans="1:12">
      <c r="A175">
        <f>[1]Result_notebook_retravaill!A175</f>
        <v>2026</v>
      </c>
      <c r="B175" t="str">
        <f>[1]Result_notebook_retravaill!B175</f>
        <v>Lithium</v>
      </c>
      <c r="C175" t="str">
        <f>[1]Result_notebook_retravaill!C175</f>
        <v>Current Measures</v>
      </c>
      <c r="D175" t="str">
        <f>[1]Result_notebook_retravaill!D175</f>
        <v>Production potential</v>
      </c>
      <c r="E175" t="str">
        <f>[1]Result_notebook_retravaill!E175</f>
        <v>Current shares</v>
      </c>
      <c r="F175" t="str">
        <f>[1]Result_notebook_retravaill!F175</f>
        <v>Expansion Extractive+Circularity</v>
      </c>
      <c r="G175">
        <f>[1]Result_notebook_retravaill!G175</f>
        <v>7256.2295972836719</v>
      </c>
      <c r="H175" s="3">
        <f>IF([1]Result_notebook_retravaill!I175&gt;[1]Result_notebook_retravaill!G175,[1]Result_notebook_retravaill!I175/[1]Result_notebook_retravaill!N175,[1]Result_notebook_retravaill!H175)</f>
        <v>128131.46421449262</v>
      </c>
      <c r="I175" s="3">
        <f>[1]Result_notebook_retravaill!K175</f>
        <v>0</v>
      </c>
      <c r="J175" s="3">
        <f>MIN(G175,[1]Result_notebook_retravaill!I175)</f>
        <v>7256.2295972836719</v>
      </c>
      <c r="K175" s="3">
        <f>IF([1]Result_notebook_retravaill!I175&gt;[1]Result_notebook_retravaill!G175,0,IF([1]Result_notebook_retravaill!I175+[1]Result_notebook_retravaill!J175&gt;[1]Result_notebook_retravaill!G175,[1]Result_notebook_retravaill!G175-[1]Result_notebook_retravaill!I175,[1]Result_notebook_retravaill!J175))</f>
        <v>0</v>
      </c>
      <c r="L175" s="3">
        <f>IF([1]Result_notebook_retravaill!I175&gt;[1]Result_notebook_retravaill!G175,0,IF([1]Result_notebook_retravaill!I175+[1]Result_notebook_retravaill!J175&gt;[1]Result_notebook_retravaill!G175,0,[1]Result_notebook_retravaill!M175))</f>
        <v>0</v>
      </c>
    </row>
    <row r="176" spans="1:12">
      <c r="A176">
        <f>[1]Result_notebook_retravaill!A176</f>
        <v>2026</v>
      </c>
      <c r="B176" t="str">
        <f>[1]Result_notebook_retravaill!B176</f>
        <v>Lithium</v>
      </c>
      <c r="C176" t="str">
        <f>[1]Result_notebook_retravaill!C176</f>
        <v>Current Measures</v>
      </c>
      <c r="D176" t="str">
        <f>[1]Result_notebook_retravaill!D176</f>
        <v>Production potential</v>
      </c>
      <c r="E176" t="str">
        <f>[1]Result_notebook_retravaill!E176</f>
        <v>100% CAN</v>
      </c>
      <c r="F176" t="str">
        <f>[1]Result_notebook_retravaill!F176</f>
        <v>Integrated</v>
      </c>
      <c r="G176">
        <f>[1]Result_notebook_retravaill!G176</f>
        <v>7256.2295972836719</v>
      </c>
      <c r="H176" s="3">
        <f>IF([1]Result_notebook_retravaill!I176&gt;[1]Result_notebook_retravaill!G176,[1]Result_notebook_retravaill!I176/[1]Result_notebook_retravaill!N176,[1]Result_notebook_retravaill!H176)</f>
        <v>128131.46421449262</v>
      </c>
      <c r="I176" s="3">
        <f>[1]Result_notebook_retravaill!K176</f>
        <v>0</v>
      </c>
      <c r="J176" s="3">
        <f>MIN(G176,[1]Result_notebook_retravaill!I176)</f>
        <v>7256.2295972836719</v>
      </c>
      <c r="K176" s="3">
        <f>IF([1]Result_notebook_retravaill!I176&gt;[1]Result_notebook_retravaill!G176,0,IF([1]Result_notebook_retravaill!I176+[1]Result_notebook_retravaill!J176&gt;[1]Result_notebook_retravaill!G176,[1]Result_notebook_retravaill!G176-[1]Result_notebook_retravaill!I176,[1]Result_notebook_retravaill!J176))</f>
        <v>0</v>
      </c>
      <c r="L176" s="3">
        <f>IF([1]Result_notebook_retravaill!I176&gt;[1]Result_notebook_retravaill!G176,0,IF([1]Result_notebook_retravaill!I176+[1]Result_notebook_retravaill!J176&gt;[1]Result_notebook_retravaill!G176,0,[1]Result_notebook_retravaill!M176))</f>
        <v>0</v>
      </c>
    </row>
    <row r="177" spans="1:12">
      <c r="A177">
        <f>[1]Result_notebook_retravaill!A177</f>
        <v>2026</v>
      </c>
      <c r="B177" t="str">
        <f>[1]Result_notebook_retravaill!B177</f>
        <v>Lithium</v>
      </c>
      <c r="C177" t="str">
        <f>[1]Result_notebook_retravaill!C177</f>
        <v>Global Net-zero</v>
      </c>
      <c r="D177" t="str">
        <f>[1]Result_notebook_retravaill!D177</f>
        <v>Existing production</v>
      </c>
      <c r="E177" t="str">
        <f>[1]Result_notebook_retravaill!E177</f>
        <v>Current shares</v>
      </c>
      <c r="F177" t="str">
        <f>[1]Result_notebook_retravaill!F177</f>
        <v>NIMBY</v>
      </c>
      <c r="G177">
        <f>[1]Result_notebook_retravaill!G177</f>
        <v>9147.6463324870547</v>
      </c>
      <c r="H177" s="3">
        <f>IF([1]Result_notebook_retravaill!I177&gt;[1]Result_notebook_retravaill!G177,[1]Result_notebook_retravaill!I177/[1]Result_notebook_retravaill!N177,[1]Result_notebook_retravaill!H177)</f>
        <v>0</v>
      </c>
      <c r="I177" s="3">
        <f>[1]Result_notebook_retravaill!K177</f>
        <v>13068.06618926722</v>
      </c>
      <c r="J177" s="3">
        <f>MIN(G177,[1]Result_notebook_retravaill!I177)</f>
        <v>0</v>
      </c>
      <c r="K177" s="3">
        <f>IF([1]Result_notebook_retravaill!I177&gt;[1]Result_notebook_retravaill!G177,0,IF([1]Result_notebook_retravaill!I177+[1]Result_notebook_retravaill!J177&gt;[1]Result_notebook_retravaill!G177,[1]Result_notebook_retravaill!G177-[1]Result_notebook_retravaill!I177,[1]Result_notebook_retravaill!J177))</f>
        <v>0</v>
      </c>
      <c r="L177" s="3">
        <f>IF([1]Result_notebook_retravaill!I177&gt;[1]Result_notebook_retravaill!G177,0,IF([1]Result_notebook_retravaill!I177+[1]Result_notebook_retravaill!J177&gt;[1]Result_notebook_retravaill!G177,0,[1]Result_notebook_retravaill!M177))</f>
        <v>9147.6463324870547</v>
      </c>
    </row>
    <row r="178" spans="1:12">
      <c r="A178">
        <f>[1]Result_notebook_retravaill!A178</f>
        <v>2026</v>
      </c>
      <c r="B178" t="str">
        <f>[1]Result_notebook_retravaill!B178</f>
        <v>Lithium</v>
      </c>
      <c r="C178" t="str">
        <f>[1]Result_notebook_retravaill!C178</f>
        <v>Global Net-zero</v>
      </c>
      <c r="D178" t="str">
        <f>[1]Result_notebook_retravaill!D178</f>
        <v>Existing production</v>
      </c>
      <c r="E178" t="str">
        <f>[1]Result_notebook_retravaill!E178</f>
        <v>Current shares</v>
      </c>
      <c r="F178" t="str">
        <f>[1]Result_notebook_retravaill!F178</f>
        <v>Status Quo</v>
      </c>
      <c r="G178">
        <f>[1]Result_notebook_retravaill!G178</f>
        <v>9147.6463324870547</v>
      </c>
      <c r="H178" s="3">
        <f>IF([1]Result_notebook_retravaill!I178&gt;[1]Result_notebook_retravaill!G178,[1]Result_notebook_retravaill!I178/[1]Result_notebook_retravaill!N178,[1]Result_notebook_retravaill!H178)</f>
        <v>35483.419778347088</v>
      </c>
      <c r="I178" s="3">
        <f>[1]Result_notebook_retravaill!K178</f>
        <v>0</v>
      </c>
      <c r="J178" s="3">
        <f>MIN(G178,[1]Result_notebook_retravaill!I178)</f>
        <v>9147.6463324870547</v>
      </c>
      <c r="K178" s="3">
        <f>IF([1]Result_notebook_retravaill!I178&gt;[1]Result_notebook_retravaill!G178,0,IF([1]Result_notebook_retravaill!I178+[1]Result_notebook_retravaill!J178&gt;[1]Result_notebook_retravaill!G178,[1]Result_notebook_retravaill!G178-[1]Result_notebook_retravaill!I178,[1]Result_notebook_retravaill!J178))</f>
        <v>0</v>
      </c>
      <c r="L178" s="3">
        <f>IF([1]Result_notebook_retravaill!I178&gt;[1]Result_notebook_retravaill!G178,0,IF([1]Result_notebook_retravaill!I178+[1]Result_notebook_retravaill!J178&gt;[1]Result_notebook_retravaill!G178,0,[1]Result_notebook_retravaill!M178))</f>
        <v>0</v>
      </c>
    </row>
    <row r="179" spans="1:12">
      <c r="A179">
        <f>[1]Result_notebook_retravaill!A179</f>
        <v>2026</v>
      </c>
      <c r="B179" t="str">
        <f>[1]Result_notebook_retravaill!B179</f>
        <v>Lithium</v>
      </c>
      <c r="C179" t="str">
        <f>[1]Result_notebook_retravaill!C179</f>
        <v>Global Net-zero</v>
      </c>
      <c r="D179" t="str">
        <f>[1]Result_notebook_retravaill!D179</f>
        <v>Production potential</v>
      </c>
      <c r="E179" t="str">
        <f>[1]Result_notebook_retravaill!E179</f>
        <v>Current shares</v>
      </c>
      <c r="F179" t="str">
        <f>[1]Result_notebook_retravaill!F179</f>
        <v>Expansion Extractive</v>
      </c>
      <c r="G179">
        <f>[1]Result_notebook_retravaill!G179</f>
        <v>9147.6463324870547</v>
      </c>
      <c r="H179" s="3">
        <f>IF([1]Result_notebook_retravaill!I179&gt;[1]Result_notebook_retravaill!G179,[1]Result_notebook_retravaill!I179/[1]Result_notebook_retravaill!N179,[1]Result_notebook_retravaill!H179)</f>
        <v>128131.46421449262</v>
      </c>
      <c r="I179" s="3">
        <f>[1]Result_notebook_retravaill!K179</f>
        <v>0</v>
      </c>
      <c r="J179" s="3">
        <f>MIN(G179,[1]Result_notebook_retravaill!I179)</f>
        <v>9147.6463324870547</v>
      </c>
      <c r="K179" s="3">
        <f>IF([1]Result_notebook_retravaill!I179&gt;[1]Result_notebook_retravaill!G179,0,IF([1]Result_notebook_retravaill!I179+[1]Result_notebook_retravaill!J179&gt;[1]Result_notebook_retravaill!G179,[1]Result_notebook_retravaill!G179-[1]Result_notebook_retravaill!I179,[1]Result_notebook_retravaill!J179))</f>
        <v>0</v>
      </c>
      <c r="L179" s="3">
        <f>IF([1]Result_notebook_retravaill!I179&gt;[1]Result_notebook_retravaill!G179,0,IF([1]Result_notebook_retravaill!I179+[1]Result_notebook_retravaill!J179&gt;[1]Result_notebook_retravaill!G179,0,[1]Result_notebook_retravaill!M179))</f>
        <v>0</v>
      </c>
    </row>
    <row r="180" spans="1:12">
      <c r="A180">
        <f>[1]Result_notebook_retravaill!A180</f>
        <v>2026</v>
      </c>
      <c r="B180" t="str">
        <f>[1]Result_notebook_retravaill!B180</f>
        <v>Lithium</v>
      </c>
      <c r="C180" t="str">
        <f>[1]Result_notebook_retravaill!C180</f>
        <v>Global Net-zero</v>
      </c>
      <c r="D180" t="str">
        <f>[1]Result_notebook_retravaill!D180</f>
        <v>Production potential</v>
      </c>
      <c r="E180" t="str">
        <f>[1]Result_notebook_retravaill!E180</f>
        <v>Current shares</v>
      </c>
      <c r="F180" t="str">
        <f>[1]Result_notebook_retravaill!F180</f>
        <v>Expansion Extractive+Circularity</v>
      </c>
      <c r="G180">
        <f>[1]Result_notebook_retravaill!G180</f>
        <v>9147.6463324870547</v>
      </c>
      <c r="H180" s="3">
        <f>IF([1]Result_notebook_retravaill!I180&gt;[1]Result_notebook_retravaill!G180,[1]Result_notebook_retravaill!I180/[1]Result_notebook_retravaill!N180,[1]Result_notebook_retravaill!H180)</f>
        <v>128131.46421449262</v>
      </c>
      <c r="I180" s="3">
        <f>[1]Result_notebook_retravaill!K180</f>
        <v>0</v>
      </c>
      <c r="J180" s="3">
        <f>MIN(G180,[1]Result_notebook_retravaill!I180)</f>
        <v>9147.6463324870547</v>
      </c>
      <c r="K180" s="3">
        <f>IF([1]Result_notebook_retravaill!I180&gt;[1]Result_notebook_retravaill!G180,0,IF([1]Result_notebook_retravaill!I180+[1]Result_notebook_retravaill!J180&gt;[1]Result_notebook_retravaill!G180,[1]Result_notebook_retravaill!G180-[1]Result_notebook_retravaill!I180,[1]Result_notebook_retravaill!J180))</f>
        <v>0</v>
      </c>
      <c r="L180" s="3">
        <f>IF([1]Result_notebook_retravaill!I180&gt;[1]Result_notebook_retravaill!G180,0,IF([1]Result_notebook_retravaill!I180+[1]Result_notebook_retravaill!J180&gt;[1]Result_notebook_retravaill!G180,0,[1]Result_notebook_retravaill!M180))</f>
        <v>0</v>
      </c>
    </row>
    <row r="181" spans="1:12">
      <c r="A181">
        <f>[1]Result_notebook_retravaill!A181</f>
        <v>2026</v>
      </c>
      <c r="B181" t="str">
        <f>[1]Result_notebook_retravaill!B181</f>
        <v>Lithium</v>
      </c>
      <c r="C181" t="str">
        <f>[1]Result_notebook_retravaill!C181</f>
        <v>Global Net-zero</v>
      </c>
      <c r="D181" t="str">
        <f>[1]Result_notebook_retravaill!D181</f>
        <v>Production potential</v>
      </c>
      <c r="E181" t="str">
        <f>[1]Result_notebook_retravaill!E181</f>
        <v>100% CAN</v>
      </c>
      <c r="F181" t="str">
        <f>[1]Result_notebook_retravaill!F181</f>
        <v>Integrated</v>
      </c>
      <c r="G181">
        <f>[1]Result_notebook_retravaill!G181</f>
        <v>9147.6463324870547</v>
      </c>
      <c r="H181" s="3">
        <f>IF([1]Result_notebook_retravaill!I181&gt;[1]Result_notebook_retravaill!G181,[1]Result_notebook_retravaill!I181/[1]Result_notebook_retravaill!N181,[1]Result_notebook_retravaill!H181)</f>
        <v>128131.46421449262</v>
      </c>
      <c r="I181" s="3">
        <f>[1]Result_notebook_retravaill!K181</f>
        <v>0</v>
      </c>
      <c r="J181" s="3">
        <f>MIN(G181,[1]Result_notebook_retravaill!I181)</f>
        <v>9147.6463324870547</v>
      </c>
      <c r="K181" s="3">
        <f>IF([1]Result_notebook_retravaill!I181&gt;[1]Result_notebook_retravaill!G181,0,IF([1]Result_notebook_retravaill!I181+[1]Result_notebook_retravaill!J181&gt;[1]Result_notebook_retravaill!G181,[1]Result_notebook_retravaill!G181-[1]Result_notebook_retravaill!I181,[1]Result_notebook_retravaill!J181))</f>
        <v>0</v>
      </c>
      <c r="L181" s="3">
        <f>IF([1]Result_notebook_retravaill!I181&gt;[1]Result_notebook_retravaill!G181,0,IF([1]Result_notebook_retravaill!I181+[1]Result_notebook_retravaill!J181&gt;[1]Result_notebook_retravaill!G181,0,[1]Result_notebook_retravaill!M181))</f>
        <v>0</v>
      </c>
    </row>
    <row r="182" spans="1:12">
      <c r="A182">
        <f>[1]Result_notebook_retravaill!A182</f>
        <v>2027</v>
      </c>
      <c r="B182" t="str">
        <f>[1]Result_notebook_retravaill!B182</f>
        <v>Cobalt</v>
      </c>
      <c r="C182" t="str">
        <f>[1]Result_notebook_retravaill!C182</f>
        <v>Canada Net-zero</v>
      </c>
      <c r="D182" t="str">
        <f>[1]Result_notebook_retravaill!D182</f>
        <v>Existing production</v>
      </c>
      <c r="E182" t="str">
        <f>[1]Result_notebook_retravaill!E182</f>
        <v>Current shares</v>
      </c>
      <c r="F182" t="str">
        <f>[1]Result_notebook_retravaill!F182</f>
        <v>NIMBY</v>
      </c>
      <c r="G182">
        <f>[1]Result_notebook_retravaill!G182</f>
        <v>22846.056566280731</v>
      </c>
      <c r="H182" s="3">
        <f>IF([1]Result_notebook_retravaill!I182&gt;[1]Result_notebook_retravaill!G182,[1]Result_notebook_retravaill!I182/[1]Result_notebook_retravaill!N182,[1]Result_notebook_retravaill!H182)</f>
        <v>0</v>
      </c>
      <c r="I182" s="3">
        <f>[1]Result_notebook_retravaill!K182</f>
        <v>51922.855832456196</v>
      </c>
      <c r="J182" s="3">
        <f>MIN(G182,[1]Result_notebook_retravaill!I182)</f>
        <v>0</v>
      </c>
      <c r="K182" s="3">
        <f>IF([1]Result_notebook_retravaill!I182&gt;[1]Result_notebook_retravaill!G182,0,IF([1]Result_notebook_retravaill!I182+[1]Result_notebook_retravaill!J182&gt;[1]Result_notebook_retravaill!G182,[1]Result_notebook_retravaill!G182-[1]Result_notebook_retravaill!I182,[1]Result_notebook_retravaill!J182))</f>
        <v>0</v>
      </c>
      <c r="L182" s="3">
        <f>IF([1]Result_notebook_retravaill!I182&gt;[1]Result_notebook_retravaill!G182,0,IF([1]Result_notebook_retravaill!I182+[1]Result_notebook_retravaill!J182&gt;[1]Result_notebook_retravaill!G182,0,[1]Result_notebook_retravaill!M182))</f>
        <v>22846.056566280731</v>
      </c>
    </row>
    <row r="183" spans="1:12">
      <c r="A183">
        <f>[1]Result_notebook_retravaill!A183</f>
        <v>2027</v>
      </c>
      <c r="B183" t="str">
        <f>[1]Result_notebook_retravaill!B183</f>
        <v>Cobalt</v>
      </c>
      <c r="C183" t="str">
        <f>[1]Result_notebook_retravaill!C183</f>
        <v>Canada Net-zero</v>
      </c>
      <c r="D183" t="str">
        <f>[1]Result_notebook_retravaill!D183</f>
        <v>Existing production</v>
      </c>
      <c r="E183" t="str">
        <f>[1]Result_notebook_retravaill!E183</f>
        <v>Current shares</v>
      </c>
      <c r="F183" t="str">
        <f>[1]Result_notebook_retravaill!F183</f>
        <v>Status Quo</v>
      </c>
      <c r="G183">
        <f>[1]Result_notebook_retravaill!G183</f>
        <v>22846.056566280731</v>
      </c>
      <c r="H183" s="3">
        <f>IF([1]Result_notebook_retravaill!I183&gt;[1]Result_notebook_retravaill!G183,[1]Result_notebook_retravaill!I183/[1]Result_notebook_retravaill!N183,[1]Result_notebook_retravaill!H183)</f>
        <v>4176</v>
      </c>
      <c r="I183" s="3">
        <f>[1]Result_notebook_retravaill!K183</f>
        <v>47746.855832456196</v>
      </c>
      <c r="J183" s="3">
        <f>MIN(G183,[1]Result_notebook_retravaill!I183)</f>
        <v>1771.38331528816</v>
      </c>
      <c r="K183" s="3">
        <f>IF([1]Result_notebook_retravaill!I183&gt;[1]Result_notebook_retravaill!G183,0,IF([1]Result_notebook_retravaill!I183+[1]Result_notebook_retravaill!J183&gt;[1]Result_notebook_retravaill!G183,[1]Result_notebook_retravaill!G183-[1]Result_notebook_retravaill!I183,[1]Result_notebook_retravaill!J183))</f>
        <v>63.327943020660086</v>
      </c>
      <c r="L183" s="3">
        <f>IF([1]Result_notebook_retravaill!I183&gt;[1]Result_notebook_retravaill!G183,0,IF([1]Result_notebook_retravaill!I183+[1]Result_notebook_retravaill!J183&gt;[1]Result_notebook_retravaill!G183,0,[1]Result_notebook_retravaill!M183))</f>
        <v>21011.345307971911</v>
      </c>
    </row>
    <row r="184" spans="1:12">
      <c r="A184">
        <f>[1]Result_notebook_retravaill!A184</f>
        <v>2027</v>
      </c>
      <c r="B184" t="str">
        <f>[1]Result_notebook_retravaill!B184</f>
        <v>Cobalt</v>
      </c>
      <c r="C184" t="str">
        <f>[1]Result_notebook_retravaill!C184</f>
        <v>Canada Net-zero</v>
      </c>
      <c r="D184" t="str">
        <f>[1]Result_notebook_retravaill!D184</f>
        <v>Production potential</v>
      </c>
      <c r="E184" t="str">
        <f>[1]Result_notebook_retravaill!E184</f>
        <v>Current shares</v>
      </c>
      <c r="F184" t="str">
        <f>[1]Result_notebook_retravaill!F184</f>
        <v>Expansion Extractive</v>
      </c>
      <c r="G184">
        <f>[1]Result_notebook_retravaill!G184</f>
        <v>22846.056566280731</v>
      </c>
      <c r="H184" s="3">
        <f>IF([1]Result_notebook_retravaill!I184&gt;[1]Result_notebook_retravaill!G184,[1]Result_notebook_retravaill!I184/[1]Result_notebook_retravaill!N184,[1]Result_notebook_retravaill!H184)</f>
        <v>5307</v>
      </c>
      <c r="I184" s="3">
        <f>[1]Result_notebook_retravaill!K184</f>
        <v>46615.855832456196</v>
      </c>
      <c r="J184" s="3">
        <f>MIN(G184,[1]Result_notebook_retravaill!I184)</f>
        <v>2251.1329631787039</v>
      </c>
      <c r="K184" s="3">
        <f>IF([1]Result_notebook_retravaill!I184&gt;[1]Result_notebook_retravaill!G184,0,IF([1]Result_notebook_retravaill!I184+[1]Result_notebook_retravaill!J184&gt;[1]Result_notebook_retravaill!G184,[1]Result_notebook_retravaill!G184-[1]Result_notebook_retravaill!I184,[1]Result_notebook_retravaill!J184))</f>
        <v>80.479260922088542</v>
      </c>
      <c r="L184" s="3">
        <f>IF([1]Result_notebook_retravaill!I184&gt;[1]Result_notebook_retravaill!G184,0,IF([1]Result_notebook_retravaill!I184+[1]Result_notebook_retravaill!J184&gt;[1]Result_notebook_retravaill!G184,0,[1]Result_notebook_retravaill!M184))</f>
        <v>20514.444342179941</v>
      </c>
    </row>
    <row r="185" spans="1:12">
      <c r="A185">
        <f>[1]Result_notebook_retravaill!A185</f>
        <v>2027</v>
      </c>
      <c r="B185" t="str">
        <f>[1]Result_notebook_retravaill!B185</f>
        <v>Cobalt</v>
      </c>
      <c r="C185" t="str">
        <f>[1]Result_notebook_retravaill!C185</f>
        <v>Canada Net-zero</v>
      </c>
      <c r="D185" t="str">
        <f>[1]Result_notebook_retravaill!D185</f>
        <v>Production potential</v>
      </c>
      <c r="E185" t="str">
        <f>[1]Result_notebook_retravaill!E185</f>
        <v>Current shares</v>
      </c>
      <c r="F185" t="str">
        <f>[1]Result_notebook_retravaill!F185</f>
        <v>Expansion Extractive+Circularity</v>
      </c>
      <c r="G185">
        <f>[1]Result_notebook_retravaill!G185</f>
        <v>22846.056566280731</v>
      </c>
      <c r="H185" s="3">
        <f>IF([1]Result_notebook_retravaill!I185&gt;[1]Result_notebook_retravaill!G185,[1]Result_notebook_retravaill!I185/[1]Result_notebook_retravaill!N185,[1]Result_notebook_retravaill!H185)</f>
        <v>5307</v>
      </c>
      <c r="I185" s="3">
        <f>[1]Result_notebook_retravaill!K185</f>
        <v>46615.855832456196</v>
      </c>
      <c r="J185" s="3">
        <f>MIN(G185,[1]Result_notebook_retravaill!I185)</f>
        <v>2251.1329631787039</v>
      </c>
      <c r="K185" s="3">
        <f>IF([1]Result_notebook_retravaill!I185&gt;[1]Result_notebook_retravaill!G185,0,IF([1]Result_notebook_retravaill!I185+[1]Result_notebook_retravaill!J185&gt;[1]Result_notebook_retravaill!G185,[1]Result_notebook_retravaill!G185-[1]Result_notebook_retravaill!I185,[1]Result_notebook_retravaill!J185))</f>
        <v>80.479260922088542</v>
      </c>
      <c r="L185" s="3">
        <f>IF([1]Result_notebook_retravaill!I185&gt;[1]Result_notebook_retravaill!G185,0,IF([1]Result_notebook_retravaill!I185+[1]Result_notebook_retravaill!J185&gt;[1]Result_notebook_retravaill!G185,0,[1]Result_notebook_retravaill!M185))</f>
        <v>20514.444342179941</v>
      </c>
    </row>
    <row r="186" spans="1:12">
      <c r="A186">
        <f>[1]Result_notebook_retravaill!A186</f>
        <v>2027</v>
      </c>
      <c r="B186" t="str">
        <f>[1]Result_notebook_retravaill!B186</f>
        <v>Cobalt</v>
      </c>
      <c r="C186" t="str">
        <f>[1]Result_notebook_retravaill!C186</f>
        <v>Canada Net-zero</v>
      </c>
      <c r="D186" t="str">
        <f>[1]Result_notebook_retravaill!D186</f>
        <v>Production potential</v>
      </c>
      <c r="E186" t="str">
        <f>[1]Result_notebook_retravaill!E186</f>
        <v>100% CAN</v>
      </c>
      <c r="F186" t="str">
        <f>[1]Result_notebook_retravaill!F186</f>
        <v>Integrated</v>
      </c>
      <c r="G186">
        <f>[1]Result_notebook_retravaill!G186</f>
        <v>22846.056566280731</v>
      </c>
      <c r="H186" s="3">
        <f>IF([1]Result_notebook_retravaill!I186&gt;[1]Result_notebook_retravaill!G186,[1]Result_notebook_retravaill!I186/[1]Result_notebook_retravaill!N186,[1]Result_notebook_retravaill!H186)</f>
        <v>5307</v>
      </c>
      <c r="I186" s="3">
        <f>[1]Result_notebook_retravaill!K186</f>
        <v>46615.855832456196</v>
      </c>
      <c r="J186" s="3">
        <f>MIN(G186,[1]Result_notebook_retravaill!I186)</f>
        <v>2331.6122241007938</v>
      </c>
      <c r="K186" s="3">
        <f>IF([1]Result_notebook_retravaill!I186&gt;[1]Result_notebook_retravaill!G186,0,IF([1]Result_notebook_retravaill!I186+[1]Result_notebook_retravaill!J186&gt;[1]Result_notebook_retravaill!G186,[1]Result_notebook_retravaill!G186-[1]Result_notebook_retravaill!I186,[1]Result_notebook_retravaill!J186))</f>
        <v>0</v>
      </c>
      <c r="L186" s="3">
        <f>IF([1]Result_notebook_retravaill!I186&gt;[1]Result_notebook_retravaill!G186,0,IF([1]Result_notebook_retravaill!I186+[1]Result_notebook_retravaill!J186&gt;[1]Result_notebook_retravaill!G186,0,[1]Result_notebook_retravaill!M186))</f>
        <v>20514.444342179941</v>
      </c>
    </row>
    <row r="187" spans="1:12">
      <c r="A187">
        <f>[1]Result_notebook_retravaill!A187</f>
        <v>2027</v>
      </c>
      <c r="B187" t="str">
        <f>[1]Result_notebook_retravaill!B187</f>
        <v>Cobalt</v>
      </c>
      <c r="C187" t="str">
        <f>[1]Result_notebook_retravaill!C187</f>
        <v>Current Measures</v>
      </c>
      <c r="D187" t="str">
        <f>[1]Result_notebook_retravaill!D187</f>
        <v>Existing production</v>
      </c>
      <c r="E187" t="str">
        <f>[1]Result_notebook_retravaill!E187</f>
        <v>Current shares</v>
      </c>
      <c r="F187" t="str">
        <f>[1]Result_notebook_retravaill!F187</f>
        <v>NIMBY</v>
      </c>
      <c r="G187">
        <f>[1]Result_notebook_retravaill!G187</f>
        <v>15414.951244320981</v>
      </c>
      <c r="H187" s="3">
        <f>IF([1]Result_notebook_retravaill!I187&gt;[1]Result_notebook_retravaill!G187,[1]Result_notebook_retravaill!I187/[1]Result_notebook_retravaill!N187,[1]Result_notebook_retravaill!H187)</f>
        <v>0</v>
      </c>
      <c r="I187" s="3">
        <f>[1]Result_notebook_retravaill!K187</f>
        <v>35033.980100729503</v>
      </c>
      <c r="J187" s="3">
        <f>MIN(G187,[1]Result_notebook_retravaill!I187)</f>
        <v>0</v>
      </c>
      <c r="K187" s="3">
        <f>IF([1]Result_notebook_retravaill!I187&gt;[1]Result_notebook_retravaill!G187,0,IF([1]Result_notebook_retravaill!I187+[1]Result_notebook_retravaill!J187&gt;[1]Result_notebook_retravaill!G187,[1]Result_notebook_retravaill!G187-[1]Result_notebook_retravaill!I187,[1]Result_notebook_retravaill!J187))</f>
        <v>0</v>
      </c>
      <c r="L187" s="3">
        <f>IF([1]Result_notebook_retravaill!I187&gt;[1]Result_notebook_retravaill!G187,0,IF([1]Result_notebook_retravaill!I187+[1]Result_notebook_retravaill!J187&gt;[1]Result_notebook_retravaill!G187,0,[1]Result_notebook_retravaill!M187))</f>
        <v>15414.951244320981</v>
      </c>
    </row>
    <row r="188" spans="1:12">
      <c r="A188">
        <f>[1]Result_notebook_retravaill!A188</f>
        <v>2027</v>
      </c>
      <c r="B188" t="str">
        <f>[1]Result_notebook_retravaill!B188</f>
        <v>Cobalt</v>
      </c>
      <c r="C188" t="str">
        <f>[1]Result_notebook_retravaill!C188</f>
        <v>Current Measures</v>
      </c>
      <c r="D188" t="str">
        <f>[1]Result_notebook_retravaill!D188</f>
        <v>Existing production</v>
      </c>
      <c r="E188" t="str">
        <f>[1]Result_notebook_retravaill!E188</f>
        <v>Current shares</v>
      </c>
      <c r="F188" t="str">
        <f>[1]Result_notebook_retravaill!F188</f>
        <v>Status Quo</v>
      </c>
      <c r="G188">
        <f>[1]Result_notebook_retravaill!G188</f>
        <v>15414.951244320981</v>
      </c>
      <c r="H188" s="3">
        <f>IF([1]Result_notebook_retravaill!I188&gt;[1]Result_notebook_retravaill!G188,[1]Result_notebook_retravaill!I188/[1]Result_notebook_retravaill!N188,[1]Result_notebook_retravaill!H188)</f>
        <v>4176</v>
      </c>
      <c r="I188" s="3">
        <f>[1]Result_notebook_retravaill!K188</f>
        <v>30857.980100729499</v>
      </c>
      <c r="J188" s="3">
        <f>MIN(G188,[1]Result_notebook_retravaill!I188)</f>
        <v>1771.38331528816</v>
      </c>
      <c r="K188" s="3">
        <f>IF([1]Result_notebook_retravaill!I188&gt;[1]Result_notebook_retravaill!G188,0,IF([1]Result_notebook_retravaill!I188+[1]Result_notebook_retravaill!J188&gt;[1]Result_notebook_retravaill!G188,[1]Result_notebook_retravaill!G188-[1]Result_notebook_retravaill!I188,[1]Result_notebook_retravaill!J188))</f>
        <v>63.327943020660086</v>
      </c>
      <c r="L188" s="3">
        <f>IF([1]Result_notebook_retravaill!I188&gt;[1]Result_notebook_retravaill!G188,0,IF([1]Result_notebook_retravaill!I188+[1]Result_notebook_retravaill!J188&gt;[1]Result_notebook_retravaill!G188,0,[1]Result_notebook_retravaill!M188))</f>
        <v>13580.23998601216</v>
      </c>
    </row>
    <row r="189" spans="1:12">
      <c r="A189">
        <f>[1]Result_notebook_retravaill!A189</f>
        <v>2027</v>
      </c>
      <c r="B189" t="str">
        <f>[1]Result_notebook_retravaill!B189</f>
        <v>Cobalt</v>
      </c>
      <c r="C189" t="str">
        <f>[1]Result_notebook_retravaill!C189</f>
        <v>Current Measures</v>
      </c>
      <c r="D189" t="str">
        <f>[1]Result_notebook_retravaill!D189</f>
        <v>Production potential</v>
      </c>
      <c r="E189" t="str">
        <f>[1]Result_notebook_retravaill!E189</f>
        <v>Current shares</v>
      </c>
      <c r="F189" t="str">
        <f>[1]Result_notebook_retravaill!F189</f>
        <v>Expansion Extractive</v>
      </c>
      <c r="G189">
        <f>[1]Result_notebook_retravaill!G189</f>
        <v>15414.951244320981</v>
      </c>
      <c r="H189" s="3">
        <f>IF([1]Result_notebook_retravaill!I189&gt;[1]Result_notebook_retravaill!G189,[1]Result_notebook_retravaill!I189/[1]Result_notebook_retravaill!N189,[1]Result_notebook_retravaill!H189)</f>
        <v>5307</v>
      </c>
      <c r="I189" s="3">
        <f>[1]Result_notebook_retravaill!K189</f>
        <v>29726.980100729499</v>
      </c>
      <c r="J189" s="3">
        <f>MIN(G189,[1]Result_notebook_retravaill!I189)</f>
        <v>2251.1329631787039</v>
      </c>
      <c r="K189" s="3">
        <f>IF([1]Result_notebook_retravaill!I189&gt;[1]Result_notebook_retravaill!G189,0,IF([1]Result_notebook_retravaill!I189+[1]Result_notebook_retravaill!J189&gt;[1]Result_notebook_retravaill!G189,[1]Result_notebook_retravaill!G189-[1]Result_notebook_retravaill!I189,[1]Result_notebook_retravaill!J189))</f>
        <v>80.479260922088542</v>
      </c>
      <c r="L189" s="3">
        <f>IF([1]Result_notebook_retravaill!I189&gt;[1]Result_notebook_retravaill!G189,0,IF([1]Result_notebook_retravaill!I189+[1]Result_notebook_retravaill!J189&gt;[1]Result_notebook_retravaill!G189,0,[1]Result_notebook_retravaill!M189))</f>
        <v>13083.339020220192</v>
      </c>
    </row>
    <row r="190" spans="1:12">
      <c r="A190">
        <f>[1]Result_notebook_retravaill!A190</f>
        <v>2027</v>
      </c>
      <c r="B190" t="str">
        <f>[1]Result_notebook_retravaill!B190</f>
        <v>Cobalt</v>
      </c>
      <c r="C190" t="str">
        <f>[1]Result_notebook_retravaill!C190</f>
        <v>Current Measures</v>
      </c>
      <c r="D190" t="str">
        <f>[1]Result_notebook_retravaill!D190</f>
        <v>Production potential</v>
      </c>
      <c r="E190" t="str">
        <f>[1]Result_notebook_retravaill!E190</f>
        <v>Current shares</v>
      </c>
      <c r="F190" t="str">
        <f>[1]Result_notebook_retravaill!F190</f>
        <v>Expansion Extractive+Circularity</v>
      </c>
      <c r="G190">
        <f>[1]Result_notebook_retravaill!G190</f>
        <v>15414.951244320981</v>
      </c>
      <c r="H190" s="3">
        <f>IF([1]Result_notebook_retravaill!I190&gt;[1]Result_notebook_retravaill!G190,[1]Result_notebook_retravaill!I190/[1]Result_notebook_retravaill!N190,[1]Result_notebook_retravaill!H190)</f>
        <v>5307</v>
      </c>
      <c r="I190" s="3">
        <f>[1]Result_notebook_retravaill!K190</f>
        <v>29726.980100729499</v>
      </c>
      <c r="J190" s="3">
        <f>MIN(G190,[1]Result_notebook_retravaill!I190)</f>
        <v>2251.1329631787039</v>
      </c>
      <c r="K190" s="3">
        <f>IF([1]Result_notebook_retravaill!I190&gt;[1]Result_notebook_retravaill!G190,0,IF([1]Result_notebook_retravaill!I190+[1]Result_notebook_retravaill!J190&gt;[1]Result_notebook_retravaill!G190,[1]Result_notebook_retravaill!G190-[1]Result_notebook_retravaill!I190,[1]Result_notebook_retravaill!J190))</f>
        <v>80.479260922088542</v>
      </c>
      <c r="L190" s="3">
        <f>IF([1]Result_notebook_retravaill!I190&gt;[1]Result_notebook_retravaill!G190,0,IF([1]Result_notebook_retravaill!I190+[1]Result_notebook_retravaill!J190&gt;[1]Result_notebook_retravaill!G190,0,[1]Result_notebook_retravaill!M190))</f>
        <v>13083.339020220192</v>
      </c>
    </row>
    <row r="191" spans="1:12">
      <c r="A191">
        <f>[1]Result_notebook_retravaill!A191</f>
        <v>2027</v>
      </c>
      <c r="B191" t="str">
        <f>[1]Result_notebook_retravaill!B191</f>
        <v>Cobalt</v>
      </c>
      <c r="C191" t="str">
        <f>[1]Result_notebook_retravaill!C191</f>
        <v>Current Measures</v>
      </c>
      <c r="D191" t="str">
        <f>[1]Result_notebook_retravaill!D191</f>
        <v>Production potential</v>
      </c>
      <c r="E191" t="str">
        <f>[1]Result_notebook_retravaill!E191</f>
        <v>100% CAN</v>
      </c>
      <c r="F191" t="str">
        <f>[1]Result_notebook_retravaill!F191</f>
        <v>Integrated</v>
      </c>
      <c r="G191">
        <f>[1]Result_notebook_retravaill!G191</f>
        <v>15414.951244320981</v>
      </c>
      <c r="H191" s="3">
        <f>IF([1]Result_notebook_retravaill!I191&gt;[1]Result_notebook_retravaill!G191,[1]Result_notebook_retravaill!I191/[1]Result_notebook_retravaill!N191,[1]Result_notebook_retravaill!H191)</f>
        <v>5307</v>
      </c>
      <c r="I191" s="3">
        <f>[1]Result_notebook_retravaill!K191</f>
        <v>29726.980100729499</v>
      </c>
      <c r="J191" s="3">
        <f>MIN(G191,[1]Result_notebook_retravaill!I191)</f>
        <v>2331.6122241007938</v>
      </c>
      <c r="K191" s="3">
        <f>IF([1]Result_notebook_retravaill!I191&gt;[1]Result_notebook_retravaill!G191,0,IF([1]Result_notebook_retravaill!I191+[1]Result_notebook_retravaill!J191&gt;[1]Result_notebook_retravaill!G191,[1]Result_notebook_retravaill!G191-[1]Result_notebook_retravaill!I191,[1]Result_notebook_retravaill!J191))</f>
        <v>0</v>
      </c>
      <c r="L191" s="3">
        <f>IF([1]Result_notebook_retravaill!I191&gt;[1]Result_notebook_retravaill!G191,0,IF([1]Result_notebook_retravaill!I191+[1]Result_notebook_retravaill!J191&gt;[1]Result_notebook_retravaill!G191,0,[1]Result_notebook_retravaill!M191))</f>
        <v>13083.33902022019</v>
      </c>
    </row>
    <row r="192" spans="1:12">
      <c r="A192">
        <f>[1]Result_notebook_retravaill!A192</f>
        <v>2027</v>
      </c>
      <c r="B192" t="str">
        <f>[1]Result_notebook_retravaill!B192</f>
        <v>Cobalt</v>
      </c>
      <c r="C192" t="str">
        <f>[1]Result_notebook_retravaill!C192</f>
        <v>Global Net-zero</v>
      </c>
      <c r="D192" t="str">
        <f>[1]Result_notebook_retravaill!D192</f>
        <v>Existing production</v>
      </c>
      <c r="E192" t="str">
        <f>[1]Result_notebook_retravaill!E192</f>
        <v>Current shares</v>
      </c>
      <c r="F192" t="str">
        <f>[1]Result_notebook_retravaill!F192</f>
        <v>NIMBY</v>
      </c>
      <c r="G192">
        <f>[1]Result_notebook_retravaill!G192</f>
        <v>22192.22621013633</v>
      </c>
      <c r="H192" s="3">
        <f>IF([1]Result_notebook_retravaill!I192&gt;[1]Result_notebook_retravaill!G192,[1]Result_notebook_retravaill!I192/[1]Result_notebook_retravaill!N192,[1]Result_notebook_retravaill!H192)</f>
        <v>0</v>
      </c>
      <c r="I192" s="3">
        <f>[1]Result_notebook_retravaill!K192</f>
        <v>50436.877750309839</v>
      </c>
      <c r="J192" s="3">
        <f>MIN(G192,[1]Result_notebook_retravaill!I192)</f>
        <v>0</v>
      </c>
      <c r="K192" s="3">
        <f>IF([1]Result_notebook_retravaill!I192&gt;[1]Result_notebook_retravaill!G192,0,IF([1]Result_notebook_retravaill!I192+[1]Result_notebook_retravaill!J192&gt;[1]Result_notebook_retravaill!G192,[1]Result_notebook_retravaill!G192-[1]Result_notebook_retravaill!I192,[1]Result_notebook_retravaill!J192))</f>
        <v>0</v>
      </c>
      <c r="L192" s="3">
        <f>IF([1]Result_notebook_retravaill!I192&gt;[1]Result_notebook_retravaill!G192,0,IF([1]Result_notebook_retravaill!I192+[1]Result_notebook_retravaill!J192&gt;[1]Result_notebook_retravaill!G192,0,[1]Result_notebook_retravaill!M192))</f>
        <v>22192.22621013633</v>
      </c>
    </row>
    <row r="193" spans="1:12">
      <c r="A193">
        <f>[1]Result_notebook_retravaill!A193</f>
        <v>2027</v>
      </c>
      <c r="B193" t="str">
        <f>[1]Result_notebook_retravaill!B193</f>
        <v>Cobalt</v>
      </c>
      <c r="C193" t="str">
        <f>[1]Result_notebook_retravaill!C193</f>
        <v>Global Net-zero</v>
      </c>
      <c r="D193" t="str">
        <f>[1]Result_notebook_retravaill!D193</f>
        <v>Existing production</v>
      </c>
      <c r="E193" t="str">
        <f>[1]Result_notebook_retravaill!E193</f>
        <v>Current shares</v>
      </c>
      <c r="F193" t="str">
        <f>[1]Result_notebook_retravaill!F193</f>
        <v>Status Quo</v>
      </c>
      <c r="G193">
        <f>[1]Result_notebook_retravaill!G193</f>
        <v>22192.22621013633</v>
      </c>
      <c r="H193" s="3">
        <f>IF([1]Result_notebook_retravaill!I193&gt;[1]Result_notebook_retravaill!G193,[1]Result_notebook_retravaill!I193/[1]Result_notebook_retravaill!N193,[1]Result_notebook_retravaill!H193)</f>
        <v>4176</v>
      </c>
      <c r="I193" s="3">
        <f>[1]Result_notebook_retravaill!K193</f>
        <v>46260.877750309839</v>
      </c>
      <c r="J193" s="3">
        <f>MIN(G193,[1]Result_notebook_retravaill!I193)</f>
        <v>1771.38331528816</v>
      </c>
      <c r="K193" s="3">
        <f>IF([1]Result_notebook_retravaill!I193&gt;[1]Result_notebook_retravaill!G193,0,IF([1]Result_notebook_retravaill!I193+[1]Result_notebook_retravaill!J193&gt;[1]Result_notebook_retravaill!G193,[1]Result_notebook_retravaill!G193-[1]Result_notebook_retravaill!I193,[1]Result_notebook_retravaill!J193))</f>
        <v>63.327943020660086</v>
      </c>
      <c r="L193" s="3">
        <f>IF([1]Result_notebook_retravaill!I193&gt;[1]Result_notebook_retravaill!G193,0,IF([1]Result_notebook_retravaill!I193+[1]Result_notebook_retravaill!J193&gt;[1]Result_notebook_retravaill!G193,0,[1]Result_notebook_retravaill!M193))</f>
        <v>20357.51495182751</v>
      </c>
    </row>
    <row r="194" spans="1:12">
      <c r="A194">
        <f>[1]Result_notebook_retravaill!A194</f>
        <v>2027</v>
      </c>
      <c r="B194" t="str">
        <f>[1]Result_notebook_retravaill!B194</f>
        <v>Cobalt</v>
      </c>
      <c r="C194" t="str">
        <f>[1]Result_notebook_retravaill!C194</f>
        <v>Global Net-zero</v>
      </c>
      <c r="D194" t="str">
        <f>[1]Result_notebook_retravaill!D194</f>
        <v>Production potential</v>
      </c>
      <c r="E194" t="str">
        <f>[1]Result_notebook_retravaill!E194</f>
        <v>Current shares</v>
      </c>
      <c r="F194" t="str">
        <f>[1]Result_notebook_retravaill!F194</f>
        <v>Expansion Extractive</v>
      </c>
      <c r="G194">
        <f>[1]Result_notebook_retravaill!G194</f>
        <v>22192.22621013633</v>
      </c>
      <c r="H194" s="3">
        <f>IF([1]Result_notebook_retravaill!I194&gt;[1]Result_notebook_retravaill!G194,[1]Result_notebook_retravaill!I194/[1]Result_notebook_retravaill!N194,[1]Result_notebook_retravaill!H194)</f>
        <v>5307</v>
      </c>
      <c r="I194" s="3">
        <f>[1]Result_notebook_retravaill!K194</f>
        <v>45129.877750309839</v>
      </c>
      <c r="J194" s="3">
        <f>MIN(G194,[1]Result_notebook_retravaill!I194)</f>
        <v>2251.1329631787039</v>
      </c>
      <c r="K194" s="3">
        <f>IF([1]Result_notebook_retravaill!I194&gt;[1]Result_notebook_retravaill!G194,0,IF([1]Result_notebook_retravaill!I194+[1]Result_notebook_retravaill!J194&gt;[1]Result_notebook_retravaill!G194,[1]Result_notebook_retravaill!G194-[1]Result_notebook_retravaill!I194,[1]Result_notebook_retravaill!J194))</f>
        <v>80.479260922088542</v>
      </c>
      <c r="L194" s="3">
        <f>IF([1]Result_notebook_retravaill!I194&gt;[1]Result_notebook_retravaill!G194,0,IF([1]Result_notebook_retravaill!I194+[1]Result_notebook_retravaill!J194&gt;[1]Result_notebook_retravaill!G194,0,[1]Result_notebook_retravaill!M194))</f>
        <v>19860.61398603554</v>
      </c>
    </row>
    <row r="195" spans="1:12">
      <c r="A195">
        <f>[1]Result_notebook_retravaill!A195</f>
        <v>2027</v>
      </c>
      <c r="B195" t="str">
        <f>[1]Result_notebook_retravaill!B195</f>
        <v>Cobalt</v>
      </c>
      <c r="C195" t="str">
        <f>[1]Result_notebook_retravaill!C195</f>
        <v>Global Net-zero</v>
      </c>
      <c r="D195" t="str">
        <f>[1]Result_notebook_retravaill!D195</f>
        <v>Production potential</v>
      </c>
      <c r="E195" t="str">
        <f>[1]Result_notebook_retravaill!E195</f>
        <v>Current shares</v>
      </c>
      <c r="F195" t="str">
        <f>[1]Result_notebook_retravaill!F195</f>
        <v>Expansion Extractive+Circularity</v>
      </c>
      <c r="G195">
        <f>[1]Result_notebook_retravaill!G195</f>
        <v>22192.22621013633</v>
      </c>
      <c r="H195" s="3">
        <f>IF([1]Result_notebook_retravaill!I195&gt;[1]Result_notebook_retravaill!G195,[1]Result_notebook_retravaill!I195/[1]Result_notebook_retravaill!N195,[1]Result_notebook_retravaill!H195)</f>
        <v>5307</v>
      </c>
      <c r="I195" s="3">
        <f>[1]Result_notebook_retravaill!K195</f>
        <v>45129.877750309839</v>
      </c>
      <c r="J195" s="3">
        <f>MIN(G195,[1]Result_notebook_retravaill!I195)</f>
        <v>2251.1329631787039</v>
      </c>
      <c r="K195" s="3">
        <f>IF([1]Result_notebook_retravaill!I195&gt;[1]Result_notebook_retravaill!G195,0,IF([1]Result_notebook_retravaill!I195+[1]Result_notebook_retravaill!J195&gt;[1]Result_notebook_retravaill!G195,[1]Result_notebook_retravaill!G195-[1]Result_notebook_retravaill!I195,[1]Result_notebook_retravaill!J195))</f>
        <v>80.479260922088542</v>
      </c>
      <c r="L195" s="3">
        <f>IF([1]Result_notebook_retravaill!I195&gt;[1]Result_notebook_retravaill!G195,0,IF([1]Result_notebook_retravaill!I195+[1]Result_notebook_retravaill!J195&gt;[1]Result_notebook_retravaill!G195,0,[1]Result_notebook_retravaill!M195))</f>
        <v>19860.61398603554</v>
      </c>
    </row>
    <row r="196" spans="1:12">
      <c r="A196">
        <f>[1]Result_notebook_retravaill!A196</f>
        <v>2027</v>
      </c>
      <c r="B196" t="str">
        <f>[1]Result_notebook_retravaill!B196</f>
        <v>Cobalt</v>
      </c>
      <c r="C196" t="str">
        <f>[1]Result_notebook_retravaill!C196</f>
        <v>Global Net-zero</v>
      </c>
      <c r="D196" t="str">
        <f>[1]Result_notebook_retravaill!D196</f>
        <v>Production potential</v>
      </c>
      <c r="E196" t="str">
        <f>[1]Result_notebook_retravaill!E196</f>
        <v>100% CAN</v>
      </c>
      <c r="F196" t="str">
        <f>[1]Result_notebook_retravaill!F196</f>
        <v>Integrated</v>
      </c>
      <c r="G196">
        <f>[1]Result_notebook_retravaill!G196</f>
        <v>22192.22621013633</v>
      </c>
      <c r="H196" s="3">
        <f>IF([1]Result_notebook_retravaill!I196&gt;[1]Result_notebook_retravaill!G196,[1]Result_notebook_retravaill!I196/[1]Result_notebook_retravaill!N196,[1]Result_notebook_retravaill!H196)</f>
        <v>5307</v>
      </c>
      <c r="I196" s="3">
        <f>[1]Result_notebook_retravaill!K196</f>
        <v>45129.877750309839</v>
      </c>
      <c r="J196" s="3">
        <f>MIN(G196,[1]Result_notebook_retravaill!I196)</f>
        <v>2331.6122241007938</v>
      </c>
      <c r="K196" s="3">
        <f>IF([1]Result_notebook_retravaill!I196&gt;[1]Result_notebook_retravaill!G196,0,IF([1]Result_notebook_retravaill!I196+[1]Result_notebook_retravaill!J196&gt;[1]Result_notebook_retravaill!G196,[1]Result_notebook_retravaill!G196-[1]Result_notebook_retravaill!I196,[1]Result_notebook_retravaill!J196))</f>
        <v>0</v>
      </c>
      <c r="L196" s="3">
        <f>IF([1]Result_notebook_retravaill!I196&gt;[1]Result_notebook_retravaill!G196,0,IF([1]Result_notebook_retravaill!I196+[1]Result_notebook_retravaill!J196&gt;[1]Result_notebook_retravaill!G196,0,[1]Result_notebook_retravaill!M196))</f>
        <v>19860.61398603554</v>
      </c>
    </row>
    <row r="197" spans="1:12">
      <c r="A197">
        <f>[1]Result_notebook_retravaill!A197</f>
        <v>2027</v>
      </c>
      <c r="B197" t="str">
        <f>[1]Result_notebook_retravaill!B197</f>
        <v>Copper</v>
      </c>
      <c r="C197" t="str">
        <f>[1]Result_notebook_retravaill!C197</f>
        <v>Canada Net-zero</v>
      </c>
      <c r="D197" t="str">
        <f>[1]Result_notebook_retravaill!D197</f>
        <v>Existing production</v>
      </c>
      <c r="E197" t="str">
        <f>[1]Result_notebook_retravaill!E197</f>
        <v>Current shares</v>
      </c>
      <c r="F197" t="str">
        <f>[1]Result_notebook_retravaill!F197</f>
        <v>NIMBY</v>
      </c>
      <c r="G197">
        <f>[1]Result_notebook_retravaill!G197</f>
        <v>879225.45381998783</v>
      </c>
      <c r="H197" s="3">
        <f>IF([1]Result_notebook_retravaill!I197&gt;[1]Result_notebook_retravaill!G197,[1]Result_notebook_retravaill!I197/[1]Result_notebook_retravaill!N197,[1]Result_notebook_retravaill!H197)</f>
        <v>0</v>
      </c>
      <c r="I197" s="3">
        <f>[1]Result_notebook_retravaill!K197</f>
        <v>1059307.775686732</v>
      </c>
      <c r="J197" s="3">
        <f>MIN(G197,[1]Result_notebook_retravaill!I197)</f>
        <v>0</v>
      </c>
      <c r="K197" s="3">
        <f>IF([1]Result_notebook_retravaill!I197&gt;[1]Result_notebook_retravaill!G197,0,IF([1]Result_notebook_retravaill!I197+[1]Result_notebook_retravaill!J197&gt;[1]Result_notebook_retravaill!G197,[1]Result_notebook_retravaill!G197-[1]Result_notebook_retravaill!I197,[1]Result_notebook_retravaill!J197))</f>
        <v>0</v>
      </c>
      <c r="L197" s="3">
        <f>IF([1]Result_notebook_retravaill!I197&gt;[1]Result_notebook_retravaill!G197,0,IF([1]Result_notebook_retravaill!I197+[1]Result_notebook_retravaill!J197&gt;[1]Result_notebook_retravaill!G197,0,[1]Result_notebook_retravaill!M197))</f>
        <v>879225.45381998783</v>
      </c>
    </row>
    <row r="198" spans="1:12">
      <c r="A198">
        <f>[1]Result_notebook_retravaill!A198</f>
        <v>2027</v>
      </c>
      <c r="B198" t="str">
        <f>[1]Result_notebook_retravaill!B198</f>
        <v>Copper</v>
      </c>
      <c r="C198" t="str">
        <f>[1]Result_notebook_retravaill!C198</f>
        <v>Canada Net-zero</v>
      </c>
      <c r="D198" t="str">
        <f>[1]Result_notebook_retravaill!D198</f>
        <v>Existing production</v>
      </c>
      <c r="E198" t="str">
        <f>[1]Result_notebook_retravaill!E198</f>
        <v>Current shares</v>
      </c>
      <c r="F198" t="str">
        <f>[1]Result_notebook_retravaill!F198</f>
        <v>Status Quo</v>
      </c>
      <c r="G198">
        <f>[1]Result_notebook_retravaill!G198</f>
        <v>879225.45381998783</v>
      </c>
      <c r="H198" s="3">
        <f>IF([1]Result_notebook_retravaill!I198&gt;[1]Result_notebook_retravaill!G198,[1]Result_notebook_retravaill!I198/[1]Result_notebook_retravaill!N198,[1]Result_notebook_retravaill!H198)</f>
        <v>494964</v>
      </c>
      <c r="I198" s="3">
        <f>[1]Result_notebook_retravaill!K198</f>
        <v>564343.77568673226</v>
      </c>
      <c r="J198" s="3">
        <f>MIN(G198,[1]Result_notebook_retravaill!I198)</f>
        <v>260157.37839094709</v>
      </c>
      <c r="K198" s="3">
        <f>IF([1]Result_notebook_retravaill!I198&gt;[1]Result_notebook_retravaill!G198,0,IF([1]Result_notebook_retravaill!I198+[1]Result_notebook_retravaill!J198&gt;[1]Result_notebook_retravaill!G198,[1]Result_notebook_retravaill!G198-[1]Result_notebook_retravaill!I198,[1]Result_notebook_retravaill!J198))</f>
        <v>153011.72330396794</v>
      </c>
      <c r="L198" s="3">
        <f>IF([1]Result_notebook_retravaill!I198&gt;[1]Result_notebook_retravaill!G198,0,IF([1]Result_notebook_retravaill!I198+[1]Result_notebook_retravaill!J198&gt;[1]Result_notebook_retravaill!G198,0,[1]Result_notebook_retravaill!M198))</f>
        <v>466056.35212507274</v>
      </c>
    </row>
    <row r="199" spans="1:12">
      <c r="A199">
        <f>[1]Result_notebook_retravaill!A199</f>
        <v>2027</v>
      </c>
      <c r="B199" t="str">
        <f>[1]Result_notebook_retravaill!B199</f>
        <v>Copper</v>
      </c>
      <c r="C199" t="str">
        <f>[1]Result_notebook_retravaill!C199</f>
        <v>Canada Net-zero</v>
      </c>
      <c r="D199" t="str">
        <f>[1]Result_notebook_retravaill!D199</f>
        <v>Production potential</v>
      </c>
      <c r="E199" t="str">
        <f>[1]Result_notebook_retravaill!E199</f>
        <v>Current shares</v>
      </c>
      <c r="F199" t="str">
        <f>[1]Result_notebook_retravaill!F199</f>
        <v>Expansion Extractive</v>
      </c>
      <c r="G199">
        <f>[1]Result_notebook_retravaill!G199</f>
        <v>879225.45381998783</v>
      </c>
      <c r="H199" s="3">
        <f>IF([1]Result_notebook_retravaill!I199&gt;[1]Result_notebook_retravaill!G199,[1]Result_notebook_retravaill!I199/[1]Result_notebook_retravaill!N199,[1]Result_notebook_retravaill!H199)</f>
        <v>590861.05072993715</v>
      </c>
      <c r="I199" s="3">
        <f>[1]Result_notebook_retravaill!K199</f>
        <v>468446.72495679511</v>
      </c>
      <c r="J199" s="3">
        <f>MIN(G199,[1]Result_notebook_retravaill!I199)</f>
        <v>310561.70135852479</v>
      </c>
      <c r="K199" s="3">
        <f>IF([1]Result_notebook_retravaill!I199&gt;[1]Result_notebook_retravaill!G199,0,IF([1]Result_notebook_retravaill!I199+[1]Result_notebook_retravaill!J199&gt;[1]Result_notebook_retravaill!G199,[1]Result_notebook_retravaill!G199-[1]Result_notebook_retravaill!I199,[1]Result_notebook_retravaill!J199))</f>
        <v>182657.05708976992</v>
      </c>
      <c r="L199" s="3">
        <f>IF([1]Result_notebook_retravaill!I199&gt;[1]Result_notebook_retravaill!G199,0,IF([1]Result_notebook_retravaill!I199+[1]Result_notebook_retravaill!J199&gt;[1]Result_notebook_retravaill!G199,0,[1]Result_notebook_retravaill!M199))</f>
        <v>386006.69537169306</v>
      </c>
    </row>
    <row r="200" spans="1:12">
      <c r="A200">
        <f>[1]Result_notebook_retravaill!A200</f>
        <v>2027</v>
      </c>
      <c r="B200" t="str">
        <f>[1]Result_notebook_retravaill!B200</f>
        <v>Copper</v>
      </c>
      <c r="C200" t="str">
        <f>[1]Result_notebook_retravaill!C200</f>
        <v>Canada Net-zero</v>
      </c>
      <c r="D200" t="str">
        <f>[1]Result_notebook_retravaill!D200</f>
        <v>Production potential</v>
      </c>
      <c r="E200" t="str">
        <f>[1]Result_notebook_retravaill!E200</f>
        <v>Current shares</v>
      </c>
      <c r="F200" t="str">
        <f>[1]Result_notebook_retravaill!F200</f>
        <v>Expansion Extractive+Circularity</v>
      </c>
      <c r="G200">
        <f>[1]Result_notebook_retravaill!G200</f>
        <v>879225.45381998783</v>
      </c>
      <c r="H200" s="3">
        <f>IF([1]Result_notebook_retravaill!I200&gt;[1]Result_notebook_retravaill!G200,[1]Result_notebook_retravaill!I200/[1]Result_notebook_retravaill!N200,[1]Result_notebook_retravaill!H200)</f>
        <v>590861.05072993715</v>
      </c>
      <c r="I200" s="3">
        <f>[1]Result_notebook_retravaill!K200</f>
        <v>468446.72495679511</v>
      </c>
      <c r="J200" s="3">
        <f>MIN(G200,[1]Result_notebook_retravaill!I200)</f>
        <v>310561.70135852479</v>
      </c>
      <c r="K200" s="3">
        <f>IF([1]Result_notebook_retravaill!I200&gt;[1]Result_notebook_retravaill!G200,0,IF([1]Result_notebook_retravaill!I200+[1]Result_notebook_retravaill!J200&gt;[1]Result_notebook_retravaill!G200,[1]Result_notebook_retravaill!G200-[1]Result_notebook_retravaill!I200,[1]Result_notebook_retravaill!J200))</f>
        <v>182657.05708976992</v>
      </c>
      <c r="L200" s="3">
        <f>IF([1]Result_notebook_retravaill!I200&gt;[1]Result_notebook_retravaill!G200,0,IF([1]Result_notebook_retravaill!I200+[1]Result_notebook_retravaill!J200&gt;[1]Result_notebook_retravaill!G200,0,[1]Result_notebook_retravaill!M200))</f>
        <v>386006.69537169306</v>
      </c>
    </row>
    <row r="201" spans="1:12">
      <c r="A201">
        <f>[1]Result_notebook_retravaill!A201</f>
        <v>2027</v>
      </c>
      <c r="B201" t="str">
        <f>[1]Result_notebook_retravaill!B201</f>
        <v>Copper</v>
      </c>
      <c r="C201" t="str">
        <f>[1]Result_notebook_retravaill!C201</f>
        <v>Canada Net-zero</v>
      </c>
      <c r="D201" t="str">
        <f>[1]Result_notebook_retravaill!D201</f>
        <v>Production potential</v>
      </c>
      <c r="E201" t="str">
        <f>[1]Result_notebook_retravaill!E201</f>
        <v>100% CAN</v>
      </c>
      <c r="F201" t="str">
        <f>[1]Result_notebook_retravaill!F201</f>
        <v>Integrated</v>
      </c>
      <c r="G201">
        <f>[1]Result_notebook_retravaill!G201</f>
        <v>879225.45381998783</v>
      </c>
      <c r="H201" s="3">
        <f>IF([1]Result_notebook_retravaill!I201&gt;[1]Result_notebook_retravaill!G201,[1]Result_notebook_retravaill!I201/[1]Result_notebook_retravaill!N201,[1]Result_notebook_retravaill!H201)</f>
        <v>590861.05072993715</v>
      </c>
      <c r="I201" s="3">
        <f>[1]Result_notebook_retravaill!K201</f>
        <v>468446.72495679511</v>
      </c>
      <c r="J201" s="3">
        <f>MIN(G201,[1]Result_notebook_retravaill!I201)</f>
        <v>493218.758448295</v>
      </c>
      <c r="K201" s="3">
        <f>IF([1]Result_notebook_retravaill!I201&gt;[1]Result_notebook_retravaill!G201,0,IF([1]Result_notebook_retravaill!I201+[1]Result_notebook_retravaill!J201&gt;[1]Result_notebook_retravaill!G201,[1]Result_notebook_retravaill!G201-[1]Result_notebook_retravaill!I201,[1]Result_notebook_retravaill!J201))</f>
        <v>0</v>
      </c>
      <c r="L201" s="3">
        <f>IF([1]Result_notebook_retravaill!I201&gt;[1]Result_notebook_retravaill!G201,0,IF([1]Result_notebook_retravaill!I201+[1]Result_notebook_retravaill!J201&gt;[1]Result_notebook_retravaill!G201,0,[1]Result_notebook_retravaill!M201))</f>
        <v>386006.69537169283</v>
      </c>
    </row>
    <row r="202" spans="1:12">
      <c r="A202">
        <f>[1]Result_notebook_retravaill!A202</f>
        <v>2027</v>
      </c>
      <c r="B202" t="str">
        <f>[1]Result_notebook_retravaill!B202</f>
        <v>Copper</v>
      </c>
      <c r="C202" t="str">
        <f>[1]Result_notebook_retravaill!C202</f>
        <v>Current Measures</v>
      </c>
      <c r="D202" t="str">
        <f>[1]Result_notebook_retravaill!D202</f>
        <v>Existing production</v>
      </c>
      <c r="E202" t="str">
        <f>[1]Result_notebook_retravaill!E202</f>
        <v>Current shares</v>
      </c>
      <c r="F202" t="str">
        <f>[1]Result_notebook_retravaill!F202</f>
        <v>NIMBY</v>
      </c>
      <c r="G202">
        <f>[1]Result_notebook_retravaill!G202</f>
        <v>866407.3331157451</v>
      </c>
      <c r="H202" s="3">
        <f>IF([1]Result_notebook_retravaill!I202&gt;[1]Result_notebook_retravaill!G202,[1]Result_notebook_retravaill!I202/[1]Result_notebook_retravaill!N202,[1]Result_notebook_retravaill!H202)</f>
        <v>0</v>
      </c>
      <c r="I202" s="3">
        <f>[1]Result_notebook_retravaill!K202</f>
        <v>1043864.256765958</v>
      </c>
      <c r="J202" s="3">
        <f>MIN(G202,[1]Result_notebook_retravaill!I202)</f>
        <v>0</v>
      </c>
      <c r="K202" s="3">
        <f>IF([1]Result_notebook_retravaill!I202&gt;[1]Result_notebook_retravaill!G202,0,IF([1]Result_notebook_retravaill!I202+[1]Result_notebook_retravaill!J202&gt;[1]Result_notebook_retravaill!G202,[1]Result_notebook_retravaill!G202-[1]Result_notebook_retravaill!I202,[1]Result_notebook_retravaill!J202))</f>
        <v>0</v>
      </c>
      <c r="L202" s="3">
        <f>IF([1]Result_notebook_retravaill!I202&gt;[1]Result_notebook_retravaill!G202,0,IF([1]Result_notebook_retravaill!I202+[1]Result_notebook_retravaill!J202&gt;[1]Result_notebook_retravaill!G202,0,[1]Result_notebook_retravaill!M202))</f>
        <v>866407.3331157451</v>
      </c>
    </row>
    <row r="203" spans="1:12">
      <c r="A203">
        <f>[1]Result_notebook_retravaill!A203</f>
        <v>2027</v>
      </c>
      <c r="B203" t="str">
        <f>[1]Result_notebook_retravaill!B203</f>
        <v>Copper</v>
      </c>
      <c r="C203" t="str">
        <f>[1]Result_notebook_retravaill!C203</f>
        <v>Current Measures</v>
      </c>
      <c r="D203" t="str">
        <f>[1]Result_notebook_retravaill!D203</f>
        <v>Existing production</v>
      </c>
      <c r="E203" t="str">
        <f>[1]Result_notebook_retravaill!E203</f>
        <v>Current shares</v>
      </c>
      <c r="F203" t="str">
        <f>[1]Result_notebook_retravaill!F203</f>
        <v>Status Quo</v>
      </c>
      <c r="G203">
        <f>[1]Result_notebook_retravaill!G203</f>
        <v>866407.3331157451</v>
      </c>
      <c r="H203" s="3">
        <f>IF([1]Result_notebook_retravaill!I203&gt;[1]Result_notebook_retravaill!G203,[1]Result_notebook_retravaill!I203/[1]Result_notebook_retravaill!N203,[1]Result_notebook_retravaill!H203)</f>
        <v>494964</v>
      </c>
      <c r="I203" s="3">
        <f>[1]Result_notebook_retravaill!K203</f>
        <v>548900.25676595804</v>
      </c>
      <c r="J203" s="3">
        <f>MIN(G203,[1]Result_notebook_retravaill!I203)</f>
        <v>260157.37839094709</v>
      </c>
      <c r="K203" s="3">
        <f>IF([1]Result_notebook_retravaill!I203&gt;[1]Result_notebook_retravaill!G203,0,IF([1]Result_notebook_retravaill!I203+[1]Result_notebook_retravaill!J203&gt;[1]Result_notebook_retravaill!G203,[1]Result_notebook_retravaill!G203-[1]Result_notebook_retravaill!I203,[1]Result_notebook_retravaill!J203))</f>
        <v>153011.72330396794</v>
      </c>
      <c r="L203" s="3">
        <f>IF([1]Result_notebook_retravaill!I203&gt;[1]Result_notebook_retravaill!G203,0,IF([1]Result_notebook_retravaill!I203+[1]Result_notebook_retravaill!J203&gt;[1]Result_notebook_retravaill!G203,0,[1]Result_notebook_retravaill!M203))</f>
        <v>453238.23142083001</v>
      </c>
    </row>
    <row r="204" spans="1:12">
      <c r="A204">
        <f>[1]Result_notebook_retravaill!A204</f>
        <v>2027</v>
      </c>
      <c r="B204" t="str">
        <f>[1]Result_notebook_retravaill!B204</f>
        <v>Copper</v>
      </c>
      <c r="C204" t="str">
        <f>[1]Result_notebook_retravaill!C204</f>
        <v>Current Measures</v>
      </c>
      <c r="D204" t="str">
        <f>[1]Result_notebook_retravaill!D204</f>
        <v>Production potential</v>
      </c>
      <c r="E204" t="str">
        <f>[1]Result_notebook_retravaill!E204</f>
        <v>Current shares</v>
      </c>
      <c r="F204" t="str">
        <f>[1]Result_notebook_retravaill!F204</f>
        <v>Expansion Extractive</v>
      </c>
      <c r="G204">
        <f>[1]Result_notebook_retravaill!G204</f>
        <v>866407.3331157451</v>
      </c>
      <c r="H204" s="3">
        <f>IF([1]Result_notebook_retravaill!I204&gt;[1]Result_notebook_retravaill!G204,[1]Result_notebook_retravaill!I204/[1]Result_notebook_retravaill!N204,[1]Result_notebook_retravaill!H204)</f>
        <v>590861.05072993715</v>
      </c>
      <c r="I204" s="3">
        <f>[1]Result_notebook_retravaill!K204</f>
        <v>453003.20603602089</v>
      </c>
      <c r="J204" s="3">
        <f>MIN(G204,[1]Result_notebook_retravaill!I204)</f>
        <v>310561.70135852479</v>
      </c>
      <c r="K204" s="3">
        <f>IF([1]Result_notebook_retravaill!I204&gt;[1]Result_notebook_retravaill!G204,0,IF([1]Result_notebook_retravaill!I204+[1]Result_notebook_retravaill!J204&gt;[1]Result_notebook_retravaill!G204,[1]Result_notebook_retravaill!G204-[1]Result_notebook_retravaill!I204,[1]Result_notebook_retravaill!J204))</f>
        <v>182657.05708976992</v>
      </c>
      <c r="L204" s="3">
        <f>IF([1]Result_notebook_retravaill!I204&gt;[1]Result_notebook_retravaill!G204,0,IF([1]Result_notebook_retravaill!I204+[1]Result_notebook_retravaill!J204&gt;[1]Result_notebook_retravaill!G204,0,[1]Result_notebook_retravaill!M204))</f>
        <v>373188.57466745033</v>
      </c>
    </row>
    <row r="205" spans="1:12">
      <c r="A205">
        <f>[1]Result_notebook_retravaill!A205</f>
        <v>2027</v>
      </c>
      <c r="B205" t="str">
        <f>[1]Result_notebook_retravaill!B205</f>
        <v>Copper</v>
      </c>
      <c r="C205" t="str">
        <f>[1]Result_notebook_retravaill!C205</f>
        <v>Current Measures</v>
      </c>
      <c r="D205" t="str">
        <f>[1]Result_notebook_retravaill!D205</f>
        <v>Production potential</v>
      </c>
      <c r="E205" t="str">
        <f>[1]Result_notebook_retravaill!E205</f>
        <v>Current shares</v>
      </c>
      <c r="F205" t="str">
        <f>[1]Result_notebook_retravaill!F205</f>
        <v>Expansion Extractive+Circularity</v>
      </c>
      <c r="G205">
        <f>[1]Result_notebook_retravaill!G205</f>
        <v>866407.3331157451</v>
      </c>
      <c r="H205" s="3">
        <f>IF([1]Result_notebook_retravaill!I205&gt;[1]Result_notebook_retravaill!G205,[1]Result_notebook_retravaill!I205/[1]Result_notebook_retravaill!N205,[1]Result_notebook_retravaill!H205)</f>
        <v>590861.05072993715</v>
      </c>
      <c r="I205" s="3">
        <f>[1]Result_notebook_retravaill!K205</f>
        <v>453003.20603602089</v>
      </c>
      <c r="J205" s="3">
        <f>MIN(G205,[1]Result_notebook_retravaill!I205)</f>
        <v>310561.70135852479</v>
      </c>
      <c r="K205" s="3">
        <f>IF([1]Result_notebook_retravaill!I205&gt;[1]Result_notebook_retravaill!G205,0,IF([1]Result_notebook_retravaill!I205+[1]Result_notebook_retravaill!J205&gt;[1]Result_notebook_retravaill!G205,[1]Result_notebook_retravaill!G205-[1]Result_notebook_retravaill!I205,[1]Result_notebook_retravaill!J205))</f>
        <v>182657.05708976992</v>
      </c>
      <c r="L205" s="3">
        <f>IF([1]Result_notebook_retravaill!I205&gt;[1]Result_notebook_retravaill!G205,0,IF([1]Result_notebook_retravaill!I205+[1]Result_notebook_retravaill!J205&gt;[1]Result_notebook_retravaill!G205,0,[1]Result_notebook_retravaill!M205))</f>
        <v>373188.57466745033</v>
      </c>
    </row>
    <row r="206" spans="1:12">
      <c r="A206">
        <f>[1]Result_notebook_retravaill!A206</f>
        <v>2027</v>
      </c>
      <c r="B206" t="str">
        <f>[1]Result_notebook_retravaill!B206</f>
        <v>Copper</v>
      </c>
      <c r="C206" t="str">
        <f>[1]Result_notebook_retravaill!C206</f>
        <v>Current Measures</v>
      </c>
      <c r="D206" t="str">
        <f>[1]Result_notebook_retravaill!D206</f>
        <v>Production potential</v>
      </c>
      <c r="E206" t="str">
        <f>[1]Result_notebook_retravaill!E206</f>
        <v>100% CAN</v>
      </c>
      <c r="F206" t="str">
        <f>[1]Result_notebook_retravaill!F206</f>
        <v>Integrated</v>
      </c>
      <c r="G206">
        <f>[1]Result_notebook_retravaill!G206</f>
        <v>866407.3331157451</v>
      </c>
      <c r="H206" s="3">
        <f>IF([1]Result_notebook_retravaill!I206&gt;[1]Result_notebook_retravaill!G206,[1]Result_notebook_retravaill!I206/[1]Result_notebook_retravaill!N206,[1]Result_notebook_retravaill!H206)</f>
        <v>590861.05072993715</v>
      </c>
      <c r="I206" s="3">
        <f>[1]Result_notebook_retravaill!K206</f>
        <v>453003.20603602089</v>
      </c>
      <c r="J206" s="3">
        <f>MIN(G206,[1]Result_notebook_retravaill!I206)</f>
        <v>493218.758448295</v>
      </c>
      <c r="K206" s="3">
        <f>IF([1]Result_notebook_retravaill!I206&gt;[1]Result_notebook_retravaill!G206,0,IF([1]Result_notebook_retravaill!I206+[1]Result_notebook_retravaill!J206&gt;[1]Result_notebook_retravaill!G206,[1]Result_notebook_retravaill!G206-[1]Result_notebook_retravaill!I206,[1]Result_notebook_retravaill!J206))</f>
        <v>0</v>
      </c>
      <c r="L206" s="3">
        <f>IF([1]Result_notebook_retravaill!I206&gt;[1]Result_notebook_retravaill!G206,0,IF([1]Result_notebook_retravaill!I206+[1]Result_notebook_retravaill!J206&gt;[1]Result_notebook_retravaill!G206,0,[1]Result_notebook_retravaill!M206))</f>
        <v>373188.5746674501</v>
      </c>
    </row>
    <row r="207" spans="1:12">
      <c r="A207">
        <f>[1]Result_notebook_retravaill!A207</f>
        <v>2027</v>
      </c>
      <c r="B207" t="str">
        <f>[1]Result_notebook_retravaill!B207</f>
        <v>Copper</v>
      </c>
      <c r="C207" t="str">
        <f>[1]Result_notebook_retravaill!C207</f>
        <v>Global Net-zero</v>
      </c>
      <c r="D207" t="str">
        <f>[1]Result_notebook_retravaill!D207</f>
        <v>Existing production</v>
      </c>
      <c r="E207" t="str">
        <f>[1]Result_notebook_retravaill!E207</f>
        <v>Current shares</v>
      </c>
      <c r="F207" t="str">
        <f>[1]Result_notebook_retravaill!F207</f>
        <v>NIMBY</v>
      </c>
      <c r="G207">
        <f>[1]Result_notebook_retravaill!G207</f>
        <v>866145.78883753635</v>
      </c>
      <c r="H207" s="3">
        <f>IF([1]Result_notebook_retravaill!I207&gt;[1]Result_notebook_retravaill!G207,[1]Result_notebook_retravaill!I207/[1]Result_notebook_retravaill!N207,[1]Result_notebook_retravaill!H207)</f>
        <v>0</v>
      </c>
      <c r="I207" s="3">
        <f>[1]Result_notebook_retravaill!K207</f>
        <v>1043549.1431777549</v>
      </c>
      <c r="J207" s="3">
        <f>MIN(G207,[1]Result_notebook_retravaill!I207)</f>
        <v>0</v>
      </c>
      <c r="K207" s="3">
        <f>IF([1]Result_notebook_retravaill!I207&gt;[1]Result_notebook_retravaill!G207,0,IF([1]Result_notebook_retravaill!I207+[1]Result_notebook_retravaill!J207&gt;[1]Result_notebook_retravaill!G207,[1]Result_notebook_retravaill!G207-[1]Result_notebook_retravaill!I207,[1]Result_notebook_retravaill!J207))</f>
        <v>0</v>
      </c>
      <c r="L207" s="3">
        <f>IF([1]Result_notebook_retravaill!I207&gt;[1]Result_notebook_retravaill!G207,0,IF([1]Result_notebook_retravaill!I207+[1]Result_notebook_retravaill!J207&gt;[1]Result_notebook_retravaill!G207,0,[1]Result_notebook_retravaill!M207))</f>
        <v>866145.78883753635</v>
      </c>
    </row>
    <row r="208" spans="1:12">
      <c r="A208">
        <f>[1]Result_notebook_retravaill!A208</f>
        <v>2027</v>
      </c>
      <c r="B208" t="str">
        <f>[1]Result_notebook_retravaill!B208</f>
        <v>Copper</v>
      </c>
      <c r="C208" t="str">
        <f>[1]Result_notebook_retravaill!C208</f>
        <v>Global Net-zero</v>
      </c>
      <c r="D208" t="str">
        <f>[1]Result_notebook_retravaill!D208</f>
        <v>Existing production</v>
      </c>
      <c r="E208" t="str">
        <f>[1]Result_notebook_retravaill!E208</f>
        <v>Current shares</v>
      </c>
      <c r="F208" t="str">
        <f>[1]Result_notebook_retravaill!F208</f>
        <v>Status Quo</v>
      </c>
      <c r="G208">
        <f>[1]Result_notebook_retravaill!G208</f>
        <v>866145.78883753635</v>
      </c>
      <c r="H208" s="3">
        <f>IF([1]Result_notebook_retravaill!I208&gt;[1]Result_notebook_retravaill!G208,[1]Result_notebook_retravaill!I208/[1]Result_notebook_retravaill!N208,[1]Result_notebook_retravaill!H208)</f>
        <v>494964</v>
      </c>
      <c r="I208" s="3">
        <f>[1]Result_notebook_retravaill!K208</f>
        <v>548585.14317775471</v>
      </c>
      <c r="J208" s="3">
        <f>MIN(G208,[1]Result_notebook_retravaill!I208)</f>
        <v>260157.37839094709</v>
      </c>
      <c r="K208" s="3">
        <f>IF([1]Result_notebook_retravaill!I208&gt;[1]Result_notebook_retravaill!G208,0,IF([1]Result_notebook_retravaill!I208+[1]Result_notebook_retravaill!J208&gt;[1]Result_notebook_retravaill!G208,[1]Result_notebook_retravaill!G208-[1]Result_notebook_retravaill!I208,[1]Result_notebook_retravaill!J208))</f>
        <v>153011.72330396794</v>
      </c>
      <c r="L208" s="3">
        <f>IF([1]Result_notebook_retravaill!I208&gt;[1]Result_notebook_retravaill!G208,0,IF([1]Result_notebook_retravaill!I208+[1]Result_notebook_retravaill!J208&gt;[1]Result_notebook_retravaill!G208,0,[1]Result_notebook_retravaill!M208))</f>
        <v>452976.68714262126</v>
      </c>
    </row>
    <row r="209" spans="1:12">
      <c r="A209">
        <f>[1]Result_notebook_retravaill!A209</f>
        <v>2027</v>
      </c>
      <c r="B209" t="str">
        <f>[1]Result_notebook_retravaill!B209</f>
        <v>Copper</v>
      </c>
      <c r="C209" t="str">
        <f>[1]Result_notebook_retravaill!C209</f>
        <v>Global Net-zero</v>
      </c>
      <c r="D209" t="str">
        <f>[1]Result_notebook_retravaill!D209</f>
        <v>Production potential</v>
      </c>
      <c r="E209" t="str">
        <f>[1]Result_notebook_retravaill!E209</f>
        <v>Current shares</v>
      </c>
      <c r="F209" t="str">
        <f>[1]Result_notebook_retravaill!F209</f>
        <v>Expansion Extractive</v>
      </c>
      <c r="G209">
        <f>[1]Result_notebook_retravaill!G209</f>
        <v>866145.78883753635</v>
      </c>
      <c r="H209" s="3">
        <f>IF([1]Result_notebook_retravaill!I209&gt;[1]Result_notebook_retravaill!G209,[1]Result_notebook_retravaill!I209/[1]Result_notebook_retravaill!N209,[1]Result_notebook_retravaill!H209)</f>
        <v>590861.05072993715</v>
      </c>
      <c r="I209" s="3">
        <f>[1]Result_notebook_retravaill!K209</f>
        <v>452688.09244781762</v>
      </c>
      <c r="J209" s="3">
        <f>MIN(G209,[1]Result_notebook_retravaill!I209)</f>
        <v>310561.70135852479</v>
      </c>
      <c r="K209" s="3">
        <f>IF([1]Result_notebook_retravaill!I209&gt;[1]Result_notebook_retravaill!G209,0,IF([1]Result_notebook_retravaill!I209+[1]Result_notebook_retravaill!J209&gt;[1]Result_notebook_retravaill!G209,[1]Result_notebook_retravaill!G209-[1]Result_notebook_retravaill!I209,[1]Result_notebook_retravaill!J209))</f>
        <v>182657.05708976992</v>
      </c>
      <c r="L209" s="3">
        <f>IF([1]Result_notebook_retravaill!I209&gt;[1]Result_notebook_retravaill!G209,0,IF([1]Result_notebook_retravaill!I209+[1]Result_notebook_retravaill!J209&gt;[1]Result_notebook_retravaill!G209,0,[1]Result_notebook_retravaill!M209))</f>
        <v>372927.0303892417</v>
      </c>
    </row>
    <row r="210" spans="1:12">
      <c r="A210">
        <f>[1]Result_notebook_retravaill!A210</f>
        <v>2027</v>
      </c>
      <c r="B210" t="str">
        <f>[1]Result_notebook_retravaill!B210</f>
        <v>Copper</v>
      </c>
      <c r="C210" t="str">
        <f>[1]Result_notebook_retravaill!C210</f>
        <v>Global Net-zero</v>
      </c>
      <c r="D210" t="str">
        <f>[1]Result_notebook_retravaill!D210</f>
        <v>Production potential</v>
      </c>
      <c r="E210" t="str">
        <f>[1]Result_notebook_retravaill!E210</f>
        <v>Current shares</v>
      </c>
      <c r="F210" t="str">
        <f>[1]Result_notebook_retravaill!F210</f>
        <v>Expansion Extractive+Circularity</v>
      </c>
      <c r="G210">
        <f>[1]Result_notebook_retravaill!G210</f>
        <v>866145.78883753635</v>
      </c>
      <c r="H210" s="3">
        <f>IF([1]Result_notebook_retravaill!I210&gt;[1]Result_notebook_retravaill!G210,[1]Result_notebook_retravaill!I210/[1]Result_notebook_retravaill!N210,[1]Result_notebook_retravaill!H210)</f>
        <v>590861.05072993715</v>
      </c>
      <c r="I210" s="3">
        <f>[1]Result_notebook_retravaill!K210</f>
        <v>452688.09244781762</v>
      </c>
      <c r="J210" s="3">
        <f>MIN(G210,[1]Result_notebook_retravaill!I210)</f>
        <v>310561.70135852479</v>
      </c>
      <c r="K210" s="3">
        <f>IF([1]Result_notebook_retravaill!I210&gt;[1]Result_notebook_retravaill!G210,0,IF([1]Result_notebook_retravaill!I210+[1]Result_notebook_retravaill!J210&gt;[1]Result_notebook_retravaill!G210,[1]Result_notebook_retravaill!G210-[1]Result_notebook_retravaill!I210,[1]Result_notebook_retravaill!J210))</f>
        <v>182657.05708976992</v>
      </c>
      <c r="L210" s="3">
        <f>IF([1]Result_notebook_retravaill!I210&gt;[1]Result_notebook_retravaill!G210,0,IF([1]Result_notebook_retravaill!I210+[1]Result_notebook_retravaill!J210&gt;[1]Result_notebook_retravaill!G210,0,[1]Result_notebook_retravaill!M210))</f>
        <v>372927.0303892417</v>
      </c>
    </row>
    <row r="211" spans="1:12">
      <c r="A211">
        <f>[1]Result_notebook_retravaill!A211</f>
        <v>2027</v>
      </c>
      <c r="B211" t="str">
        <f>[1]Result_notebook_retravaill!B211</f>
        <v>Copper</v>
      </c>
      <c r="C211" t="str">
        <f>[1]Result_notebook_retravaill!C211</f>
        <v>Global Net-zero</v>
      </c>
      <c r="D211" t="str">
        <f>[1]Result_notebook_retravaill!D211</f>
        <v>Production potential</v>
      </c>
      <c r="E211" t="str">
        <f>[1]Result_notebook_retravaill!E211</f>
        <v>100% CAN</v>
      </c>
      <c r="F211" t="str">
        <f>[1]Result_notebook_retravaill!F211</f>
        <v>Integrated</v>
      </c>
      <c r="G211">
        <f>[1]Result_notebook_retravaill!G211</f>
        <v>866145.78883753635</v>
      </c>
      <c r="H211" s="3">
        <f>IF([1]Result_notebook_retravaill!I211&gt;[1]Result_notebook_retravaill!G211,[1]Result_notebook_retravaill!I211/[1]Result_notebook_retravaill!N211,[1]Result_notebook_retravaill!H211)</f>
        <v>590861.05072993715</v>
      </c>
      <c r="I211" s="3">
        <f>[1]Result_notebook_retravaill!K211</f>
        <v>452688.09244781762</v>
      </c>
      <c r="J211" s="3">
        <f>MIN(G211,[1]Result_notebook_retravaill!I211)</f>
        <v>493218.758448295</v>
      </c>
      <c r="K211" s="3">
        <f>IF([1]Result_notebook_retravaill!I211&gt;[1]Result_notebook_retravaill!G211,0,IF([1]Result_notebook_retravaill!I211+[1]Result_notebook_retravaill!J211&gt;[1]Result_notebook_retravaill!G211,[1]Result_notebook_retravaill!G211-[1]Result_notebook_retravaill!I211,[1]Result_notebook_retravaill!J211))</f>
        <v>0</v>
      </c>
      <c r="L211" s="3">
        <f>IF([1]Result_notebook_retravaill!I211&gt;[1]Result_notebook_retravaill!G211,0,IF([1]Result_notebook_retravaill!I211+[1]Result_notebook_retravaill!J211&gt;[1]Result_notebook_retravaill!G211,0,[1]Result_notebook_retravaill!M211))</f>
        <v>372927.03038924141</v>
      </c>
    </row>
    <row r="212" spans="1:12">
      <c r="A212">
        <f>[1]Result_notebook_retravaill!A212</f>
        <v>2027</v>
      </c>
      <c r="B212" t="str">
        <f>[1]Result_notebook_retravaill!B212</f>
        <v>Neodymium</v>
      </c>
      <c r="C212" t="str">
        <f>[1]Result_notebook_retravaill!C212</f>
        <v>Canada Net-zero</v>
      </c>
      <c r="D212" t="str">
        <f>[1]Result_notebook_retravaill!D212</f>
        <v>Existing production</v>
      </c>
      <c r="E212" t="str">
        <f>[1]Result_notebook_retravaill!E212</f>
        <v>Current shares</v>
      </c>
      <c r="F212" t="str">
        <f>[1]Result_notebook_retravaill!F212</f>
        <v>NIMBY</v>
      </c>
      <c r="G212">
        <f>[1]Result_notebook_retravaill!G212</f>
        <v>886.00915439887626</v>
      </c>
      <c r="H212" s="3">
        <f>IF([1]Result_notebook_retravaill!I212&gt;[1]Result_notebook_retravaill!G212,[1]Result_notebook_retravaill!I212/[1]Result_notebook_retravaill!N212,[1]Result_notebook_retravaill!H212)</f>
        <v>0</v>
      </c>
      <c r="I212" s="3">
        <f>[1]Result_notebook_retravaill!K212</f>
        <v>1476.6819239981271</v>
      </c>
      <c r="J212" s="3">
        <f>MIN(G212,[1]Result_notebook_retravaill!I212)</f>
        <v>0</v>
      </c>
      <c r="K212" s="3">
        <f>IF([1]Result_notebook_retravaill!I212&gt;[1]Result_notebook_retravaill!G212,0,IF([1]Result_notebook_retravaill!I212+[1]Result_notebook_retravaill!J212&gt;[1]Result_notebook_retravaill!G212,[1]Result_notebook_retravaill!G212-[1]Result_notebook_retravaill!I212,[1]Result_notebook_retravaill!J212))</f>
        <v>0</v>
      </c>
      <c r="L212" s="3">
        <f>IF([1]Result_notebook_retravaill!I212&gt;[1]Result_notebook_retravaill!G212,0,IF([1]Result_notebook_retravaill!I212+[1]Result_notebook_retravaill!J212&gt;[1]Result_notebook_retravaill!G212,0,[1]Result_notebook_retravaill!M212))</f>
        <v>886.00915439887626</v>
      </c>
    </row>
    <row r="213" spans="1:12">
      <c r="A213">
        <f>[1]Result_notebook_retravaill!A213</f>
        <v>2027</v>
      </c>
      <c r="B213" t="str">
        <f>[1]Result_notebook_retravaill!B213</f>
        <v>Neodymium</v>
      </c>
      <c r="C213" t="str">
        <f>[1]Result_notebook_retravaill!C213</f>
        <v>Canada Net-zero</v>
      </c>
      <c r="D213" t="str">
        <f>[1]Result_notebook_retravaill!D213</f>
        <v>Existing production</v>
      </c>
      <c r="E213" t="str">
        <f>[1]Result_notebook_retravaill!E213</f>
        <v>Current shares</v>
      </c>
      <c r="F213" t="str">
        <f>[1]Result_notebook_retravaill!F213</f>
        <v>Status Quo</v>
      </c>
      <c r="G213">
        <f>[1]Result_notebook_retravaill!G213</f>
        <v>886.00915439887626</v>
      </c>
      <c r="H213" s="3">
        <f>IF([1]Result_notebook_retravaill!I213&gt;[1]Result_notebook_retravaill!G213,[1]Result_notebook_retravaill!I213/[1]Result_notebook_retravaill!N213,[1]Result_notebook_retravaill!H213)</f>
        <v>0</v>
      </c>
      <c r="I213" s="3">
        <f>[1]Result_notebook_retravaill!K213</f>
        <v>1476.6819239981271</v>
      </c>
      <c r="J213" s="3">
        <f>MIN(G213,[1]Result_notebook_retravaill!I213)</f>
        <v>0</v>
      </c>
      <c r="K213" s="3">
        <f>IF([1]Result_notebook_retravaill!I213&gt;[1]Result_notebook_retravaill!G213,0,IF([1]Result_notebook_retravaill!I213+[1]Result_notebook_retravaill!J213&gt;[1]Result_notebook_retravaill!G213,[1]Result_notebook_retravaill!G213-[1]Result_notebook_retravaill!I213,[1]Result_notebook_retravaill!J213))</f>
        <v>0</v>
      </c>
      <c r="L213" s="3">
        <f>IF([1]Result_notebook_retravaill!I213&gt;[1]Result_notebook_retravaill!G213,0,IF([1]Result_notebook_retravaill!I213+[1]Result_notebook_retravaill!J213&gt;[1]Result_notebook_retravaill!G213,0,[1]Result_notebook_retravaill!M213))</f>
        <v>886.00915439887626</v>
      </c>
    </row>
    <row r="214" spans="1:12">
      <c r="A214">
        <f>[1]Result_notebook_retravaill!A214</f>
        <v>2027</v>
      </c>
      <c r="B214" t="str">
        <f>[1]Result_notebook_retravaill!B214</f>
        <v>Neodymium</v>
      </c>
      <c r="C214" t="str">
        <f>[1]Result_notebook_retravaill!C214</f>
        <v>Canada Net-zero</v>
      </c>
      <c r="D214" t="str">
        <f>[1]Result_notebook_retravaill!D214</f>
        <v>Production potential</v>
      </c>
      <c r="E214" t="str">
        <f>[1]Result_notebook_retravaill!E214</f>
        <v>Current shares</v>
      </c>
      <c r="F214" t="str">
        <f>[1]Result_notebook_retravaill!F214</f>
        <v>Expansion Extractive</v>
      </c>
      <c r="G214">
        <f>[1]Result_notebook_retravaill!G214</f>
        <v>886.00915439887626</v>
      </c>
      <c r="H214" s="3">
        <f>IF([1]Result_notebook_retravaill!I214&gt;[1]Result_notebook_retravaill!G214,[1]Result_notebook_retravaill!I214/[1]Result_notebook_retravaill!N214,[1]Result_notebook_retravaill!H214)</f>
        <v>5.395337211526285</v>
      </c>
      <c r="I214" s="3">
        <f>[1]Result_notebook_retravaill!K214</f>
        <v>1471.286586786601</v>
      </c>
      <c r="J214" s="3">
        <f>MIN(G214,[1]Result_notebook_retravaill!I214)</f>
        <v>3.229346251882661</v>
      </c>
      <c r="K214" s="3">
        <f>IF([1]Result_notebook_retravaill!I214&gt;[1]Result_notebook_retravaill!G214,0,IF([1]Result_notebook_retravaill!I214+[1]Result_notebook_retravaill!J214&gt;[1]Result_notebook_retravaill!G214,[1]Result_notebook_retravaill!G214-[1]Result_notebook_retravaill!I214,[1]Result_notebook_retravaill!J214))</f>
        <v>2.165990959643624</v>
      </c>
      <c r="L214" s="3">
        <f>IF([1]Result_notebook_retravaill!I214&gt;[1]Result_notebook_retravaill!G214,0,IF([1]Result_notebook_retravaill!I214+[1]Result_notebook_retravaill!J214&gt;[1]Result_notebook_retravaill!G214,0,[1]Result_notebook_retravaill!M214))</f>
        <v>880.61381718734992</v>
      </c>
    </row>
    <row r="215" spans="1:12">
      <c r="A215">
        <f>[1]Result_notebook_retravaill!A215</f>
        <v>2027</v>
      </c>
      <c r="B215" t="str">
        <f>[1]Result_notebook_retravaill!B215</f>
        <v>Neodymium</v>
      </c>
      <c r="C215" t="str">
        <f>[1]Result_notebook_retravaill!C215</f>
        <v>Canada Net-zero</v>
      </c>
      <c r="D215" t="str">
        <f>[1]Result_notebook_retravaill!D215</f>
        <v>Production potential</v>
      </c>
      <c r="E215" t="str">
        <f>[1]Result_notebook_retravaill!E215</f>
        <v>Current shares</v>
      </c>
      <c r="F215" t="str">
        <f>[1]Result_notebook_retravaill!F215</f>
        <v>Expansion Extractive+Circularity</v>
      </c>
      <c r="G215">
        <f>[1]Result_notebook_retravaill!G215</f>
        <v>886.00915439887626</v>
      </c>
      <c r="H215" s="3">
        <f>IF([1]Result_notebook_retravaill!I215&gt;[1]Result_notebook_retravaill!G215,[1]Result_notebook_retravaill!I215/[1]Result_notebook_retravaill!N215,[1]Result_notebook_retravaill!H215)</f>
        <v>5.395337211526285</v>
      </c>
      <c r="I215" s="3">
        <f>[1]Result_notebook_retravaill!K215</f>
        <v>1471.286586786601</v>
      </c>
      <c r="J215" s="3">
        <f>MIN(G215,[1]Result_notebook_retravaill!I215)</f>
        <v>3.229346251882661</v>
      </c>
      <c r="K215" s="3">
        <f>IF([1]Result_notebook_retravaill!I215&gt;[1]Result_notebook_retravaill!G215,0,IF([1]Result_notebook_retravaill!I215+[1]Result_notebook_retravaill!J215&gt;[1]Result_notebook_retravaill!G215,[1]Result_notebook_retravaill!G215-[1]Result_notebook_retravaill!I215,[1]Result_notebook_retravaill!J215))</f>
        <v>2.165990959643624</v>
      </c>
      <c r="L215" s="3">
        <f>IF([1]Result_notebook_retravaill!I215&gt;[1]Result_notebook_retravaill!G215,0,IF([1]Result_notebook_retravaill!I215+[1]Result_notebook_retravaill!J215&gt;[1]Result_notebook_retravaill!G215,0,[1]Result_notebook_retravaill!M215))</f>
        <v>880.61381718734992</v>
      </c>
    </row>
    <row r="216" spans="1:12">
      <c r="A216">
        <f>[1]Result_notebook_retravaill!A216</f>
        <v>2027</v>
      </c>
      <c r="B216" t="str">
        <f>[1]Result_notebook_retravaill!B216</f>
        <v>Neodymium</v>
      </c>
      <c r="C216" t="str">
        <f>[1]Result_notebook_retravaill!C216</f>
        <v>Canada Net-zero</v>
      </c>
      <c r="D216" t="str">
        <f>[1]Result_notebook_retravaill!D216</f>
        <v>Production potential</v>
      </c>
      <c r="E216" t="str">
        <f>[1]Result_notebook_retravaill!E216</f>
        <v>100% CAN</v>
      </c>
      <c r="F216" t="str">
        <f>[1]Result_notebook_retravaill!F216</f>
        <v>Integrated</v>
      </c>
      <c r="G216">
        <f>[1]Result_notebook_retravaill!G216</f>
        <v>886.00915439887626</v>
      </c>
      <c r="H216" s="3">
        <f>IF([1]Result_notebook_retravaill!I216&gt;[1]Result_notebook_retravaill!G216,[1]Result_notebook_retravaill!I216/[1]Result_notebook_retravaill!N216,[1]Result_notebook_retravaill!H216)</f>
        <v>5.395337211526285</v>
      </c>
      <c r="I216" s="3">
        <f>[1]Result_notebook_retravaill!K216</f>
        <v>1471.286586786601</v>
      </c>
      <c r="J216" s="3">
        <f>MIN(G216,[1]Result_notebook_retravaill!I216)</f>
        <v>3.229346251882661</v>
      </c>
      <c r="K216" s="3">
        <f>IF([1]Result_notebook_retravaill!I216&gt;[1]Result_notebook_retravaill!G216,0,IF([1]Result_notebook_retravaill!I216+[1]Result_notebook_retravaill!J216&gt;[1]Result_notebook_retravaill!G216,[1]Result_notebook_retravaill!G216-[1]Result_notebook_retravaill!I216,[1]Result_notebook_retravaill!J216))</f>
        <v>2.165990959643624</v>
      </c>
      <c r="L216" s="3">
        <f>IF([1]Result_notebook_retravaill!I216&gt;[1]Result_notebook_retravaill!G216,0,IF([1]Result_notebook_retravaill!I216+[1]Result_notebook_retravaill!J216&gt;[1]Result_notebook_retravaill!G216,0,[1]Result_notebook_retravaill!M216))</f>
        <v>880.61381718734992</v>
      </c>
    </row>
    <row r="217" spans="1:12">
      <c r="A217">
        <f>[1]Result_notebook_retravaill!A217</f>
        <v>2027</v>
      </c>
      <c r="B217" t="str">
        <f>[1]Result_notebook_retravaill!B217</f>
        <v>Neodymium</v>
      </c>
      <c r="C217" t="str">
        <f>[1]Result_notebook_retravaill!C217</f>
        <v>Current Measures</v>
      </c>
      <c r="D217" t="str">
        <f>[1]Result_notebook_retravaill!D217</f>
        <v>Existing production</v>
      </c>
      <c r="E217" t="str">
        <f>[1]Result_notebook_retravaill!E217</f>
        <v>Current shares</v>
      </c>
      <c r="F217" t="str">
        <f>[1]Result_notebook_retravaill!F217</f>
        <v>NIMBY</v>
      </c>
      <c r="G217">
        <f>[1]Result_notebook_retravaill!G217</f>
        <v>501.99193842105927</v>
      </c>
      <c r="H217" s="3">
        <f>IF([1]Result_notebook_retravaill!I217&gt;[1]Result_notebook_retravaill!G217,[1]Result_notebook_retravaill!I217/[1]Result_notebook_retravaill!N217,[1]Result_notebook_retravaill!H217)</f>
        <v>0</v>
      </c>
      <c r="I217" s="3">
        <f>[1]Result_notebook_retravaill!K217</f>
        <v>836.65323070176544</v>
      </c>
      <c r="J217" s="3">
        <f>MIN(G217,[1]Result_notebook_retravaill!I217)</f>
        <v>0</v>
      </c>
      <c r="K217" s="3">
        <f>IF([1]Result_notebook_retravaill!I217&gt;[1]Result_notebook_retravaill!G217,0,IF([1]Result_notebook_retravaill!I217+[1]Result_notebook_retravaill!J217&gt;[1]Result_notebook_retravaill!G217,[1]Result_notebook_retravaill!G217-[1]Result_notebook_retravaill!I217,[1]Result_notebook_retravaill!J217))</f>
        <v>0</v>
      </c>
      <c r="L217" s="3">
        <f>IF([1]Result_notebook_retravaill!I217&gt;[1]Result_notebook_retravaill!G217,0,IF([1]Result_notebook_retravaill!I217+[1]Result_notebook_retravaill!J217&gt;[1]Result_notebook_retravaill!G217,0,[1]Result_notebook_retravaill!M217))</f>
        <v>501.99193842105927</v>
      </c>
    </row>
    <row r="218" spans="1:12">
      <c r="A218">
        <f>[1]Result_notebook_retravaill!A218</f>
        <v>2027</v>
      </c>
      <c r="B218" t="str">
        <f>[1]Result_notebook_retravaill!B218</f>
        <v>Neodymium</v>
      </c>
      <c r="C218" t="str">
        <f>[1]Result_notebook_retravaill!C218</f>
        <v>Current Measures</v>
      </c>
      <c r="D218" t="str">
        <f>[1]Result_notebook_retravaill!D218</f>
        <v>Existing production</v>
      </c>
      <c r="E218" t="str">
        <f>[1]Result_notebook_retravaill!E218</f>
        <v>Current shares</v>
      </c>
      <c r="F218" t="str">
        <f>[1]Result_notebook_retravaill!F218</f>
        <v>Status Quo</v>
      </c>
      <c r="G218">
        <f>[1]Result_notebook_retravaill!G218</f>
        <v>501.99193842105927</v>
      </c>
      <c r="H218" s="3">
        <f>IF([1]Result_notebook_retravaill!I218&gt;[1]Result_notebook_retravaill!G218,[1]Result_notebook_retravaill!I218/[1]Result_notebook_retravaill!N218,[1]Result_notebook_retravaill!H218)</f>
        <v>0</v>
      </c>
      <c r="I218" s="3">
        <f>[1]Result_notebook_retravaill!K218</f>
        <v>836.65323070176544</v>
      </c>
      <c r="J218" s="3">
        <f>MIN(G218,[1]Result_notebook_retravaill!I218)</f>
        <v>0</v>
      </c>
      <c r="K218" s="3">
        <f>IF([1]Result_notebook_retravaill!I218&gt;[1]Result_notebook_retravaill!G218,0,IF([1]Result_notebook_retravaill!I218+[1]Result_notebook_retravaill!J218&gt;[1]Result_notebook_retravaill!G218,[1]Result_notebook_retravaill!G218-[1]Result_notebook_retravaill!I218,[1]Result_notebook_retravaill!J218))</f>
        <v>0</v>
      </c>
      <c r="L218" s="3">
        <f>IF([1]Result_notebook_retravaill!I218&gt;[1]Result_notebook_retravaill!G218,0,IF([1]Result_notebook_retravaill!I218+[1]Result_notebook_retravaill!J218&gt;[1]Result_notebook_retravaill!G218,0,[1]Result_notebook_retravaill!M218))</f>
        <v>501.99193842105927</v>
      </c>
    </row>
    <row r="219" spans="1:12">
      <c r="A219">
        <f>[1]Result_notebook_retravaill!A219</f>
        <v>2027</v>
      </c>
      <c r="B219" t="str">
        <f>[1]Result_notebook_retravaill!B219</f>
        <v>Neodymium</v>
      </c>
      <c r="C219" t="str">
        <f>[1]Result_notebook_retravaill!C219</f>
        <v>Current Measures</v>
      </c>
      <c r="D219" t="str">
        <f>[1]Result_notebook_retravaill!D219</f>
        <v>Production potential</v>
      </c>
      <c r="E219" t="str">
        <f>[1]Result_notebook_retravaill!E219</f>
        <v>Current shares</v>
      </c>
      <c r="F219" t="str">
        <f>[1]Result_notebook_retravaill!F219</f>
        <v>Expansion Extractive</v>
      </c>
      <c r="G219">
        <f>[1]Result_notebook_retravaill!G219</f>
        <v>501.99193842105927</v>
      </c>
      <c r="H219" s="3">
        <f>IF([1]Result_notebook_retravaill!I219&gt;[1]Result_notebook_retravaill!G219,[1]Result_notebook_retravaill!I219/[1]Result_notebook_retravaill!N219,[1]Result_notebook_retravaill!H219)</f>
        <v>5.395337211526285</v>
      </c>
      <c r="I219" s="3">
        <f>[1]Result_notebook_retravaill!K219</f>
        <v>831.2578934902391</v>
      </c>
      <c r="J219" s="3">
        <f>MIN(G219,[1]Result_notebook_retravaill!I219)</f>
        <v>3.229346251882661</v>
      </c>
      <c r="K219" s="3">
        <f>IF([1]Result_notebook_retravaill!I219&gt;[1]Result_notebook_retravaill!G219,0,IF([1]Result_notebook_retravaill!I219+[1]Result_notebook_retravaill!J219&gt;[1]Result_notebook_retravaill!G219,[1]Result_notebook_retravaill!G219-[1]Result_notebook_retravaill!I219,[1]Result_notebook_retravaill!J219))</f>
        <v>2.165990959643624</v>
      </c>
      <c r="L219" s="3">
        <f>IF([1]Result_notebook_retravaill!I219&gt;[1]Result_notebook_retravaill!G219,0,IF([1]Result_notebook_retravaill!I219+[1]Result_notebook_retravaill!J219&gt;[1]Result_notebook_retravaill!G219,0,[1]Result_notebook_retravaill!M219))</f>
        <v>496.59660120953299</v>
      </c>
    </row>
    <row r="220" spans="1:12">
      <c r="A220">
        <f>[1]Result_notebook_retravaill!A220</f>
        <v>2027</v>
      </c>
      <c r="B220" t="str">
        <f>[1]Result_notebook_retravaill!B220</f>
        <v>Neodymium</v>
      </c>
      <c r="C220" t="str">
        <f>[1]Result_notebook_retravaill!C220</f>
        <v>Current Measures</v>
      </c>
      <c r="D220" t="str">
        <f>[1]Result_notebook_retravaill!D220</f>
        <v>Production potential</v>
      </c>
      <c r="E220" t="str">
        <f>[1]Result_notebook_retravaill!E220</f>
        <v>Current shares</v>
      </c>
      <c r="F220" t="str">
        <f>[1]Result_notebook_retravaill!F220</f>
        <v>Expansion Extractive+Circularity</v>
      </c>
      <c r="G220">
        <f>[1]Result_notebook_retravaill!G220</f>
        <v>501.99193842105927</v>
      </c>
      <c r="H220" s="3">
        <f>IF([1]Result_notebook_retravaill!I220&gt;[1]Result_notebook_retravaill!G220,[1]Result_notebook_retravaill!I220/[1]Result_notebook_retravaill!N220,[1]Result_notebook_retravaill!H220)</f>
        <v>5.395337211526285</v>
      </c>
      <c r="I220" s="3">
        <f>[1]Result_notebook_retravaill!K220</f>
        <v>831.2578934902391</v>
      </c>
      <c r="J220" s="3">
        <f>MIN(G220,[1]Result_notebook_retravaill!I220)</f>
        <v>3.229346251882661</v>
      </c>
      <c r="K220" s="3">
        <f>IF([1]Result_notebook_retravaill!I220&gt;[1]Result_notebook_retravaill!G220,0,IF([1]Result_notebook_retravaill!I220+[1]Result_notebook_retravaill!J220&gt;[1]Result_notebook_retravaill!G220,[1]Result_notebook_retravaill!G220-[1]Result_notebook_retravaill!I220,[1]Result_notebook_retravaill!J220))</f>
        <v>2.165990959643624</v>
      </c>
      <c r="L220" s="3">
        <f>IF([1]Result_notebook_retravaill!I220&gt;[1]Result_notebook_retravaill!G220,0,IF([1]Result_notebook_retravaill!I220+[1]Result_notebook_retravaill!J220&gt;[1]Result_notebook_retravaill!G220,0,[1]Result_notebook_retravaill!M220))</f>
        <v>496.59660120953299</v>
      </c>
    </row>
    <row r="221" spans="1:12">
      <c r="A221">
        <f>[1]Result_notebook_retravaill!A221</f>
        <v>2027</v>
      </c>
      <c r="B221" t="str">
        <f>[1]Result_notebook_retravaill!B221</f>
        <v>Neodymium</v>
      </c>
      <c r="C221" t="str">
        <f>[1]Result_notebook_retravaill!C221</f>
        <v>Current Measures</v>
      </c>
      <c r="D221" t="str">
        <f>[1]Result_notebook_retravaill!D221</f>
        <v>Production potential</v>
      </c>
      <c r="E221" t="str">
        <f>[1]Result_notebook_retravaill!E221</f>
        <v>100% CAN</v>
      </c>
      <c r="F221" t="str">
        <f>[1]Result_notebook_retravaill!F221</f>
        <v>Integrated</v>
      </c>
      <c r="G221">
        <f>[1]Result_notebook_retravaill!G221</f>
        <v>501.99193842105927</v>
      </c>
      <c r="H221" s="3">
        <f>IF([1]Result_notebook_retravaill!I221&gt;[1]Result_notebook_retravaill!G221,[1]Result_notebook_retravaill!I221/[1]Result_notebook_retravaill!N221,[1]Result_notebook_retravaill!H221)</f>
        <v>5.395337211526285</v>
      </c>
      <c r="I221" s="3">
        <f>[1]Result_notebook_retravaill!K221</f>
        <v>831.2578934902391</v>
      </c>
      <c r="J221" s="3">
        <f>MIN(G221,[1]Result_notebook_retravaill!I221)</f>
        <v>3.229346251882661</v>
      </c>
      <c r="K221" s="3">
        <f>IF([1]Result_notebook_retravaill!I221&gt;[1]Result_notebook_retravaill!G221,0,IF([1]Result_notebook_retravaill!I221+[1]Result_notebook_retravaill!J221&gt;[1]Result_notebook_retravaill!G221,[1]Result_notebook_retravaill!G221-[1]Result_notebook_retravaill!I221,[1]Result_notebook_retravaill!J221))</f>
        <v>2.165990959643624</v>
      </c>
      <c r="L221" s="3">
        <f>IF([1]Result_notebook_retravaill!I221&gt;[1]Result_notebook_retravaill!G221,0,IF([1]Result_notebook_retravaill!I221+[1]Result_notebook_retravaill!J221&gt;[1]Result_notebook_retravaill!G221,0,[1]Result_notebook_retravaill!M221))</f>
        <v>496.59660120953299</v>
      </c>
    </row>
    <row r="222" spans="1:12">
      <c r="A222">
        <f>[1]Result_notebook_retravaill!A222</f>
        <v>2027</v>
      </c>
      <c r="B222" t="str">
        <f>[1]Result_notebook_retravaill!B222</f>
        <v>Neodymium</v>
      </c>
      <c r="C222" t="str">
        <f>[1]Result_notebook_retravaill!C222</f>
        <v>Global Net-zero</v>
      </c>
      <c r="D222" t="str">
        <f>[1]Result_notebook_retravaill!D222</f>
        <v>Existing production</v>
      </c>
      <c r="E222" t="str">
        <f>[1]Result_notebook_retravaill!E222</f>
        <v>Current shares</v>
      </c>
      <c r="F222" t="str">
        <f>[1]Result_notebook_retravaill!F222</f>
        <v>NIMBY</v>
      </c>
      <c r="G222">
        <f>[1]Result_notebook_retravaill!G222</f>
        <v>868.10490581569559</v>
      </c>
      <c r="H222" s="3">
        <f>IF([1]Result_notebook_retravaill!I222&gt;[1]Result_notebook_retravaill!G222,[1]Result_notebook_retravaill!I222/[1]Result_notebook_retravaill!N222,[1]Result_notebook_retravaill!H222)</f>
        <v>0</v>
      </c>
      <c r="I222" s="3">
        <f>[1]Result_notebook_retravaill!K222</f>
        <v>1446.8415096928261</v>
      </c>
      <c r="J222" s="3">
        <f>MIN(G222,[1]Result_notebook_retravaill!I222)</f>
        <v>0</v>
      </c>
      <c r="K222" s="3">
        <f>IF([1]Result_notebook_retravaill!I222&gt;[1]Result_notebook_retravaill!G222,0,IF([1]Result_notebook_retravaill!I222+[1]Result_notebook_retravaill!J222&gt;[1]Result_notebook_retravaill!G222,[1]Result_notebook_retravaill!G222-[1]Result_notebook_retravaill!I222,[1]Result_notebook_retravaill!J222))</f>
        <v>0</v>
      </c>
      <c r="L222" s="3">
        <f>IF([1]Result_notebook_retravaill!I222&gt;[1]Result_notebook_retravaill!G222,0,IF([1]Result_notebook_retravaill!I222+[1]Result_notebook_retravaill!J222&gt;[1]Result_notebook_retravaill!G222,0,[1]Result_notebook_retravaill!M222))</f>
        <v>868.10490581569559</v>
      </c>
    </row>
    <row r="223" spans="1:12">
      <c r="A223">
        <f>[1]Result_notebook_retravaill!A223</f>
        <v>2027</v>
      </c>
      <c r="B223" t="str">
        <f>[1]Result_notebook_retravaill!B223</f>
        <v>Neodymium</v>
      </c>
      <c r="C223" t="str">
        <f>[1]Result_notebook_retravaill!C223</f>
        <v>Global Net-zero</v>
      </c>
      <c r="D223" t="str">
        <f>[1]Result_notebook_retravaill!D223</f>
        <v>Existing production</v>
      </c>
      <c r="E223" t="str">
        <f>[1]Result_notebook_retravaill!E223</f>
        <v>Current shares</v>
      </c>
      <c r="F223" t="str">
        <f>[1]Result_notebook_retravaill!F223</f>
        <v>Status Quo</v>
      </c>
      <c r="G223">
        <f>[1]Result_notebook_retravaill!G223</f>
        <v>868.10490581569559</v>
      </c>
      <c r="H223" s="3">
        <f>IF([1]Result_notebook_retravaill!I223&gt;[1]Result_notebook_retravaill!G223,[1]Result_notebook_retravaill!I223/[1]Result_notebook_retravaill!N223,[1]Result_notebook_retravaill!H223)</f>
        <v>0</v>
      </c>
      <c r="I223" s="3">
        <f>[1]Result_notebook_retravaill!K223</f>
        <v>1446.8415096928261</v>
      </c>
      <c r="J223" s="3">
        <f>MIN(G223,[1]Result_notebook_retravaill!I223)</f>
        <v>0</v>
      </c>
      <c r="K223" s="3">
        <f>IF([1]Result_notebook_retravaill!I223&gt;[1]Result_notebook_retravaill!G223,0,IF([1]Result_notebook_retravaill!I223+[1]Result_notebook_retravaill!J223&gt;[1]Result_notebook_retravaill!G223,[1]Result_notebook_retravaill!G223-[1]Result_notebook_retravaill!I223,[1]Result_notebook_retravaill!J223))</f>
        <v>0</v>
      </c>
      <c r="L223" s="3">
        <f>IF([1]Result_notebook_retravaill!I223&gt;[1]Result_notebook_retravaill!G223,0,IF([1]Result_notebook_retravaill!I223+[1]Result_notebook_retravaill!J223&gt;[1]Result_notebook_retravaill!G223,0,[1]Result_notebook_retravaill!M223))</f>
        <v>868.10490581569559</v>
      </c>
    </row>
    <row r="224" spans="1:12">
      <c r="A224">
        <f>[1]Result_notebook_retravaill!A224</f>
        <v>2027</v>
      </c>
      <c r="B224" t="str">
        <f>[1]Result_notebook_retravaill!B224</f>
        <v>Neodymium</v>
      </c>
      <c r="C224" t="str">
        <f>[1]Result_notebook_retravaill!C224</f>
        <v>Global Net-zero</v>
      </c>
      <c r="D224" t="str">
        <f>[1]Result_notebook_retravaill!D224</f>
        <v>Production potential</v>
      </c>
      <c r="E224" t="str">
        <f>[1]Result_notebook_retravaill!E224</f>
        <v>Current shares</v>
      </c>
      <c r="F224" t="str">
        <f>[1]Result_notebook_retravaill!F224</f>
        <v>Expansion Extractive</v>
      </c>
      <c r="G224">
        <f>[1]Result_notebook_retravaill!G224</f>
        <v>868.10490581569559</v>
      </c>
      <c r="H224" s="3">
        <f>IF([1]Result_notebook_retravaill!I224&gt;[1]Result_notebook_retravaill!G224,[1]Result_notebook_retravaill!I224/[1]Result_notebook_retravaill!N224,[1]Result_notebook_retravaill!H224)</f>
        <v>5.395337211526285</v>
      </c>
      <c r="I224" s="3">
        <f>[1]Result_notebook_retravaill!K224</f>
        <v>1441.4461724813</v>
      </c>
      <c r="J224" s="3">
        <f>MIN(G224,[1]Result_notebook_retravaill!I224)</f>
        <v>3.229346251882661</v>
      </c>
      <c r="K224" s="3">
        <f>IF([1]Result_notebook_retravaill!I224&gt;[1]Result_notebook_retravaill!G224,0,IF([1]Result_notebook_retravaill!I224+[1]Result_notebook_retravaill!J224&gt;[1]Result_notebook_retravaill!G224,[1]Result_notebook_retravaill!G224-[1]Result_notebook_retravaill!I224,[1]Result_notebook_retravaill!J224))</f>
        <v>2.165990959643624</v>
      </c>
      <c r="L224" s="3">
        <f>IF([1]Result_notebook_retravaill!I224&gt;[1]Result_notebook_retravaill!G224,0,IF([1]Result_notebook_retravaill!I224+[1]Result_notebook_retravaill!J224&gt;[1]Result_notebook_retravaill!G224,0,[1]Result_notebook_retravaill!M224))</f>
        <v>862.70956860416925</v>
      </c>
    </row>
    <row r="225" spans="1:12">
      <c r="A225">
        <f>[1]Result_notebook_retravaill!A225</f>
        <v>2027</v>
      </c>
      <c r="B225" t="str">
        <f>[1]Result_notebook_retravaill!B225</f>
        <v>Neodymium</v>
      </c>
      <c r="C225" t="str">
        <f>[1]Result_notebook_retravaill!C225</f>
        <v>Global Net-zero</v>
      </c>
      <c r="D225" t="str">
        <f>[1]Result_notebook_retravaill!D225</f>
        <v>Production potential</v>
      </c>
      <c r="E225" t="str">
        <f>[1]Result_notebook_retravaill!E225</f>
        <v>Current shares</v>
      </c>
      <c r="F225" t="str">
        <f>[1]Result_notebook_retravaill!F225</f>
        <v>Expansion Extractive+Circularity</v>
      </c>
      <c r="G225">
        <f>[1]Result_notebook_retravaill!G225</f>
        <v>868.10490581569559</v>
      </c>
      <c r="H225" s="3">
        <f>IF([1]Result_notebook_retravaill!I225&gt;[1]Result_notebook_retravaill!G225,[1]Result_notebook_retravaill!I225/[1]Result_notebook_retravaill!N225,[1]Result_notebook_retravaill!H225)</f>
        <v>5.395337211526285</v>
      </c>
      <c r="I225" s="3">
        <f>[1]Result_notebook_retravaill!K225</f>
        <v>1441.4461724813</v>
      </c>
      <c r="J225" s="3">
        <f>MIN(G225,[1]Result_notebook_retravaill!I225)</f>
        <v>3.229346251882661</v>
      </c>
      <c r="K225" s="3">
        <f>IF([1]Result_notebook_retravaill!I225&gt;[1]Result_notebook_retravaill!G225,0,IF([1]Result_notebook_retravaill!I225+[1]Result_notebook_retravaill!J225&gt;[1]Result_notebook_retravaill!G225,[1]Result_notebook_retravaill!G225-[1]Result_notebook_retravaill!I225,[1]Result_notebook_retravaill!J225))</f>
        <v>2.165990959643624</v>
      </c>
      <c r="L225" s="3">
        <f>IF([1]Result_notebook_retravaill!I225&gt;[1]Result_notebook_retravaill!G225,0,IF([1]Result_notebook_retravaill!I225+[1]Result_notebook_retravaill!J225&gt;[1]Result_notebook_retravaill!G225,0,[1]Result_notebook_retravaill!M225))</f>
        <v>862.70956860416925</v>
      </c>
    </row>
    <row r="226" spans="1:12">
      <c r="A226">
        <f>[1]Result_notebook_retravaill!A226</f>
        <v>2027</v>
      </c>
      <c r="B226" t="str">
        <f>[1]Result_notebook_retravaill!B226</f>
        <v>Neodymium</v>
      </c>
      <c r="C226" t="str">
        <f>[1]Result_notebook_retravaill!C226</f>
        <v>Global Net-zero</v>
      </c>
      <c r="D226" t="str">
        <f>[1]Result_notebook_retravaill!D226</f>
        <v>Production potential</v>
      </c>
      <c r="E226" t="str">
        <f>[1]Result_notebook_retravaill!E226</f>
        <v>100% CAN</v>
      </c>
      <c r="F226" t="str">
        <f>[1]Result_notebook_retravaill!F226</f>
        <v>Integrated</v>
      </c>
      <c r="G226">
        <f>[1]Result_notebook_retravaill!G226</f>
        <v>868.10490581569559</v>
      </c>
      <c r="H226" s="3">
        <f>IF([1]Result_notebook_retravaill!I226&gt;[1]Result_notebook_retravaill!G226,[1]Result_notebook_retravaill!I226/[1]Result_notebook_retravaill!N226,[1]Result_notebook_retravaill!H226)</f>
        <v>5.395337211526285</v>
      </c>
      <c r="I226" s="3">
        <f>[1]Result_notebook_retravaill!K226</f>
        <v>1441.4461724813</v>
      </c>
      <c r="J226" s="3">
        <f>MIN(G226,[1]Result_notebook_retravaill!I226)</f>
        <v>3.229346251882661</v>
      </c>
      <c r="K226" s="3">
        <f>IF([1]Result_notebook_retravaill!I226&gt;[1]Result_notebook_retravaill!G226,0,IF([1]Result_notebook_retravaill!I226+[1]Result_notebook_retravaill!J226&gt;[1]Result_notebook_retravaill!G226,[1]Result_notebook_retravaill!G226-[1]Result_notebook_retravaill!I226,[1]Result_notebook_retravaill!J226))</f>
        <v>2.165990959643624</v>
      </c>
      <c r="L226" s="3">
        <f>IF([1]Result_notebook_retravaill!I226&gt;[1]Result_notebook_retravaill!G226,0,IF([1]Result_notebook_retravaill!I226+[1]Result_notebook_retravaill!J226&gt;[1]Result_notebook_retravaill!G226,0,[1]Result_notebook_retravaill!M226))</f>
        <v>862.70956860416925</v>
      </c>
    </row>
    <row r="227" spans="1:12">
      <c r="A227">
        <f>[1]Result_notebook_retravaill!A227</f>
        <v>2027</v>
      </c>
      <c r="B227" t="str">
        <f>[1]Result_notebook_retravaill!B227</f>
        <v>Nickel</v>
      </c>
      <c r="C227" t="str">
        <f>[1]Result_notebook_retravaill!C227</f>
        <v>Canada Net-zero</v>
      </c>
      <c r="D227" t="str">
        <f>[1]Result_notebook_retravaill!D227</f>
        <v>Existing production</v>
      </c>
      <c r="E227" t="str">
        <f>[1]Result_notebook_retravaill!E227</f>
        <v>Current shares</v>
      </c>
      <c r="F227" t="str">
        <f>[1]Result_notebook_retravaill!F227</f>
        <v>NIMBY</v>
      </c>
      <c r="G227">
        <f>[1]Result_notebook_retravaill!G227</f>
        <v>40022.174830153243</v>
      </c>
      <c r="H227" s="3">
        <f>IF([1]Result_notebook_retravaill!I227&gt;[1]Result_notebook_retravaill!G227,[1]Result_notebook_retravaill!I227/[1]Result_notebook_retravaill!N227,[1]Result_notebook_retravaill!H227)</f>
        <v>0</v>
      </c>
      <c r="I227" s="3">
        <f>[1]Result_notebook_retravaill!K227</f>
        <v>50660.980797662327</v>
      </c>
      <c r="J227" s="3">
        <f>MIN(G227,[1]Result_notebook_retravaill!I227)</f>
        <v>0</v>
      </c>
      <c r="K227" s="3">
        <f>IF([1]Result_notebook_retravaill!I227&gt;[1]Result_notebook_retravaill!G227,0,IF([1]Result_notebook_retravaill!I227+[1]Result_notebook_retravaill!J227&gt;[1]Result_notebook_retravaill!G227,[1]Result_notebook_retravaill!G227-[1]Result_notebook_retravaill!I227,[1]Result_notebook_retravaill!J227))</f>
        <v>0</v>
      </c>
      <c r="L227" s="3">
        <f>IF([1]Result_notebook_retravaill!I227&gt;[1]Result_notebook_retravaill!G227,0,IF([1]Result_notebook_retravaill!I227+[1]Result_notebook_retravaill!J227&gt;[1]Result_notebook_retravaill!G227,0,[1]Result_notebook_retravaill!M227))</f>
        <v>40022.174830153243</v>
      </c>
    </row>
    <row r="228" spans="1:12">
      <c r="A228">
        <f>[1]Result_notebook_retravaill!A228</f>
        <v>2027</v>
      </c>
      <c r="B228" t="str">
        <f>[1]Result_notebook_retravaill!B228</f>
        <v>Nickel</v>
      </c>
      <c r="C228" t="str">
        <f>[1]Result_notebook_retravaill!C228</f>
        <v>Canada Net-zero</v>
      </c>
      <c r="D228" t="str">
        <f>[1]Result_notebook_retravaill!D228</f>
        <v>Existing production</v>
      </c>
      <c r="E228" t="str">
        <f>[1]Result_notebook_retravaill!E228</f>
        <v>Current shares</v>
      </c>
      <c r="F228" t="str">
        <f>[1]Result_notebook_retravaill!F228</f>
        <v>Status Quo</v>
      </c>
      <c r="G228">
        <f>[1]Result_notebook_retravaill!G228</f>
        <v>40022.174830153243</v>
      </c>
      <c r="H228" s="3">
        <f>IF([1]Result_notebook_retravaill!I228&gt;[1]Result_notebook_retravaill!G228,[1]Result_notebook_retravaill!I228/[1]Result_notebook_retravaill!N228,[1]Result_notebook_retravaill!H228)</f>
        <v>127185.24196697887</v>
      </c>
      <c r="I228" s="3">
        <f>[1]Result_notebook_retravaill!K228</f>
        <v>0</v>
      </c>
      <c r="J228" s="3">
        <f>MIN(G228,[1]Result_notebook_retravaill!I228)</f>
        <v>40022.174830153243</v>
      </c>
      <c r="K228" s="3">
        <f>IF([1]Result_notebook_retravaill!I228&gt;[1]Result_notebook_retravaill!G228,0,IF([1]Result_notebook_retravaill!I228+[1]Result_notebook_retravaill!J228&gt;[1]Result_notebook_retravaill!G228,[1]Result_notebook_retravaill!G228-[1]Result_notebook_retravaill!I228,[1]Result_notebook_retravaill!J228))</f>
        <v>0</v>
      </c>
      <c r="L228" s="3">
        <f>IF([1]Result_notebook_retravaill!I228&gt;[1]Result_notebook_retravaill!G228,0,IF([1]Result_notebook_retravaill!I228+[1]Result_notebook_retravaill!J228&gt;[1]Result_notebook_retravaill!G228,0,[1]Result_notebook_retravaill!M228))</f>
        <v>0</v>
      </c>
    </row>
    <row r="229" spans="1:12">
      <c r="A229">
        <f>[1]Result_notebook_retravaill!A229</f>
        <v>2027</v>
      </c>
      <c r="B229" t="str">
        <f>[1]Result_notebook_retravaill!B229</f>
        <v>Nickel</v>
      </c>
      <c r="C229" t="str">
        <f>[1]Result_notebook_retravaill!C229</f>
        <v>Canada Net-zero</v>
      </c>
      <c r="D229" t="str">
        <f>[1]Result_notebook_retravaill!D229</f>
        <v>Production potential</v>
      </c>
      <c r="E229" t="str">
        <f>[1]Result_notebook_retravaill!E229</f>
        <v>Current shares</v>
      </c>
      <c r="F229" t="str">
        <f>[1]Result_notebook_retravaill!F229</f>
        <v>Expansion Extractive</v>
      </c>
      <c r="G229">
        <f>[1]Result_notebook_retravaill!G229</f>
        <v>40022.174830153243</v>
      </c>
      <c r="H229" s="3">
        <f>IF([1]Result_notebook_retravaill!I229&gt;[1]Result_notebook_retravaill!G229,[1]Result_notebook_retravaill!I229/[1]Result_notebook_retravaill!N229,[1]Result_notebook_retravaill!H229)</f>
        <v>173159.77406612836</v>
      </c>
      <c r="I229" s="3">
        <f>[1]Result_notebook_retravaill!K229</f>
        <v>0</v>
      </c>
      <c r="J229" s="3">
        <f>MIN(G229,[1]Result_notebook_retravaill!I229)</f>
        <v>40022.174830153243</v>
      </c>
      <c r="K229" s="3">
        <f>IF([1]Result_notebook_retravaill!I229&gt;[1]Result_notebook_retravaill!G229,0,IF([1]Result_notebook_retravaill!I229+[1]Result_notebook_retravaill!J229&gt;[1]Result_notebook_retravaill!G229,[1]Result_notebook_retravaill!G229-[1]Result_notebook_retravaill!I229,[1]Result_notebook_retravaill!J229))</f>
        <v>0</v>
      </c>
      <c r="L229" s="3">
        <f>IF([1]Result_notebook_retravaill!I229&gt;[1]Result_notebook_retravaill!G229,0,IF([1]Result_notebook_retravaill!I229+[1]Result_notebook_retravaill!J229&gt;[1]Result_notebook_retravaill!G229,0,[1]Result_notebook_retravaill!M229))</f>
        <v>0</v>
      </c>
    </row>
    <row r="230" spans="1:12">
      <c r="A230">
        <f>[1]Result_notebook_retravaill!A230</f>
        <v>2027</v>
      </c>
      <c r="B230" t="str">
        <f>[1]Result_notebook_retravaill!B230</f>
        <v>Nickel</v>
      </c>
      <c r="C230" t="str">
        <f>[1]Result_notebook_retravaill!C230</f>
        <v>Canada Net-zero</v>
      </c>
      <c r="D230" t="str">
        <f>[1]Result_notebook_retravaill!D230</f>
        <v>Production potential</v>
      </c>
      <c r="E230" t="str">
        <f>[1]Result_notebook_retravaill!E230</f>
        <v>Current shares</v>
      </c>
      <c r="F230" t="str">
        <f>[1]Result_notebook_retravaill!F230</f>
        <v>Expansion Extractive+Circularity</v>
      </c>
      <c r="G230">
        <f>[1]Result_notebook_retravaill!G230</f>
        <v>40022.174830153243</v>
      </c>
      <c r="H230" s="3">
        <f>IF([1]Result_notebook_retravaill!I230&gt;[1]Result_notebook_retravaill!G230,[1]Result_notebook_retravaill!I230/[1]Result_notebook_retravaill!N230,[1]Result_notebook_retravaill!H230)</f>
        <v>173159.77406612836</v>
      </c>
      <c r="I230" s="3">
        <f>[1]Result_notebook_retravaill!K230</f>
        <v>0</v>
      </c>
      <c r="J230" s="3">
        <f>MIN(G230,[1]Result_notebook_retravaill!I230)</f>
        <v>40022.174830153243</v>
      </c>
      <c r="K230" s="3">
        <f>IF([1]Result_notebook_retravaill!I230&gt;[1]Result_notebook_retravaill!G230,0,IF([1]Result_notebook_retravaill!I230+[1]Result_notebook_retravaill!J230&gt;[1]Result_notebook_retravaill!G230,[1]Result_notebook_retravaill!G230-[1]Result_notebook_retravaill!I230,[1]Result_notebook_retravaill!J230))</f>
        <v>0</v>
      </c>
      <c r="L230" s="3">
        <f>IF([1]Result_notebook_retravaill!I230&gt;[1]Result_notebook_retravaill!G230,0,IF([1]Result_notebook_retravaill!I230+[1]Result_notebook_retravaill!J230&gt;[1]Result_notebook_retravaill!G230,0,[1]Result_notebook_retravaill!M230))</f>
        <v>0</v>
      </c>
    </row>
    <row r="231" spans="1:12">
      <c r="A231">
        <f>[1]Result_notebook_retravaill!A231</f>
        <v>2027</v>
      </c>
      <c r="B231" t="str">
        <f>[1]Result_notebook_retravaill!B231</f>
        <v>Nickel</v>
      </c>
      <c r="C231" t="str">
        <f>[1]Result_notebook_retravaill!C231</f>
        <v>Canada Net-zero</v>
      </c>
      <c r="D231" t="str">
        <f>[1]Result_notebook_retravaill!D231</f>
        <v>Production potential</v>
      </c>
      <c r="E231" t="str">
        <f>[1]Result_notebook_retravaill!E231</f>
        <v>100% CAN</v>
      </c>
      <c r="F231" t="str">
        <f>[1]Result_notebook_retravaill!F231</f>
        <v>Integrated</v>
      </c>
      <c r="G231">
        <f>[1]Result_notebook_retravaill!G231</f>
        <v>40022.174830153243</v>
      </c>
      <c r="H231" s="3">
        <f>IF([1]Result_notebook_retravaill!I231&gt;[1]Result_notebook_retravaill!G231,[1]Result_notebook_retravaill!I231/[1]Result_notebook_retravaill!N231,[1]Result_notebook_retravaill!H231)</f>
        <v>243140.84098694212</v>
      </c>
      <c r="I231" s="3">
        <f>[1]Result_notebook_retravaill!K231</f>
        <v>0</v>
      </c>
      <c r="J231" s="3">
        <f>MIN(G231,[1]Result_notebook_retravaill!I231)</f>
        <v>40022.174830153243</v>
      </c>
      <c r="K231" s="3">
        <f>IF([1]Result_notebook_retravaill!I231&gt;[1]Result_notebook_retravaill!G231,0,IF([1]Result_notebook_retravaill!I231+[1]Result_notebook_retravaill!J231&gt;[1]Result_notebook_retravaill!G231,[1]Result_notebook_retravaill!G231-[1]Result_notebook_retravaill!I231,[1]Result_notebook_retravaill!J231))</f>
        <v>0</v>
      </c>
      <c r="L231" s="3">
        <f>IF([1]Result_notebook_retravaill!I231&gt;[1]Result_notebook_retravaill!G231,0,IF([1]Result_notebook_retravaill!I231+[1]Result_notebook_retravaill!J231&gt;[1]Result_notebook_retravaill!G231,0,[1]Result_notebook_retravaill!M231))</f>
        <v>0</v>
      </c>
    </row>
    <row r="232" spans="1:12">
      <c r="A232">
        <f>[1]Result_notebook_retravaill!A232</f>
        <v>2027</v>
      </c>
      <c r="B232" t="str">
        <f>[1]Result_notebook_retravaill!B232</f>
        <v>Nickel</v>
      </c>
      <c r="C232" t="str">
        <f>[1]Result_notebook_retravaill!C232</f>
        <v>Current Measures</v>
      </c>
      <c r="D232" t="str">
        <f>[1]Result_notebook_retravaill!D232</f>
        <v>Existing production</v>
      </c>
      <c r="E232" t="str">
        <f>[1]Result_notebook_retravaill!E232</f>
        <v>Current shares</v>
      </c>
      <c r="F232" t="str">
        <f>[1]Result_notebook_retravaill!F232</f>
        <v>NIMBY</v>
      </c>
      <c r="G232">
        <f>[1]Result_notebook_retravaill!G232</f>
        <v>28526.663384635151</v>
      </c>
      <c r="H232" s="3">
        <f>IF([1]Result_notebook_retravaill!I232&gt;[1]Result_notebook_retravaill!G232,[1]Result_notebook_retravaill!I232/[1]Result_notebook_retravaill!N232,[1]Result_notebook_retravaill!H232)</f>
        <v>0</v>
      </c>
      <c r="I232" s="3">
        <f>[1]Result_notebook_retravaill!K232</f>
        <v>36109.700486879927</v>
      </c>
      <c r="J232" s="3">
        <f>MIN(G232,[1]Result_notebook_retravaill!I232)</f>
        <v>0</v>
      </c>
      <c r="K232" s="3">
        <f>IF([1]Result_notebook_retravaill!I232&gt;[1]Result_notebook_retravaill!G232,0,IF([1]Result_notebook_retravaill!I232+[1]Result_notebook_retravaill!J232&gt;[1]Result_notebook_retravaill!G232,[1]Result_notebook_retravaill!G232-[1]Result_notebook_retravaill!I232,[1]Result_notebook_retravaill!J232))</f>
        <v>0</v>
      </c>
      <c r="L232" s="3">
        <f>IF([1]Result_notebook_retravaill!I232&gt;[1]Result_notebook_retravaill!G232,0,IF([1]Result_notebook_retravaill!I232+[1]Result_notebook_retravaill!J232&gt;[1]Result_notebook_retravaill!G232,0,[1]Result_notebook_retravaill!M232))</f>
        <v>28526.663384635151</v>
      </c>
    </row>
    <row r="233" spans="1:12">
      <c r="A233">
        <f>[1]Result_notebook_retravaill!A233</f>
        <v>2027</v>
      </c>
      <c r="B233" t="str">
        <f>[1]Result_notebook_retravaill!B233</f>
        <v>Nickel</v>
      </c>
      <c r="C233" t="str">
        <f>[1]Result_notebook_retravaill!C233</f>
        <v>Current Measures</v>
      </c>
      <c r="D233" t="str">
        <f>[1]Result_notebook_retravaill!D233</f>
        <v>Existing production</v>
      </c>
      <c r="E233" t="str">
        <f>[1]Result_notebook_retravaill!E233</f>
        <v>Current shares</v>
      </c>
      <c r="F233" t="str">
        <f>[1]Result_notebook_retravaill!F233</f>
        <v>Status Quo</v>
      </c>
      <c r="G233">
        <f>[1]Result_notebook_retravaill!G233</f>
        <v>28526.663384635151</v>
      </c>
      <c r="H233" s="3">
        <f>IF([1]Result_notebook_retravaill!I233&gt;[1]Result_notebook_retravaill!G233,[1]Result_notebook_retravaill!I233/[1]Result_notebook_retravaill!N233,[1]Result_notebook_retravaill!H233)</f>
        <v>127185.24196697887</v>
      </c>
      <c r="I233" s="3">
        <f>[1]Result_notebook_retravaill!K233</f>
        <v>0</v>
      </c>
      <c r="J233" s="3">
        <f>MIN(G233,[1]Result_notebook_retravaill!I233)</f>
        <v>28526.663384635151</v>
      </c>
      <c r="K233" s="3">
        <f>IF([1]Result_notebook_retravaill!I233&gt;[1]Result_notebook_retravaill!G233,0,IF([1]Result_notebook_retravaill!I233+[1]Result_notebook_retravaill!J233&gt;[1]Result_notebook_retravaill!G233,[1]Result_notebook_retravaill!G233-[1]Result_notebook_retravaill!I233,[1]Result_notebook_retravaill!J233))</f>
        <v>0</v>
      </c>
      <c r="L233" s="3">
        <f>IF([1]Result_notebook_retravaill!I233&gt;[1]Result_notebook_retravaill!G233,0,IF([1]Result_notebook_retravaill!I233+[1]Result_notebook_retravaill!J233&gt;[1]Result_notebook_retravaill!G233,0,[1]Result_notebook_retravaill!M233))</f>
        <v>0</v>
      </c>
    </row>
    <row r="234" spans="1:12">
      <c r="A234">
        <f>[1]Result_notebook_retravaill!A234</f>
        <v>2027</v>
      </c>
      <c r="B234" t="str">
        <f>[1]Result_notebook_retravaill!B234</f>
        <v>Nickel</v>
      </c>
      <c r="C234" t="str">
        <f>[1]Result_notebook_retravaill!C234</f>
        <v>Current Measures</v>
      </c>
      <c r="D234" t="str">
        <f>[1]Result_notebook_retravaill!D234</f>
        <v>Production potential</v>
      </c>
      <c r="E234" t="str">
        <f>[1]Result_notebook_retravaill!E234</f>
        <v>Current shares</v>
      </c>
      <c r="F234" t="str">
        <f>[1]Result_notebook_retravaill!F234</f>
        <v>Expansion Extractive</v>
      </c>
      <c r="G234">
        <f>[1]Result_notebook_retravaill!G234</f>
        <v>28526.663384635151</v>
      </c>
      <c r="H234" s="3">
        <f>IF([1]Result_notebook_retravaill!I234&gt;[1]Result_notebook_retravaill!G234,[1]Result_notebook_retravaill!I234/[1]Result_notebook_retravaill!N234,[1]Result_notebook_retravaill!H234)</f>
        <v>173159.77406612836</v>
      </c>
      <c r="I234" s="3">
        <f>[1]Result_notebook_retravaill!K234</f>
        <v>0</v>
      </c>
      <c r="J234" s="3">
        <f>MIN(G234,[1]Result_notebook_retravaill!I234)</f>
        <v>28526.663384635151</v>
      </c>
      <c r="K234" s="3">
        <f>IF([1]Result_notebook_retravaill!I234&gt;[1]Result_notebook_retravaill!G234,0,IF([1]Result_notebook_retravaill!I234+[1]Result_notebook_retravaill!J234&gt;[1]Result_notebook_retravaill!G234,[1]Result_notebook_retravaill!G234-[1]Result_notebook_retravaill!I234,[1]Result_notebook_retravaill!J234))</f>
        <v>0</v>
      </c>
      <c r="L234" s="3">
        <f>IF([1]Result_notebook_retravaill!I234&gt;[1]Result_notebook_retravaill!G234,0,IF([1]Result_notebook_retravaill!I234+[1]Result_notebook_retravaill!J234&gt;[1]Result_notebook_retravaill!G234,0,[1]Result_notebook_retravaill!M234))</f>
        <v>0</v>
      </c>
    </row>
    <row r="235" spans="1:12">
      <c r="A235">
        <f>[1]Result_notebook_retravaill!A235</f>
        <v>2027</v>
      </c>
      <c r="B235" t="str">
        <f>[1]Result_notebook_retravaill!B235</f>
        <v>Nickel</v>
      </c>
      <c r="C235" t="str">
        <f>[1]Result_notebook_retravaill!C235</f>
        <v>Current Measures</v>
      </c>
      <c r="D235" t="str">
        <f>[1]Result_notebook_retravaill!D235</f>
        <v>Production potential</v>
      </c>
      <c r="E235" t="str">
        <f>[1]Result_notebook_retravaill!E235</f>
        <v>Current shares</v>
      </c>
      <c r="F235" t="str">
        <f>[1]Result_notebook_retravaill!F235</f>
        <v>Expansion Extractive+Circularity</v>
      </c>
      <c r="G235">
        <f>[1]Result_notebook_retravaill!G235</f>
        <v>28526.663384635151</v>
      </c>
      <c r="H235" s="3">
        <f>IF([1]Result_notebook_retravaill!I235&gt;[1]Result_notebook_retravaill!G235,[1]Result_notebook_retravaill!I235/[1]Result_notebook_retravaill!N235,[1]Result_notebook_retravaill!H235)</f>
        <v>173159.77406612836</v>
      </c>
      <c r="I235" s="3">
        <f>[1]Result_notebook_retravaill!K235</f>
        <v>0</v>
      </c>
      <c r="J235" s="3">
        <f>MIN(G235,[1]Result_notebook_retravaill!I235)</f>
        <v>28526.663384635151</v>
      </c>
      <c r="K235" s="3">
        <f>IF([1]Result_notebook_retravaill!I235&gt;[1]Result_notebook_retravaill!G235,0,IF([1]Result_notebook_retravaill!I235+[1]Result_notebook_retravaill!J235&gt;[1]Result_notebook_retravaill!G235,[1]Result_notebook_retravaill!G235-[1]Result_notebook_retravaill!I235,[1]Result_notebook_retravaill!J235))</f>
        <v>0</v>
      </c>
      <c r="L235" s="3">
        <f>IF([1]Result_notebook_retravaill!I235&gt;[1]Result_notebook_retravaill!G235,0,IF([1]Result_notebook_retravaill!I235+[1]Result_notebook_retravaill!J235&gt;[1]Result_notebook_retravaill!G235,0,[1]Result_notebook_retravaill!M235))</f>
        <v>0</v>
      </c>
    </row>
    <row r="236" spans="1:12">
      <c r="A236">
        <f>[1]Result_notebook_retravaill!A236</f>
        <v>2027</v>
      </c>
      <c r="B236" t="str">
        <f>[1]Result_notebook_retravaill!B236</f>
        <v>Nickel</v>
      </c>
      <c r="C236" t="str">
        <f>[1]Result_notebook_retravaill!C236</f>
        <v>Current Measures</v>
      </c>
      <c r="D236" t="str">
        <f>[1]Result_notebook_retravaill!D236</f>
        <v>Production potential</v>
      </c>
      <c r="E236" t="str">
        <f>[1]Result_notebook_retravaill!E236</f>
        <v>100% CAN</v>
      </c>
      <c r="F236" t="str">
        <f>[1]Result_notebook_retravaill!F236</f>
        <v>Integrated</v>
      </c>
      <c r="G236">
        <f>[1]Result_notebook_retravaill!G236</f>
        <v>28526.663384635151</v>
      </c>
      <c r="H236" s="3">
        <f>IF([1]Result_notebook_retravaill!I236&gt;[1]Result_notebook_retravaill!G236,[1]Result_notebook_retravaill!I236/[1]Result_notebook_retravaill!N236,[1]Result_notebook_retravaill!H236)</f>
        <v>243140.84098694212</v>
      </c>
      <c r="I236" s="3">
        <f>[1]Result_notebook_retravaill!K236</f>
        <v>0</v>
      </c>
      <c r="J236" s="3">
        <f>MIN(G236,[1]Result_notebook_retravaill!I236)</f>
        <v>28526.663384635151</v>
      </c>
      <c r="K236" s="3">
        <f>IF([1]Result_notebook_retravaill!I236&gt;[1]Result_notebook_retravaill!G236,0,IF([1]Result_notebook_retravaill!I236+[1]Result_notebook_retravaill!J236&gt;[1]Result_notebook_retravaill!G236,[1]Result_notebook_retravaill!G236-[1]Result_notebook_retravaill!I236,[1]Result_notebook_retravaill!J236))</f>
        <v>0</v>
      </c>
      <c r="L236" s="3">
        <f>IF([1]Result_notebook_retravaill!I236&gt;[1]Result_notebook_retravaill!G236,0,IF([1]Result_notebook_retravaill!I236+[1]Result_notebook_retravaill!J236&gt;[1]Result_notebook_retravaill!G236,0,[1]Result_notebook_retravaill!M236))</f>
        <v>0</v>
      </c>
    </row>
    <row r="237" spans="1:12">
      <c r="A237">
        <f>[1]Result_notebook_retravaill!A237</f>
        <v>2027</v>
      </c>
      <c r="B237" t="str">
        <f>[1]Result_notebook_retravaill!B237</f>
        <v>Nickel</v>
      </c>
      <c r="C237" t="str">
        <f>[1]Result_notebook_retravaill!C237</f>
        <v>Global Net-zero</v>
      </c>
      <c r="D237" t="str">
        <f>[1]Result_notebook_retravaill!D237</f>
        <v>Existing production</v>
      </c>
      <c r="E237" t="str">
        <f>[1]Result_notebook_retravaill!E237</f>
        <v>Current shares</v>
      </c>
      <c r="F237" t="str">
        <f>[1]Result_notebook_retravaill!F237</f>
        <v>NIMBY</v>
      </c>
      <c r="G237">
        <f>[1]Result_notebook_retravaill!G237</f>
        <v>38588.959034560583</v>
      </c>
      <c r="H237" s="3">
        <f>IF([1]Result_notebook_retravaill!I237&gt;[1]Result_notebook_retravaill!G237,[1]Result_notebook_retravaill!I237/[1]Result_notebook_retravaill!N237,[1]Result_notebook_retravaill!H237)</f>
        <v>0</v>
      </c>
      <c r="I237" s="3">
        <f>[1]Result_notebook_retravaill!K237</f>
        <v>48846.783588051367</v>
      </c>
      <c r="J237" s="3">
        <f>MIN(G237,[1]Result_notebook_retravaill!I237)</f>
        <v>0</v>
      </c>
      <c r="K237" s="3">
        <f>IF([1]Result_notebook_retravaill!I237&gt;[1]Result_notebook_retravaill!G237,0,IF([1]Result_notebook_retravaill!I237+[1]Result_notebook_retravaill!J237&gt;[1]Result_notebook_retravaill!G237,[1]Result_notebook_retravaill!G237-[1]Result_notebook_retravaill!I237,[1]Result_notebook_retravaill!J237))</f>
        <v>0</v>
      </c>
      <c r="L237" s="3">
        <f>IF([1]Result_notebook_retravaill!I237&gt;[1]Result_notebook_retravaill!G237,0,IF([1]Result_notebook_retravaill!I237+[1]Result_notebook_retravaill!J237&gt;[1]Result_notebook_retravaill!G237,0,[1]Result_notebook_retravaill!M237))</f>
        <v>38588.959034560583</v>
      </c>
    </row>
    <row r="238" spans="1:12">
      <c r="A238">
        <f>[1]Result_notebook_retravaill!A238</f>
        <v>2027</v>
      </c>
      <c r="B238" t="str">
        <f>[1]Result_notebook_retravaill!B238</f>
        <v>Nickel</v>
      </c>
      <c r="C238" t="str">
        <f>[1]Result_notebook_retravaill!C238</f>
        <v>Global Net-zero</v>
      </c>
      <c r="D238" t="str">
        <f>[1]Result_notebook_retravaill!D238</f>
        <v>Existing production</v>
      </c>
      <c r="E238" t="str">
        <f>[1]Result_notebook_retravaill!E238</f>
        <v>Current shares</v>
      </c>
      <c r="F238" t="str">
        <f>[1]Result_notebook_retravaill!F238</f>
        <v>Status Quo</v>
      </c>
      <c r="G238">
        <f>[1]Result_notebook_retravaill!G238</f>
        <v>38588.959034560583</v>
      </c>
      <c r="H238" s="3">
        <f>IF([1]Result_notebook_retravaill!I238&gt;[1]Result_notebook_retravaill!G238,[1]Result_notebook_retravaill!I238/[1]Result_notebook_retravaill!N238,[1]Result_notebook_retravaill!H238)</f>
        <v>127185.24196697887</v>
      </c>
      <c r="I238" s="3">
        <f>[1]Result_notebook_retravaill!K238</f>
        <v>0</v>
      </c>
      <c r="J238" s="3">
        <f>MIN(G238,[1]Result_notebook_retravaill!I238)</f>
        <v>38588.959034560583</v>
      </c>
      <c r="K238" s="3">
        <f>IF([1]Result_notebook_retravaill!I238&gt;[1]Result_notebook_retravaill!G238,0,IF([1]Result_notebook_retravaill!I238+[1]Result_notebook_retravaill!J238&gt;[1]Result_notebook_retravaill!G238,[1]Result_notebook_retravaill!G238-[1]Result_notebook_retravaill!I238,[1]Result_notebook_retravaill!J238))</f>
        <v>0</v>
      </c>
      <c r="L238" s="3">
        <f>IF([1]Result_notebook_retravaill!I238&gt;[1]Result_notebook_retravaill!G238,0,IF([1]Result_notebook_retravaill!I238+[1]Result_notebook_retravaill!J238&gt;[1]Result_notebook_retravaill!G238,0,[1]Result_notebook_retravaill!M238))</f>
        <v>0</v>
      </c>
    </row>
    <row r="239" spans="1:12">
      <c r="A239">
        <f>[1]Result_notebook_retravaill!A239</f>
        <v>2027</v>
      </c>
      <c r="B239" t="str">
        <f>[1]Result_notebook_retravaill!B239</f>
        <v>Nickel</v>
      </c>
      <c r="C239" t="str">
        <f>[1]Result_notebook_retravaill!C239</f>
        <v>Global Net-zero</v>
      </c>
      <c r="D239" t="str">
        <f>[1]Result_notebook_retravaill!D239</f>
        <v>Production potential</v>
      </c>
      <c r="E239" t="str">
        <f>[1]Result_notebook_retravaill!E239</f>
        <v>Current shares</v>
      </c>
      <c r="F239" t="str">
        <f>[1]Result_notebook_retravaill!F239</f>
        <v>Expansion Extractive</v>
      </c>
      <c r="G239">
        <f>[1]Result_notebook_retravaill!G239</f>
        <v>38588.959034560583</v>
      </c>
      <c r="H239" s="3">
        <f>IF([1]Result_notebook_retravaill!I239&gt;[1]Result_notebook_retravaill!G239,[1]Result_notebook_retravaill!I239/[1]Result_notebook_retravaill!N239,[1]Result_notebook_retravaill!H239)</f>
        <v>173159.77406612836</v>
      </c>
      <c r="I239" s="3">
        <f>[1]Result_notebook_retravaill!K239</f>
        <v>0</v>
      </c>
      <c r="J239" s="3">
        <f>MIN(G239,[1]Result_notebook_retravaill!I239)</f>
        <v>38588.959034560583</v>
      </c>
      <c r="K239" s="3">
        <f>IF([1]Result_notebook_retravaill!I239&gt;[1]Result_notebook_retravaill!G239,0,IF([1]Result_notebook_retravaill!I239+[1]Result_notebook_retravaill!J239&gt;[1]Result_notebook_retravaill!G239,[1]Result_notebook_retravaill!G239-[1]Result_notebook_retravaill!I239,[1]Result_notebook_retravaill!J239))</f>
        <v>0</v>
      </c>
      <c r="L239" s="3">
        <f>IF([1]Result_notebook_retravaill!I239&gt;[1]Result_notebook_retravaill!G239,0,IF([1]Result_notebook_retravaill!I239+[1]Result_notebook_retravaill!J239&gt;[1]Result_notebook_retravaill!G239,0,[1]Result_notebook_retravaill!M239))</f>
        <v>0</v>
      </c>
    </row>
    <row r="240" spans="1:12">
      <c r="A240">
        <f>[1]Result_notebook_retravaill!A240</f>
        <v>2027</v>
      </c>
      <c r="B240" t="str">
        <f>[1]Result_notebook_retravaill!B240</f>
        <v>Nickel</v>
      </c>
      <c r="C240" t="str">
        <f>[1]Result_notebook_retravaill!C240</f>
        <v>Global Net-zero</v>
      </c>
      <c r="D240" t="str">
        <f>[1]Result_notebook_retravaill!D240</f>
        <v>Production potential</v>
      </c>
      <c r="E240" t="str">
        <f>[1]Result_notebook_retravaill!E240</f>
        <v>Current shares</v>
      </c>
      <c r="F240" t="str">
        <f>[1]Result_notebook_retravaill!F240</f>
        <v>Expansion Extractive+Circularity</v>
      </c>
      <c r="G240">
        <f>[1]Result_notebook_retravaill!G240</f>
        <v>38588.959034560583</v>
      </c>
      <c r="H240" s="3">
        <f>IF([1]Result_notebook_retravaill!I240&gt;[1]Result_notebook_retravaill!G240,[1]Result_notebook_retravaill!I240/[1]Result_notebook_retravaill!N240,[1]Result_notebook_retravaill!H240)</f>
        <v>173159.77406612836</v>
      </c>
      <c r="I240" s="3">
        <f>[1]Result_notebook_retravaill!K240</f>
        <v>0</v>
      </c>
      <c r="J240" s="3">
        <f>MIN(G240,[1]Result_notebook_retravaill!I240)</f>
        <v>38588.959034560583</v>
      </c>
      <c r="K240" s="3">
        <f>IF([1]Result_notebook_retravaill!I240&gt;[1]Result_notebook_retravaill!G240,0,IF([1]Result_notebook_retravaill!I240+[1]Result_notebook_retravaill!J240&gt;[1]Result_notebook_retravaill!G240,[1]Result_notebook_retravaill!G240-[1]Result_notebook_retravaill!I240,[1]Result_notebook_retravaill!J240))</f>
        <v>0</v>
      </c>
      <c r="L240" s="3">
        <f>IF([1]Result_notebook_retravaill!I240&gt;[1]Result_notebook_retravaill!G240,0,IF([1]Result_notebook_retravaill!I240+[1]Result_notebook_retravaill!J240&gt;[1]Result_notebook_retravaill!G240,0,[1]Result_notebook_retravaill!M240))</f>
        <v>0</v>
      </c>
    </row>
    <row r="241" spans="1:12">
      <c r="A241">
        <f>[1]Result_notebook_retravaill!A241</f>
        <v>2027</v>
      </c>
      <c r="B241" t="str">
        <f>[1]Result_notebook_retravaill!B241</f>
        <v>Nickel</v>
      </c>
      <c r="C241" t="str">
        <f>[1]Result_notebook_retravaill!C241</f>
        <v>Global Net-zero</v>
      </c>
      <c r="D241" t="str">
        <f>[1]Result_notebook_retravaill!D241</f>
        <v>Production potential</v>
      </c>
      <c r="E241" t="str">
        <f>[1]Result_notebook_retravaill!E241</f>
        <v>100% CAN</v>
      </c>
      <c r="F241" t="str">
        <f>[1]Result_notebook_retravaill!F241</f>
        <v>Integrated</v>
      </c>
      <c r="G241">
        <f>[1]Result_notebook_retravaill!G241</f>
        <v>38588.959034560583</v>
      </c>
      <c r="H241" s="3">
        <f>IF([1]Result_notebook_retravaill!I241&gt;[1]Result_notebook_retravaill!G241,[1]Result_notebook_retravaill!I241/[1]Result_notebook_retravaill!N241,[1]Result_notebook_retravaill!H241)</f>
        <v>243140.84098694212</v>
      </c>
      <c r="I241" s="3">
        <f>[1]Result_notebook_retravaill!K241</f>
        <v>0</v>
      </c>
      <c r="J241" s="3">
        <f>MIN(G241,[1]Result_notebook_retravaill!I241)</f>
        <v>38588.959034560583</v>
      </c>
      <c r="K241" s="3">
        <f>IF([1]Result_notebook_retravaill!I241&gt;[1]Result_notebook_retravaill!G241,0,IF([1]Result_notebook_retravaill!I241+[1]Result_notebook_retravaill!J241&gt;[1]Result_notebook_retravaill!G241,[1]Result_notebook_retravaill!G241-[1]Result_notebook_retravaill!I241,[1]Result_notebook_retravaill!J241))</f>
        <v>0</v>
      </c>
      <c r="L241" s="3">
        <f>IF([1]Result_notebook_retravaill!I241&gt;[1]Result_notebook_retravaill!G241,0,IF([1]Result_notebook_retravaill!I241+[1]Result_notebook_retravaill!J241&gt;[1]Result_notebook_retravaill!G241,0,[1]Result_notebook_retravaill!M241))</f>
        <v>0</v>
      </c>
    </row>
    <row r="242" spans="1:12">
      <c r="A242">
        <f>[1]Result_notebook_retravaill!A242</f>
        <v>2027</v>
      </c>
      <c r="B242" t="str">
        <f>[1]Result_notebook_retravaill!B242</f>
        <v>Graphite</v>
      </c>
      <c r="C242" t="str">
        <f>[1]Result_notebook_retravaill!C242</f>
        <v>Canada Net-zero</v>
      </c>
      <c r="D242" t="str">
        <f>[1]Result_notebook_retravaill!D242</f>
        <v>Existing production</v>
      </c>
      <c r="E242" t="str">
        <f>[1]Result_notebook_retravaill!E242</f>
        <v>Current shares</v>
      </c>
      <c r="F242" t="str">
        <f>[1]Result_notebook_retravaill!F242</f>
        <v>NIMBY</v>
      </c>
      <c r="G242">
        <f>[1]Result_notebook_retravaill!G242</f>
        <v>870.72588738825675</v>
      </c>
      <c r="H242" s="3">
        <f>IF([1]Result_notebook_retravaill!I242&gt;[1]Result_notebook_retravaill!G242,[1]Result_notebook_retravaill!I242/[1]Result_notebook_retravaill!N242,[1]Result_notebook_retravaill!H242)</f>
        <v>0</v>
      </c>
      <c r="I242" s="3">
        <f>[1]Result_notebook_retravaill!K242</f>
        <v>870.72588738825675</v>
      </c>
      <c r="J242" s="3">
        <f>MIN(G242,[1]Result_notebook_retravaill!I242)</f>
        <v>0</v>
      </c>
      <c r="K242" s="3">
        <f>IF([1]Result_notebook_retravaill!I242&gt;[1]Result_notebook_retravaill!G242,0,IF([1]Result_notebook_retravaill!I242+[1]Result_notebook_retravaill!J242&gt;[1]Result_notebook_retravaill!G242,[1]Result_notebook_retravaill!G242-[1]Result_notebook_retravaill!I242,[1]Result_notebook_retravaill!J242))</f>
        <v>0</v>
      </c>
      <c r="L242" s="3">
        <f>IF([1]Result_notebook_retravaill!I242&gt;[1]Result_notebook_retravaill!G242,0,IF([1]Result_notebook_retravaill!I242+[1]Result_notebook_retravaill!J242&gt;[1]Result_notebook_retravaill!G242,0,[1]Result_notebook_retravaill!M242))</f>
        <v>870.72588738825675</v>
      </c>
    </row>
    <row r="243" spans="1:12">
      <c r="A243">
        <f>[1]Result_notebook_retravaill!A243</f>
        <v>2027</v>
      </c>
      <c r="B243" t="str">
        <f>[1]Result_notebook_retravaill!B243</f>
        <v>Graphite</v>
      </c>
      <c r="C243" t="str">
        <f>[1]Result_notebook_retravaill!C243</f>
        <v>Canada Net-zero</v>
      </c>
      <c r="D243" t="str">
        <f>[1]Result_notebook_retravaill!D243</f>
        <v>Existing production</v>
      </c>
      <c r="E243" t="str">
        <f>[1]Result_notebook_retravaill!E243</f>
        <v>Current shares</v>
      </c>
      <c r="F243" t="str">
        <f>[1]Result_notebook_retravaill!F243</f>
        <v>Status Quo</v>
      </c>
      <c r="G243">
        <f>[1]Result_notebook_retravaill!G243</f>
        <v>870.72588738825675</v>
      </c>
      <c r="H243" s="3">
        <f>IF([1]Result_notebook_retravaill!I243&gt;[1]Result_notebook_retravaill!G243,[1]Result_notebook_retravaill!I243/[1]Result_notebook_retravaill!N243,[1]Result_notebook_retravaill!H243)</f>
        <v>0</v>
      </c>
      <c r="I243" s="3">
        <f>[1]Result_notebook_retravaill!K243</f>
        <v>870.72588738825675</v>
      </c>
      <c r="J243" s="3">
        <f>MIN(G243,[1]Result_notebook_retravaill!I243)</f>
        <v>0</v>
      </c>
      <c r="K243" s="3">
        <f>IF([1]Result_notebook_retravaill!I243&gt;[1]Result_notebook_retravaill!G243,0,IF([1]Result_notebook_retravaill!I243+[1]Result_notebook_retravaill!J243&gt;[1]Result_notebook_retravaill!G243,[1]Result_notebook_retravaill!G243-[1]Result_notebook_retravaill!I243,[1]Result_notebook_retravaill!J243))</f>
        <v>0</v>
      </c>
      <c r="L243" s="3">
        <f>IF([1]Result_notebook_retravaill!I243&gt;[1]Result_notebook_retravaill!G243,0,IF([1]Result_notebook_retravaill!I243+[1]Result_notebook_retravaill!J243&gt;[1]Result_notebook_retravaill!G243,0,[1]Result_notebook_retravaill!M243))</f>
        <v>870.72588738825675</v>
      </c>
    </row>
    <row r="244" spans="1:12">
      <c r="A244">
        <f>[1]Result_notebook_retravaill!A244</f>
        <v>2027</v>
      </c>
      <c r="B244" t="str">
        <f>[1]Result_notebook_retravaill!B244</f>
        <v>Graphite</v>
      </c>
      <c r="C244" t="str">
        <f>[1]Result_notebook_retravaill!C244</f>
        <v>Canada Net-zero</v>
      </c>
      <c r="D244" t="str">
        <f>[1]Result_notebook_retravaill!D244</f>
        <v>Production potential</v>
      </c>
      <c r="E244" t="str">
        <f>[1]Result_notebook_retravaill!E244</f>
        <v>Current shares</v>
      </c>
      <c r="F244" t="str">
        <f>[1]Result_notebook_retravaill!F244</f>
        <v>Expansion Extractive</v>
      </c>
      <c r="G244">
        <f>[1]Result_notebook_retravaill!G244</f>
        <v>870.72588738825675</v>
      </c>
      <c r="H244" s="3">
        <f>IF([1]Result_notebook_retravaill!I244&gt;[1]Result_notebook_retravaill!G244,[1]Result_notebook_retravaill!I244/[1]Result_notebook_retravaill!N244,[1]Result_notebook_retravaill!H244)</f>
        <v>55011.402221946031</v>
      </c>
      <c r="I244" s="3">
        <f>[1]Result_notebook_retravaill!K244</f>
        <v>0</v>
      </c>
      <c r="J244" s="3">
        <f>MIN(G244,[1]Result_notebook_retravaill!I244)</f>
        <v>870.72588738825675</v>
      </c>
      <c r="K244" s="3">
        <f>IF([1]Result_notebook_retravaill!I244&gt;[1]Result_notebook_retravaill!G244,0,IF([1]Result_notebook_retravaill!I244+[1]Result_notebook_retravaill!J244&gt;[1]Result_notebook_retravaill!G244,[1]Result_notebook_retravaill!G244-[1]Result_notebook_retravaill!I244,[1]Result_notebook_retravaill!J244))</f>
        <v>0</v>
      </c>
      <c r="L244" s="3">
        <f>IF([1]Result_notebook_retravaill!I244&gt;[1]Result_notebook_retravaill!G244,0,IF([1]Result_notebook_retravaill!I244+[1]Result_notebook_retravaill!J244&gt;[1]Result_notebook_retravaill!G244,0,[1]Result_notebook_retravaill!M244))</f>
        <v>0</v>
      </c>
    </row>
    <row r="245" spans="1:12">
      <c r="A245">
        <f>[1]Result_notebook_retravaill!A245</f>
        <v>2027</v>
      </c>
      <c r="B245" t="str">
        <f>[1]Result_notebook_retravaill!B245</f>
        <v>Graphite</v>
      </c>
      <c r="C245" t="str">
        <f>[1]Result_notebook_retravaill!C245</f>
        <v>Canada Net-zero</v>
      </c>
      <c r="D245" t="str">
        <f>[1]Result_notebook_retravaill!D245</f>
        <v>Production potential</v>
      </c>
      <c r="E245" t="str">
        <f>[1]Result_notebook_retravaill!E245</f>
        <v>Current shares</v>
      </c>
      <c r="F245" t="str">
        <f>[1]Result_notebook_retravaill!F245</f>
        <v>Expansion Extractive+Circularity</v>
      </c>
      <c r="G245">
        <f>[1]Result_notebook_retravaill!G245</f>
        <v>870.72588738825675</v>
      </c>
      <c r="H245" s="3">
        <f>IF([1]Result_notebook_retravaill!I245&gt;[1]Result_notebook_retravaill!G245,[1]Result_notebook_retravaill!I245/[1]Result_notebook_retravaill!N245,[1]Result_notebook_retravaill!H245)</f>
        <v>55011.402221946031</v>
      </c>
      <c r="I245" s="3">
        <f>[1]Result_notebook_retravaill!K245</f>
        <v>0</v>
      </c>
      <c r="J245" s="3">
        <f>MIN(G245,[1]Result_notebook_retravaill!I245)</f>
        <v>870.72588738825675</v>
      </c>
      <c r="K245" s="3">
        <f>IF([1]Result_notebook_retravaill!I245&gt;[1]Result_notebook_retravaill!G245,0,IF([1]Result_notebook_retravaill!I245+[1]Result_notebook_retravaill!J245&gt;[1]Result_notebook_retravaill!G245,[1]Result_notebook_retravaill!G245-[1]Result_notebook_retravaill!I245,[1]Result_notebook_retravaill!J245))</f>
        <v>0</v>
      </c>
      <c r="L245" s="3">
        <f>IF([1]Result_notebook_retravaill!I245&gt;[1]Result_notebook_retravaill!G245,0,IF([1]Result_notebook_retravaill!I245+[1]Result_notebook_retravaill!J245&gt;[1]Result_notebook_retravaill!G245,0,[1]Result_notebook_retravaill!M245))</f>
        <v>0</v>
      </c>
    </row>
    <row r="246" spans="1:12">
      <c r="A246">
        <f>[1]Result_notebook_retravaill!A246</f>
        <v>2027</v>
      </c>
      <c r="B246" t="str">
        <f>[1]Result_notebook_retravaill!B246</f>
        <v>Graphite</v>
      </c>
      <c r="C246" t="str">
        <f>[1]Result_notebook_retravaill!C246</f>
        <v>Canada Net-zero</v>
      </c>
      <c r="D246" t="str">
        <f>[1]Result_notebook_retravaill!D246</f>
        <v>Production potential</v>
      </c>
      <c r="E246" t="str">
        <f>[1]Result_notebook_retravaill!E246</f>
        <v>100% CAN</v>
      </c>
      <c r="F246" t="str">
        <f>[1]Result_notebook_retravaill!F246</f>
        <v>Integrated</v>
      </c>
      <c r="G246">
        <f>[1]Result_notebook_retravaill!G246</f>
        <v>870.72588738825675</v>
      </c>
      <c r="H246" s="3">
        <f>IF([1]Result_notebook_retravaill!I246&gt;[1]Result_notebook_retravaill!G246,[1]Result_notebook_retravaill!I246/[1]Result_notebook_retravaill!N246,[1]Result_notebook_retravaill!H246)</f>
        <v>55011.402221946031</v>
      </c>
      <c r="I246" s="3">
        <f>[1]Result_notebook_retravaill!K246</f>
        <v>0</v>
      </c>
      <c r="J246" s="3">
        <f>MIN(G246,[1]Result_notebook_retravaill!I246)</f>
        <v>870.72588738825675</v>
      </c>
      <c r="K246" s="3">
        <f>IF([1]Result_notebook_retravaill!I246&gt;[1]Result_notebook_retravaill!G246,0,IF([1]Result_notebook_retravaill!I246+[1]Result_notebook_retravaill!J246&gt;[1]Result_notebook_retravaill!G246,[1]Result_notebook_retravaill!G246-[1]Result_notebook_retravaill!I246,[1]Result_notebook_retravaill!J246))</f>
        <v>0</v>
      </c>
      <c r="L246" s="3">
        <f>IF([1]Result_notebook_retravaill!I246&gt;[1]Result_notebook_retravaill!G246,0,IF([1]Result_notebook_retravaill!I246+[1]Result_notebook_retravaill!J246&gt;[1]Result_notebook_retravaill!G246,0,[1]Result_notebook_retravaill!M246))</f>
        <v>0</v>
      </c>
    </row>
    <row r="247" spans="1:12">
      <c r="A247">
        <f>[1]Result_notebook_retravaill!A247</f>
        <v>2027</v>
      </c>
      <c r="B247" t="str">
        <f>[1]Result_notebook_retravaill!B247</f>
        <v>Graphite</v>
      </c>
      <c r="C247" t="str">
        <f>[1]Result_notebook_retravaill!C247</f>
        <v>Current Measures</v>
      </c>
      <c r="D247" t="str">
        <f>[1]Result_notebook_retravaill!D247</f>
        <v>Existing production</v>
      </c>
      <c r="E247" t="str">
        <f>[1]Result_notebook_retravaill!E247</f>
        <v>Current shares</v>
      </c>
      <c r="F247" t="str">
        <f>[1]Result_notebook_retravaill!F247</f>
        <v>NIMBY</v>
      </c>
      <c r="G247">
        <f>[1]Result_notebook_retravaill!G247</f>
        <v>569.42699750073166</v>
      </c>
      <c r="H247" s="3">
        <f>IF([1]Result_notebook_retravaill!I247&gt;[1]Result_notebook_retravaill!G247,[1]Result_notebook_retravaill!I247/[1]Result_notebook_retravaill!N247,[1]Result_notebook_retravaill!H247)</f>
        <v>0</v>
      </c>
      <c r="I247" s="3">
        <f>[1]Result_notebook_retravaill!K247</f>
        <v>569.42699750073166</v>
      </c>
      <c r="J247" s="3">
        <f>MIN(G247,[1]Result_notebook_retravaill!I247)</f>
        <v>0</v>
      </c>
      <c r="K247" s="3">
        <f>IF([1]Result_notebook_retravaill!I247&gt;[1]Result_notebook_retravaill!G247,0,IF([1]Result_notebook_retravaill!I247+[1]Result_notebook_retravaill!J247&gt;[1]Result_notebook_retravaill!G247,[1]Result_notebook_retravaill!G247-[1]Result_notebook_retravaill!I247,[1]Result_notebook_retravaill!J247))</f>
        <v>0</v>
      </c>
      <c r="L247" s="3">
        <f>IF([1]Result_notebook_retravaill!I247&gt;[1]Result_notebook_retravaill!G247,0,IF([1]Result_notebook_retravaill!I247+[1]Result_notebook_retravaill!J247&gt;[1]Result_notebook_retravaill!G247,0,[1]Result_notebook_retravaill!M247))</f>
        <v>569.42699750073166</v>
      </c>
    </row>
    <row r="248" spans="1:12">
      <c r="A248">
        <f>[1]Result_notebook_retravaill!A248</f>
        <v>2027</v>
      </c>
      <c r="B248" t="str">
        <f>[1]Result_notebook_retravaill!B248</f>
        <v>Graphite</v>
      </c>
      <c r="C248" t="str">
        <f>[1]Result_notebook_retravaill!C248</f>
        <v>Current Measures</v>
      </c>
      <c r="D248" t="str">
        <f>[1]Result_notebook_retravaill!D248</f>
        <v>Existing production</v>
      </c>
      <c r="E248" t="str">
        <f>[1]Result_notebook_retravaill!E248</f>
        <v>Current shares</v>
      </c>
      <c r="F248" t="str">
        <f>[1]Result_notebook_retravaill!F248</f>
        <v>Status Quo</v>
      </c>
      <c r="G248">
        <f>[1]Result_notebook_retravaill!G248</f>
        <v>569.42699750073166</v>
      </c>
      <c r="H248" s="3">
        <f>IF([1]Result_notebook_retravaill!I248&gt;[1]Result_notebook_retravaill!G248,[1]Result_notebook_retravaill!I248/[1]Result_notebook_retravaill!N248,[1]Result_notebook_retravaill!H248)</f>
        <v>0</v>
      </c>
      <c r="I248" s="3">
        <f>[1]Result_notebook_retravaill!K248</f>
        <v>569.42699750073166</v>
      </c>
      <c r="J248" s="3">
        <f>MIN(G248,[1]Result_notebook_retravaill!I248)</f>
        <v>0</v>
      </c>
      <c r="K248" s="3">
        <f>IF([1]Result_notebook_retravaill!I248&gt;[1]Result_notebook_retravaill!G248,0,IF([1]Result_notebook_retravaill!I248+[1]Result_notebook_retravaill!J248&gt;[1]Result_notebook_retravaill!G248,[1]Result_notebook_retravaill!G248-[1]Result_notebook_retravaill!I248,[1]Result_notebook_retravaill!J248))</f>
        <v>0</v>
      </c>
      <c r="L248" s="3">
        <f>IF([1]Result_notebook_retravaill!I248&gt;[1]Result_notebook_retravaill!G248,0,IF([1]Result_notebook_retravaill!I248+[1]Result_notebook_retravaill!J248&gt;[1]Result_notebook_retravaill!G248,0,[1]Result_notebook_retravaill!M248))</f>
        <v>569.42699750073166</v>
      </c>
    </row>
    <row r="249" spans="1:12">
      <c r="A249">
        <f>[1]Result_notebook_retravaill!A249</f>
        <v>2027</v>
      </c>
      <c r="B249" t="str">
        <f>[1]Result_notebook_retravaill!B249</f>
        <v>Graphite</v>
      </c>
      <c r="C249" t="str">
        <f>[1]Result_notebook_retravaill!C249</f>
        <v>Current Measures</v>
      </c>
      <c r="D249" t="str">
        <f>[1]Result_notebook_retravaill!D249</f>
        <v>Production potential</v>
      </c>
      <c r="E249" t="str">
        <f>[1]Result_notebook_retravaill!E249</f>
        <v>Current shares</v>
      </c>
      <c r="F249" t="str">
        <f>[1]Result_notebook_retravaill!F249</f>
        <v>Expansion Extractive</v>
      </c>
      <c r="G249">
        <f>[1]Result_notebook_retravaill!G249</f>
        <v>569.42699750073166</v>
      </c>
      <c r="H249" s="3">
        <f>IF([1]Result_notebook_retravaill!I249&gt;[1]Result_notebook_retravaill!G249,[1]Result_notebook_retravaill!I249/[1]Result_notebook_retravaill!N249,[1]Result_notebook_retravaill!H249)</f>
        <v>55011.402221946031</v>
      </c>
      <c r="I249" s="3">
        <f>[1]Result_notebook_retravaill!K249</f>
        <v>0</v>
      </c>
      <c r="J249" s="3">
        <f>MIN(G249,[1]Result_notebook_retravaill!I249)</f>
        <v>569.42699750073166</v>
      </c>
      <c r="K249" s="3">
        <f>IF([1]Result_notebook_retravaill!I249&gt;[1]Result_notebook_retravaill!G249,0,IF([1]Result_notebook_retravaill!I249+[1]Result_notebook_retravaill!J249&gt;[1]Result_notebook_retravaill!G249,[1]Result_notebook_retravaill!G249-[1]Result_notebook_retravaill!I249,[1]Result_notebook_retravaill!J249))</f>
        <v>0</v>
      </c>
      <c r="L249" s="3">
        <f>IF([1]Result_notebook_retravaill!I249&gt;[1]Result_notebook_retravaill!G249,0,IF([1]Result_notebook_retravaill!I249+[1]Result_notebook_retravaill!J249&gt;[1]Result_notebook_retravaill!G249,0,[1]Result_notebook_retravaill!M249))</f>
        <v>0</v>
      </c>
    </row>
    <row r="250" spans="1:12">
      <c r="A250">
        <f>[1]Result_notebook_retravaill!A250</f>
        <v>2027</v>
      </c>
      <c r="B250" t="str">
        <f>[1]Result_notebook_retravaill!B250</f>
        <v>Graphite</v>
      </c>
      <c r="C250" t="str">
        <f>[1]Result_notebook_retravaill!C250</f>
        <v>Current Measures</v>
      </c>
      <c r="D250" t="str">
        <f>[1]Result_notebook_retravaill!D250</f>
        <v>Production potential</v>
      </c>
      <c r="E250" t="str">
        <f>[1]Result_notebook_retravaill!E250</f>
        <v>Current shares</v>
      </c>
      <c r="F250" t="str">
        <f>[1]Result_notebook_retravaill!F250</f>
        <v>Expansion Extractive+Circularity</v>
      </c>
      <c r="G250">
        <f>[1]Result_notebook_retravaill!G250</f>
        <v>569.42699750073166</v>
      </c>
      <c r="H250" s="3">
        <f>IF([1]Result_notebook_retravaill!I250&gt;[1]Result_notebook_retravaill!G250,[1]Result_notebook_retravaill!I250/[1]Result_notebook_retravaill!N250,[1]Result_notebook_retravaill!H250)</f>
        <v>55011.402221946031</v>
      </c>
      <c r="I250" s="3">
        <f>[1]Result_notebook_retravaill!K250</f>
        <v>0</v>
      </c>
      <c r="J250" s="3">
        <f>MIN(G250,[1]Result_notebook_retravaill!I250)</f>
        <v>569.42699750073166</v>
      </c>
      <c r="K250" s="3">
        <f>IF([1]Result_notebook_retravaill!I250&gt;[1]Result_notebook_retravaill!G250,0,IF([1]Result_notebook_retravaill!I250+[1]Result_notebook_retravaill!J250&gt;[1]Result_notebook_retravaill!G250,[1]Result_notebook_retravaill!G250-[1]Result_notebook_retravaill!I250,[1]Result_notebook_retravaill!J250))</f>
        <v>0</v>
      </c>
      <c r="L250" s="3">
        <f>IF([1]Result_notebook_retravaill!I250&gt;[1]Result_notebook_retravaill!G250,0,IF([1]Result_notebook_retravaill!I250+[1]Result_notebook_retravaill!J250&gt;[1]Result_notebook_retravaill!G250,0,[1]Result_notebook_retravaill!M250))</f>
        <v>0</v>
      </c>
    </row>
    <row r="251" spans="1:12">
      <c r="A251">
        <f>[1]Result_notebook_retravaill!A251</f>
        <v>2027</v>
      </c>
      <c r="B251" t="str">
        <f>[1]Result_notebook_retravaill!B251</f>
        <v>Graphite</v>
      </c>
      <c r="C251" t="str">
        <f>[1]Result_notebook_retravaill!C251</f>
        <v>Current Measures</v>
      </c>
      <c r="D251" t="str">
        <f>[1]Result_notebook_retravaill!D251</f>
        <v>Production potential</v>
      </c>
      <c r="E251" t="str">
        <f>[1]Result_notebook_retravaill!E251</f>
        <v>100% CAN</v>
      </c>
      <c r="F251" t="str">
        <f>[1]Result_notebook_retravaill!F251</f>
        <v>Integrated</v>
      </c>
      <c r="G251">
        <f>[1]Result_notebook_retravaill!G251</f>
        <v>569.42699750073166</v>
      </c>
      <c r="H251" s="3">
        <f>IF([1]Result_notebook_retravaill!I251&gt;[1]Result_notebook_retravaill!G251,[1]Result_notebook_retravaill!I251/[1]Result_notebook_retravaill!N251,[1]Result_notebook_retravaill!H251)</f>
        <v>55011.402221946031</v>
      </c>
      <c r="I251" s="3">
        <f>[1]Result_notebook_retravaill!K251</f>
        <v>0</v>
      </c>
      <c r="J251" s="3">
        <f>MIN(G251,[1]Result_notebook_retravaill!I251)</f>
        <v>569.42699750073166</v>
      </c>
      <c r="K251" s="3">
        <f>IF([1]Result_notebook_retravaill!I251&gt;[1]Result_notebook_retravaill!G251,0,IF([1]Result_notebook_retravaill!I251+[1]Result_notebook_retravaill!J251&gt;[1]Result_notebook_retravaill!G251,[1]Result_notebook_retravaill!G251-[1]Result_notebook_retravaill!I251,[1]Result_notebook_retravaill!J251))</f>
        <v>0</v>
      </c>
      <c r="L251" s="3">
        <f>IF([1]Result_notebook_retravaill!I251&gt;[1]Result_notebook_retravaill!G251,0,IF([1]Result_notebook_retravaill!I251+[1]Result_notebook_retravaill!J251&gt;[1]Result_notebook_retravaill!G251,0,[1]Result_notebook_retravaill!M251))</f>
        <v>0</v>
      </c>
    </row>
    <row r="252" spans="1:12">
      <c r="A252">
        <f>[1]Result_notebook_retravaill!A252</f>
        <v>2027</v>
      </c>
      <c r="B252" t="str">
        <f>[1]Result_notebook_retravaill!B252</f>
        <v>Graphite</v>
      </c>
      <c r="C252" t="str">
        <f>[1]Result_notebook_retravaill!C252</f>
        <v>Global Net-zero</v>
      </c>
      <c r="D252" t="str">
        <f>[1]Result_notebook_retravaill!D252</f>
        <v>Existing production</v>
      </c>
      <c r="E252" t="str">
        <f>[1]Result_notebook_retravaill!E252</f>
        <v>Current shares</v>
      </c>
      <c r="F252" t="str">
        <f>[1]Result_notebook_retravaill!F252</f>
        <v>NIMBY</v>
      </c>
      <c r="G252">
        <f>[1]Result_notebook_retravaill!G252</f>
        <v>850.41647256917656</v>
      </c>
      <c r="H252" s="3">
        <f>IF([1]Result_notebook_retravaill!I252&gt;[1]Result_notebook_retravaill!G252,[1]Result_notebook_retravaill!I252/[1]Result_notebook_retravaill!N252,[1]Result_notebook_retravaill!H252)</f>
        <v>0</v>
      </c>
      <c r="I252" s="3">
        <f>[1]Result_notebook_retravaill!K252</f>
        <v>850.41647256917656</v>
      </c>
      <c r="J252" s="3">
        <f>MIN(G252,[1]Result_notebook_retravaill!I252)</f>
        <v>0</v>
      </c>
      <c r="K252" s="3">
        <f>IF([1]Result_notebook_retravaill!I252&gt;[1]Result_notebook_retravaill!G252,0,IF([1]Result_notebook_retravaill!I252+[1]Result_notebook_retravaill!J252&gt;[1]Result_notebook_retravaill!G252,[1]Result_notebook_retravaill!G252-[1]Result_notebook_retravaill!I252,[1]Result_notebook_retravaill!J252))</f>
        <v>0</v>
      </c>
      <c r="L252" s="3">
        <f>IF([1]Result_notebook_retravaill!I252&gt;[1]Result_notebook_retravaill!G252,0,IF([1]Result_notebook_retravaill!I252+[1]Result_notebook_retravaill!J252&gt;[1]Result_notebook_retravaill!G252,0,[1]Result_notebook_retravaill!M252))</f>
        <v>850.41647256917656</v>
      </c>
    </row>
    <row r="253" spans="1:12">
      <c r="A253">
        <f>[1]Result_notebook_retravaill!A253</f>
        <v>2027</v>
      </c>
      <c r="B253" t="str">
        <f>[1]Result_notebook_retravaill!B253</f>
        <v>Graphite</v>
      </c>
      <c r="C253" t="str">
        <f>[1]Result_notebook_retravaill!C253</f>
        <v>Global Net-zero</v>
      </c>
      <c r="D253" t="str">
        <f>[1]Result_notebook_retravaill!D253</f>
        <v>Existing production</v>
      </c>
      <c r="E253" t="str">
        <f>[1]Result_notebook_retravaill!E253</f>
        <v>Current shares</v>
      </c>
      <c r="F253" t="str">
        <f>[1]Result_notebook_retravaill!F253</f>
        <v>Status Quo</v>
      </c>
      <c r="G253">
        <f>[1]Result_notebook_retravaill!G253</f>
        <v>850.41647256917656</v>
      </c>
      <c r="H253" s="3">
        <f>IF([1]Result_notebook_retravaill!I253&gt;[1]Result_notebook_retravaill!G253,[1]Result_notebook_retravaill!I253/[1]Result_notebook_retravaill!N253,[1]Result_notebook_retravaill!H253)</f>
        <v>0</v>
      </c>
      <c r="I253" s="3">
        <f>[1]Result_notebook_retravaill!K253</f>
        <v>850.41647256917656</v>
      </c>
      <c r="J253" s="3">
        <f>MIN(G253,[1]Result_notebook_retravaill!I253)</f>
        <v>0</v>
      </c>
      <c r="K253" s="3">
        <f>IF([1]Result_notebook_retravaill!I253&gt;[1]Result_notebook_retravaill!G253,0,IF([1]Result_notebook_retravaill!I253+[1]Result_notebook_retravaill!J253&gt;[1]Result_notebook_retravaill!G253,[1]Result_notebook_retravaill!G253-[1]Result_notebook_retravaill!I253,[1]Result_notebook_retravaill!J253))</f>
        <v>0</v>
      </c>
      <c r="L253" s="3">
        <f>IF([1]Result_notebook_retravaill!I253&gt;[1]Result_notebook_retravaill!G253,0,IF([1]Result_notebook_retravaill!I253+[1]Result_notebook_retravaill!J253&gt;[1]Result_notebook_retravaill!G253,0,[1]Result_notebook_retravaill!M253))</f>
        <v>850.41647256917656</v>
      </c>
    </row>
    <row r="254" spans="1:12">
      <c r="A254">
        <f>[1]Result_notebook_retravaill!A254</f>
        <v>2027</v>
      </c>
      <c r="B254" t="str">
        <f>[1]Result_notebook_retravaill!B254</f>
        <v>Graphite</v>
      </c>
      <c r="C254" t="str">
        <f>[1]Result_notebook_retravaill!C254</f>
        <v>Global Net-zero</v>
      </c>
      <c r="D254" t="str">
        <f>[1]Result_notebook_retravaill!D254</f>
        <v>Production potential</v>
      </c>
      <c r="E254" t="str">
        <f>[1]Result_notebook_retravaill!E254</f>
        <v>Current shares</v>
      </c>
      <c r="F254" t="str">
        <f>[1]Result_notebook_retravaill!F254</f>
        <v>Expansion Extractive</v>
      </c>
      <c r="G254">
        <f>[1]Result_notebook_retravaill!G254</f>
        <v>850.41647256917656</v>
      </c>
      <c r="H254" s="3">
        <f>IF([1]Result_notebook_retravaill!I254&gt;[1]Result_notebook_retravaill!G254,[1]Result_notebook_retravaill!I254/[1]Result_notebook_retravaill!N254,[1]Result_notebook_retravaill!H254)</f>
        <v>55011.402221946031</v>
      </c>
      <c r="I254" s="3">
        <f>[1]Result_notebook_retravaill!K254</f>
        <v>0</v>
      </c>
      <c r="J254" s="3">
        <f>MIN(G254,[1]Result_notebook_retravaill!I254)</f>
        <v>850.41647256917656</v>
      </c>
      <c r="K254" s="3">
        <f>IF([1]Result_notebook_retravaill!I254&gt;[1]Result_notebook_retravaill!G254,0,IF([1]Result_notebook_retravaill!I254+[1]Result_notebook_retravaill!J254&gt;[1]Result_notebook_retravaill!G254,[1]Result_notebook_retravaill!G254-[1]Result_notebook_retravaill!I254,[1]Result_notebook_retravaill!J254))</f>
        <v>0</v>
      </c>
      <c r="L254" s="3">
        <f>IF([1]Result_notebook_retravaill!I254&gt;[1]Result_notebook_retravaill!G254,0,IF([1]Result_notebook_retravaill!I254+[1]Result_notebook_retravaill!J254&gt;[1]Result_notebook_retravaill!G254,0,[1]Result_notebook_retravaill!M254))</f>
        <v>0</v>
      </c>
    </row>
    <row r="255" spans="1:12">
      <c r="A255">
        <f>[1]Result_notebook_retravaill!A255</f>
        <v>2027</v>
      </c>
      <c r="B255" t="str">
        <f>[1]Result_notebook_retravaill!B255</f>
        <v>Graphite</v>
      </c>
      <c r="C255" t="str">
        <f>[1]Result_notebook_retravaill!C255</f>
        <v>Global Net-zero</v>
      </c>
      <c r="D255" t="str">
        <f>[1]Result_notebook_retravaill!D255</f>
        <v>Production potential</v>
      </c>
      <c r="E255" t="str">
        <f>[1]Result_notebook_retravaill!E255</f>
        <v>Current shares</v>
      </c>
      <c r="F255" t="str">
        <f>[1]Result_notebook_retravaill!F255</f>
        <v>Expansion Extractive+Circularity</v>
      </c>
      <c r="G255">
        <f>[1]Result_notebook_retravaill!G255</f>
        <v>850.41647256917656</v>
      </c>
      <c r="H255" s="3">
        <f>IF([1]Result_notebook_retravaill!I255&gt;[1]Result_notebook_retravaill!G255,[1]Result_notebook_retravaill!I255/[1]Result_notebook_retravaill!N255,[1]Result_notebook_retravaill!H255)</f>
        <v>55011.402221946031</v>
      </c>
      <c r="I255" s="3">
        <f>[1]Result_notebook_retravaill!K255</f>
        <v>0</v>
      </c>
      <c r="J255" s="3">
        <f>MIN(G255,[1]Result_notebook_retravaill!I255)</f>
        <v>850.41647256917656</v>
      </c>
      <c r="K255" s="3">
        <f>IF([1]Result_notebook_retravaill!I255&gt;[1]Result_notebook_retravaill!G255,0,IF([1]Result_notebook_retravaill!I255+[1]Result_notebook_retravaill!J255&gt;[1]Result_notebook_retravaill!G255,[1]Result_notebook_retravaill!G255-[1]Result_notebook_retravaill!I255,[1]Result_notebook_retravaill!J255))</f>
        <v>0</v>
      </c>
      <c r="L255" s="3">
        <f>IF([1]Result_notebook_retravaill!I255&gt;[1]Result_notebook_retravaill!G255,0,IF([1]Result_notebook_retravaill!I255+[1]Result_notebook_retravaill!J255&gt;[1]Result_notebook_retravaill!G255,0,[1]Result_notebook_retravaill!M255))</f>
        <v>0</v>
      </c>
    </row>
    <row r="256" spans="1:12">
      <c r="A256">
        <f>[1]Result_notebook_retravaill!A256</f>
        <v>2027</v>
      </c>
      <c r="B256" t="str">
        <f>[1]Result_notebook_retravaill!B256</f>
        <v>Graphite</v>
      </c>
      <c r="C256" t="str">
        <f>[1]Result_notebook_retravaill!C256</f>
        <v>Global Net-zero</v>
      </c>
      <c r="D256" t="str">
        <f>[1]Result_notebook_retravaill!D256</f>
        <v>Production potential</v>
      </c>
      <c r="E256" t="str">
        <f>[1]Result_notebook_retravaill!E256</f>
        <v>100% CAN</v>
      </c>
      <c r="F256" t="str">
        <f>[1]Result_notebook_retravaill!F256</f>
        <v>Integrated</v>
      </c>
      <c r="G256">
        <f>[1]Result_notebook_retravaill!G256</f>
        <v>850.41647256917656</v>
      </c>
      <c r="H256" s="3">
        <f>IF([1]Result_notebook_retravaill!I256&gt;[1]Result_notebook_retravaill!G256,[1]Result_notebook_retravaill!I256/[1]Result_notebook_retravaill!N256,[1]Result_notebook_retravaill!H256)</f>
        <v>55011.402221946031</v>
      </c>
      <c r="I256" s="3">
        <f>[1]Result_notebook_retravaill!K256</f>
        <v>0</v>
      </c>
      <c r="J256" s="3">
        <f>MIN(G256,[1]Result_notebook_retravaill!I256)</f>
        <v>850.41647256917656</v>
      </c>
      <c r="K256" s="3">
        <f>IF([1]Result_notebook_retravaill!I256&gt;[1]Result_notebook_retravaill!G256,0,IF([1]Result_notebook_retravaill!I256+[1]Result_notebook_retravaill!J256&gt;[1]Result_notebook_retravaill!G256,[1]Result_notebook_retravaill!G256-[1]Result_notebook_retravaill!I256,[1]Result_notebook_retravaill!J256))</f>
        <v>0</v>
      </c>
      <c r="L256" s="3">
        <f>IF([1]Result_notebook_retravaill!I256&gt;[1]Result_notebook_retravaill!G256,0,IF([1]Result_notebook_retravaill!I256+[1]Result_notebook_retravaill!J256&gt;[1]Result_notebook_retravaill!G256,0,[1]Result_notebook_retravaill!M256))</f>
        <v>0</v>
      </c>
    </row>
    <row r="257" spans="1:12">
      <c r="A257">
        <f>[1]Result_notebook_retravaill!A257</f>
        <v>2027</v>
      </c>
      <c r="B257" t="str">
        <f>[1]Result_notebook_retravaill!B257</f>
        <v>Lithium</v>
      </c>
      <c r="C257" t="str">
        <f>[1]Result_notebook_retravaill!C257</f>
        <v>Canada Net-zero</v>
      </c>
      <c r="D257" t="str">
        <f>[1]Result_notebook_retravaill!D257</f>
        <v>Existing production</v>
      </c>
      <c r="E257" t="str">
        <f>[1]Result_notebook_retravaill!E257</f>
        <v>Current shares</v>
      </c>
      <c r="F257" t="str">
        <f>[1]Result_notebook_retravaill!F257</f>
        <v>NIMBY</v>
      </c>
      <c r="G257">
        <f>[1]Result_notebook_retravaill!G257</f>
        <v>13737.544328976641</v>
      </c>
      <c r="H257" s="3">
        <f>IF([1]Result_notebook_retravaill!I257&gt;[1]Result_notebook_retravaill!G257,[1]Result_notebook_retravaill!I257/[1]Result_notebook_retravaill!N257,[1]Result_notebook_retravaill!H257)</f>
        <v>0</v>
      </c>
      <c r="I257" s="3">
        <f>[1]Result_notebook_retravaill!K257</f>
        <v>19625.063327109488</v>
      </c>
      <c r="J257" s="3">
        <f>MIN(G257,[1]Result_notebook_retravaill!I257)</f>
        <v>0</v>
      </c>
      <c r="K257" s="3">
        <f>IF([1]Result_notebook_retravaill!I257&gt;[1]Result_notebook_retravaill!G257,0,IF([1]Result_notebook_retravaill!I257+[1]Result_notebook_retravaill!J257&gt;[1]Result_notebook_retravaill!G257,[1]Result_notebook_retravaill!G257-[1]Result_notebook_retravaill!I257,[1]Result_notebook_retravaill!J257))</f>
        <v>0</v>
      </c>
      <c r="L257" s="3">
        <f>IF([1]Result_notebook_retravaill!I257&gt;[1]Result_notebook_retravaill!G257,0,IF([1]Result_notebook_retravaill!I257+[1]Result_notebook_retravaill!J257&gt;[1]Result_notebook_retravaill!G257,0,[1]Result_notebook_retravaill!M257))</f>
        <v>13737.544328976641</v>
      </c>
    </row>
    <row r="258" spans="1:12">
      <c r="A258">
        <f>[1]Result_notebook_retravaill!A258</f>
        <v>2027</v>
      </c>
      <c r="B258" t="str">
        <f>[1]Result_notebook_retravaill!B258</f>
        <v>Lithium</v>
      </c>
      <c r="C258" t="str">
        <f>[1]Result_notebook_retravaill!C258</f>
        <v>Canada Net-zero</v>
      </c>
      <c r="D258" t="str">
        <f>[1]Result_notebook_retravaill!D258</f>
        <v>Existing production</v>
      </c>
      <c r="E258" t="str">
        <f>[1]Result_notebook_retravaill!E258</f>
        <v>Current shares</v>
      </c>
      <c r="F258" t="str">
        <f>[1]Result_notebook_retravaill!F258</f>
        <v>Status Quo</v>
      </c>
      <c r="G258">
        <f>[1]Result_notebook_retravaill!G258</f>
        <v>13737.544328976641</v>
      </c>
      <c r="H258" s="3">
        <f>IF([1]Result_notebook_retravaill!I258&gt;[1]Result_notebook_retravaill!G258,[1]Result_notebook_retravaill!I258/[1]Result_notebook_retravaill!N258,[1]Result_notebook_retravaill!H258)</f>
        <v>37004.175816284209</v>
      </c>
      <c r="I258" s="3">
        <f>[1]Result_notebook_retravaill!K258</f>
        <v>0</v>
      </c>
      <c r="J258" s="3">
        <f>MIN(G258,[1]Result_notebook_retravaill!I258)</f>
        <v>13737.544328976641</v>
      </c>
      <c r="K258" s="3">
        <f>IF([1]Result_notebook_retravaill!I258&gt;[1]Result_notebook_retravaill!G258,0,IF([1]Result_notebook_retravaill!I258+[1]Result_notebook_retravaill!J258&gt;[1]Result_notebook_retravaill!G258,[1]Result_notebook_retravaill!G258-[1]Result_notebook_retravaill!I258,[1]Result_notebook_retravaill!J258))</f>
        <v>0</v>
      </c>
      <c r="L258" s="3">
        <f>IF([1]Result_notebook_retravaill!I258&gt;[1]Result_notebook_retravaill!G258,0,IF([1]Result_notebook_retravaill!I258+[1]Result_notebook_retravaill!J258&gt;[1]Result_notebook_retravaill!G258,0,[1]Result_notebook_retravaill!M258))</f>
        <v>0</v>
      </c>
    </row>
    <row r="259" spans="1:12">
      <c r="A259">
        <f>[1]Result_notebook_retravaill!A259</f>
        <v>2027</v>
      </c>
      <c r="B259" t="str">
        <f>[1]Result_notebook_retravaill!B259</f>
        <v>Lithium</v>
      </c>
      <c r="C259" t="str">
        <f>[1]Result_notebook_retravaill!C259</f>
        <v>Canada Net-zero</v>
      </c>
      <c r="D259" t="str">
        <f>[1]Result_notebook_retravaill!D259</f>
        <v>Production potential</v>
      </c>
      <c r="E259" t="str">
        <f>[1]Result_notebook_retravaill!E259</f>
        <v>Current shares</v>
      </c>
      <c r="F259" t="str">
        <f>[1]Result_notebook_retravaill!F259</f>
        <v>Expansion Extractive</v>
      </c>
      <c r="G259">
        <f>[1]Result_notebook_retravaill!G259</f>
        <v>13737.544328976641</v>
      </c>
      <c r="H259" s="3">
        <f>IF([1]Result_notebook_retravaill!I259&gt;[1]Result_notebook_retravaill!G259,[1]Result_notebook_retravaill!I259/[1]Result_notebook_retravaill!N259,[1]Result_notebook_retravaill!H259)</f>
        <v>137379.40096124742</v>
      </c>
      <c r="I259" s="3">
        <f>[1]Result_notebook_retravaill!K259</f>
        <v>0</v>
      </c>
      <c r="J259" s="3">
        <f>MIN(G259,[1]Result_notebook_retravaill!I259)</f>
        <v>13737.544328976641</v>
      </c>
      <c r="K259" s="3">
        <f>IF([1]Result_notebook_retravaill!I259&gt;[1]Result_notebook_retravaill!G259,0,IF([1]Result_notebook_retravaill!I259+[1]Result_notebook_retravaill!J259&gt;[1]Result_notebook_retravaill!G259,[1]Result_notebook_retravaill!G259-[1]Result_notebook_retravaill!I259,[1]Result_notebook_retravaill!J259))</f>
        <v>0</v>
      </c>
      <c r="L259" s="3">
        <f>IF([1]Result_notebook_retravaill!I259&gt;[1]Result_notebook_retravaill!G259,0,IF([1]Result_notebook_retravaill!I259+[1]Result_notebook_retravaill!J259&gt;[1]Result_notebook_retravaill!G259,0,[1]Result_notebook_retravaill!M259))</f>
        <v>0</v>
      </c>
    </row>
    <row r="260" spans="1:12">
      <c r="A260">
        <f>[1]Result_notebook_retravaill!A260</f>
        <v>2027</v>
      </c>
      <c r="B260" t="str">
        <f>[1]Result_notebook_retravaill!B260</f>
        <v>Lithium</v>
      </c>
      <c r="C260" t="str">
        <f>[1]Result_notebook_retravaill!C260</f>
        <v>Canada Net-zero</v>
      </c>
      <c r="D260" t="str">
        <f>[1]Result_notebook_retravaill!D260</f>
        <v>Production potential</v>
      </c>
      <c r="E260" t="str">
        <f>[1]Result_notebook_retravaill!E260</f>
        <v>Current shares</v>
      </c>
      <c r="F260" t="str">
        <f>[1]Result_notebook_retravaill!F260</f>
        <v>Expansion Extractive+Circularity</v>
      </c>
      <c r="G260">
        <f>[1]Result_notebook_retravaill!G260</f>
        <v>13737.544328976641</v>
      </c>
      <c r="H260" s="3">
        <f>IF([1]Result_notebook_retravaill!I260&gt;[1]Result_notebook_retravaill!G260,[1]Result_notebook_retravaill!I260/[1]Result_notebook_retravaill!N260,[1]Result_notebook_retravaill!H260)</f>
        <v>137379.40096124742</v>
      </c>
      <c r="I260" s="3">
        <f>[1]Result_notebook_retravaill!K260</f>
        <v>0</v>
      </c>
      <c r="J260" s="3">
        <f>MIN(G260,[1]Result_notebook_retravaill!I260)</f>
        <v>13737.544328976641</v>
      </c>
      <c r="K260" s="3">
        <f>IF([1]Result_notebook_retravaill!I260&gt;[1]Result_notebook_retravaill!G260,0,IF([1]Result_notebook_retravaill!I260+[1]Result_notebook_retravaill!J260&gt;[1]Result_notebook_retravaill!G260,[1]Result_notebook_retravaill!G260-[1]Result_notebook_retravaill!I260,[1]Result_notebook_retravaill!J260))</f>
        <v>0</v>
      </c>
      <c r="L260" s="3">
        <f>IF([1]Result_notebook_retravaill!I260&gt;[1]Result_notebook_retravaill!G260,0,IF([1]Result_notebook_retravaill!I260+[1]Result_notebook_retravaill!J260&gt;[1]Result_notebook_retravaill!G260,0,[1]Result_notebook_retravaill!M260))</f>
        <v>0</v>
      </c>
    </row>
    <row r="261" spans="1:12">
      <c r="A261">
        <f>[1]Result_notebook_retravaill!A261</f>
        <v>2027</v>
      </c>
      <c r="B261" t="str">
        <f>[1]Result_notebook_retravaill!B261</f>
        <v>Lithium</v>
      </c>
      <c r="C261" t="str">
        <f>[1]Result_notebook_retravaill!C261</f>
        <v>Canada Net-zero</v>
      </c>
      <c r="D261" t="str">
        <f>[1]Result_notebook_retravaill!D261</f>
        <v>Production potential</v>
      </c>
      <c r="E261" t="str">
        <f>[1]Result_notebook_retravaill!E261</f>
        <v>100% CAN</v>
      </c>
      <c r="F261" t="str">
        <f>[1]Result_notebook_retravaill!F261</f>
        <v>Integrated</v>
      </c>
      <c r="G261">
        <f>[1]Result_notebook_retravaill!G261</f>
        <v>13737.544328976641</v>
      </c>
      <c r="H261" s="3">
        <f>IF([1]Result_notebook_retravaill!I261&gt;[1]Result_notebook_retravaill!G261,[1]Result_notebook_retravaill!I261/[1]Result_notebook_retravaill!N261,[1]Result_notebook_retravaill!H261)</f>
        <v>137379.40096124742</v>
      </c>
      <c r="I261" s="3">
        <f>[1]Result_notebook_retravaill!K261</f>
        <v>0</v>
      </c>
      <c r="J261" s="3">
        <f>MIN(G261,[1]Result_notebook_retravaill!I261)</f>
        <v>13737.544328976641</v>
      </c>
      <c r="K261" s="3">
        <f>IF([1]Result_notebook_retravaill!I261&gt;[1]Result_notebook_retravaill!G261,0,IF([1]Result_notebook_retravaill!I261+[1]Result_notebook_retravaill!J261&gt;[1]Result_notebook_retravaill!G261,[1]Result_notebook_retravaill!G261-[1]Result_notebook_retravaill!I261,[1]Result_notebook_retravaill!J261))</f>
        <v>0</v>
      </c>
      <c r="L261" s="3">
        <f>IF([1]Result_notebook_retravaill!I261&gt;[1]Result_notebook_retravaill!G261,0,IF([1]Result_notebook_retravaill!I261+[1]Result_notebook_retravaill!J261&gt;[1]Result_notebook_retravaill!G261,0,[1]Result_notebook_retravaill!M261))</f>
        <v>0</v>
      </c>
    </row>
    <row r="262" spans="1:12">
      <c r="A262">
        <f>[1]Result_notebook_retravaill!A262</f>
        <v>2027</v>
      </c>
      <c r="B262" t="str">
        <f>[1]Result_notebook_retravaill!B262</f>
        <v>Lithium</v>
      </c>
      <c r="C262" t="str">
        <f>[1]Result_notebook_retravaill!C262</f>
        <v>Current Measures</v>
      </c>
      <c r="D262" t="str">
        <f>[1]Result_notebook_retravaill!D262</f>
        <v>Existing production</v>
      </c>
      <c r="E262" t="str">
        <f>[1]Result_notebook_retravaill!E262</f>
        <v>Current shares</v>
      </c>
      <c r="F262" t="str">
        <f>[1]Result_notebook_retravaill!F262</f>
        <v>NIMBY</v>
      </c>
      <c r="G262">
        <f>[1]Result_notebook_retravaill!G262</f>
        <v>8983.916446708683</v>
      </c>
      <c r="H262" s="3">
        <f>IF([1]Result_notebook_retravaill!I262&gt;[1]Result_notebook_retravaill!G262,[1]Result_notebook_retravaill!I262/[1]Result_notebook_retravaill!N262,[1]Result_notebook_retravaill!H262)</f>
        <v>0</v>
      </c>
      <c r="I262" s="3">
        <f>[1]Result_notebook_retravaill!K262</f>
        <v>12834.16635244098</v>
      </c>
      <c r="J262" s="3">
        <f>MIN(G262,[1]Result_notebook_retravaill!I262)</f>
        <v>0</v>
      </c>
      <c r="K262" s="3">
        <f>IF([1]Result_notebook_retravaill!I262&gt;[1]Result_notebook_retravaill!G262,0,IF([1]Result_notebook_retravaill!I262+[1]Result_notebook_retravaill!J262&gt;[1]Result_notebook_retravaill!G262,[1]Result_notebook_retravaill!G262-[1]Result_notebook_retravaill!I262,[1]Result_notebook_retravaill!J262))</f>
        <v>0</v>
      </c>
      <c r="L262" s="3">
        <f>IF([1]Result_notebook_retravaill!I262&gt;[1]Result_notebook_retravaill!G262,0,IF([1]Result_notebook_retravaill!I262+[1]Result_notebook_retravaill!J262&gt;[1]Result_notebook_retravaill!G262,0,[1]Result_notebook_retravaill!M262))</f>
        <v>8983.916446708683</v>
      </c>
    </row>
    <row r="263" spans="1:12">
      <c r="A263">
        <f>[1]Result_notebook_retravaill!A263</f>
        <v>2027</v>
      </c>
      <c r="B263" t="str">
        <f>[1]Result_notebook_retravaill!B263</f>
        <v>Lithium</v>
      </c>
      <c r="C263" t="str">
        <f>[1]Result_notebook_retravaill!C263</f>
        <v>Current Measures</v>
      </c>
      <c r="D263" t="str">
        <f>[1]Result_notebook_retravaill!D263</f>
        <v>Existing production</v>
      </c>
      <c r="E263" t="str">
        <f>[1]Result_notebook_retravaill!E263</f>
        <v>Current shares</v>
      </c>
      <c r="F263" t="str">
        <f>[1]Result_notebook_retravaill!F263</f>
        <v>Status Quo</v>
      </c>
      <c r="G263">
        <f>[1]Result_notebook_retravaill!G263</f>
        <v>8983.916446708683</v>
      </c>
      <c r="H263" s="3">
        <f>IF([1]Result_notebook_retravaill!I263&gt;[1]Result_notebook_retravaill!G263,[1]Result_notebook_retravaill!I263/[1]Result_notebook_retravaill!N263,[1]Result_notebook_retravaill!H263)</f>
        <v>37004.175816284209</v>
      </c>
      <c r="I263" s="3">
        <f>[1]Result_notebook_retravaill!K263</f>
        <v>0</v>
      </c>
      <c r="J263" s="3">
        <f>MIN(G263,[1]Result_notebook_retravaill!I263)</f>
        <v>8983.916446708683</v>
      </c>
      <c r="K263" s="3">
        <f>IF([1]Result_notebook_retravaill!I263&gt;[1]Result_notebook_retravaill!G263,0,IF([1]Result_notebook_retravaill!I263+[1]Result_notebook_retravaill!J263&gt;[1]Result_notebook_retravaill!G263,[1]Result_notebook_retravaill!G263-[1]Result_notebook_retravaill!I263,[1]Result_notebook_retravaill!J263))</f>
        <v>0</v>
      </c>
      <c r="L263" s="3">
        <f>IF([1]Result_notebook_retravaill!I263&gt;[1]Result_notebook_retravaill!G263,0,IF([1]Result_notebook_retravaill!I263+[1]Result_notebook_retravaill!J263&gt;[1]Result_notebook_retravaill!G263,0,[1]Result_notebook_retravaill!M263))</f>
        <v>0</v>
      </c>
    </row>
    <row r="264" spans="1:12">
      <c r="A264">
        <f>[1]Result_notebook_retravaill!A264</f>
        <v>2027</v>
      </c>
      <c r="B264" t="str">
        <f>[1]Result_notebook_retravaill!B264</f>
        <v>Lithium</v>
      </c>
      <c r="C264" t="str">
        <f>[1]Result_notebook_retravaill!C264</f>
        <v>Current Measures</v>
      </c>
      <c r="D264" t="str">
        <f>[1]Result_notebook_retravaill!D264</f>
        <v>Production potential</v>
      </c>
      <c r="E264" t="str">
        <f>[1]Result_notebook_retravaill!E264</f>
        <v>Current shares</v>
      </c>
      <c r="F264" t="str">
        <f>[1]Result_notebook_retravaill!F264</f>
        <v>Expansion Extractive</v>
      </c>
      <c r="G264">
        <f>[1]Result_notebook_retravaill!G264</f>
        <v>8983.916446708683</v>
      </c>
      <c r="H264" s="3">
        <f>IF([1]Result_notebook_retravaill!I264&gt;[1]Result_notebook_retravaill!G264,[1]Result_notebook_retravaill!I264/[1]Result_notebook_retravaill!N264,[1]Result_notebook_retravaill!H264)</f>
        <v>137379.40096124742</v>
      </c>
      <c r="I264" s="3">
        <f>[1]Result_notebook_retravaill!K264</f>
        <v>0</v>
      </c>
      <c r="J264" s="3">
        <f>MIN(G264,[1]Result_notebook_retravaill!I264)</f>
        <v>8983.916446708683</v>
      </c>
      <c r="K264" s="3">
        <f>IF([1]Result_notebook_retravaill!I264&gt;[1]Result_notebook_retravaill!G264,0,IF([1]Result_notebook_retravaill!I264+[1]Result_notebook_retravaill!J264&gt;[1]Result_notebook_retravaill!G264,[1]Result_notebook_retravaill!G264-[1]Result_notebook_retravaill!I264,[1]Result_notebook_retravaill!J264))</f>
        <v>0</v>
      </c>
      <c r="L264" s="3">
        <f>IF([1]Result_notebook_retravaill!I264&gt;[1]Result_notebook_retravaill!G264,0,IF([1]Result_notebook_retravaill!I264+[1]Result_notebook_retravaill!J264&gt;[1]Result_notebook_retravaill!G264,0,[1]Result_notebook_retravaill!M264))</f>
        <v>0</v>
      </c>
    </row>
    <row r="265" spans="1:12">
      <c r="A265">
        <f>[1]Result_notebook_retravaill!A265</f>
        <v>2027</v>
      </c>
      <c r="B265" t="str">
        <f>[1]Result_notebook_retravaill!B265</f>
        <v>Lithium</v>
      </c>
      <c r="C265" t="str">
        <f>[1]Result_notebook_retravaill!C265</f>
        <v>Current Measures</v>
      </c>
      <c r="D265" t="str">
        <f>[1]Result_notebook_retravaill!D265</f>
        <v>Production potential</v>
      </c>
      <c r="E265" t="str">
        <f>[1]Result_notebook_retravaill!E265</f>
        <v>Current shares</v>
      </c>
      <c r="F265" t="str">
        <f>[1]Result_notebook_retravaill!F265</f>
        <v>Expansion Extractive+Circularity</v>
      </c>
      <c r="G265">
        <f>[1]Result_notebook_retravaill!G265</f>
        <v>8983.916446708683</v>
      </c>
      <c r="H265" s="3">
        <f>IF([1]Result_notebook_retravaill!I265&gt;[1]Result_notebook_retravaill!G265,[1]Result_notebook_retravaill!I265/[1]Result_notebook_retravaill!N265,[1]Result_notebook_retravaill!H265)</f>
        <v>137379.40096124742</v>
      </c>
      <c r="I265" s="3">
        <f>[1]Result_notebook_retravaill!K265</f>
        <v>0</v>
      </c>
      <c r="J265" s="3">
        <f>MIN(G265,[1]Result_notebook_retravaill!I265)</f>
        <v>8983.916446708683</v>
      </c>
      <c r="K265" s="3">
        <f>IF([1]Result_notebook_retravaill!I265&gt;[1]Result_notebook_retravaill!G265,0,IF([1]Result_notebook_retravaill!I265+[1]Result_notebook_retravaill!J265&gt;[1]Result_notebook_retravaill!G265,[1]Result_notebook_retravaill!G265-[1]Result_notebook_retravaill!I265,[1]Result_notebook_retravaill!J265))</f>
        <v>0</v>
      </c>
      <c r="L265" s="3">
        <f>IF([1]Result_notebook_retravaill!I265&gt;[1]Result_notebook_retravaill!G265,0,IF([1]Result_notebook_retravaill!I265+[1]Result_notebook_retravaill!J265&gt;[1]Result_notebook_retravaill!G265,0,[1]Result_notebook_retravaill!M265))</f>
        <v>0</v>
      </c>
    </row>
    <row r="266" spans="1:12">
      <c r="A266">
        <f>[1]Result_notebook_retravaill!A266</f>
        <v>2027</v>
      </c>
      <c r="B266" t="str">
        <f>[1]Result_notebook_retravaill!B266</f>
        <v>Lithium</v>
      </c>
      <c r="C266" t="str">
        <f>[1]Result_notebook_retravaill!C266</f>
        <v>Current Measures</v>
      </c>
      <c r="D266" t="str">
        <f>[1]Result_notebook_retravaill!D266</f>
        <v>Production potential</v>
      </c>
      <c r="E266" t="str">
        <f>[1]Result_notebook_retravaill!E266</f>
        <v>100% CAN</v>
      </c>
      <c r="F266" t="str">
        <f>[1]Result_notebook_retravaill!F266</f>
        <v>Integrated</v>
      </c>
      <c r="G266">
        <f>[1]Result_notebook_retravaill!G266</f>
        <v>8983.916446708683</v>
      </c>
      <c r="H266" s="3">
        <f>IF([1]Result_notebook_retravaill!I266&gt;[1]Result_notebook_retravaill!G266,[1]Result_notebook_retravaill!I266/[1]Result_notebook_retravaill!N266,[1]Result_notebook_retravaill!H266)</f>
        <v>137379.40096124742</v>
      </c>
      <c r="I266" s="3">
        <f>[1]Result_notebook_retravaill!K266</f>
        <v>0</v>
      </c>
      <c r="J266" s="3">
        <f>MIN(G266,[1]Result_notebook_retravaill!I266)</f>
        <v>8983.916446708683</v>
      </c>
      <c r="K266" s="3">
        <f>IF([1]Result_notebook_retravaill!I266&gt;[1]Result_notebook_retravaill!G266,0,IF([1]Result_notebook_retravaill!I266+[1]Result_notebook_retravaill!J266&gt;[1]Result_notebook_retravaill!G266,[1]Result_notebook_retravaill!G266-[1]Result_notebook_retravaill!I266,[1]Result_notebook_retravaill!J266))</f>
        <v>0</v>
      </c>
      <c r="L266" s="3">
        <f>IF([1]Result_notebook_retravaill!I266&gt;[1]Result_notebook_retravaill!G266,0,IF([1]Result_notebook_retravaill!I266+[1]Result_notebook_retravaill!J266&gt;[1]Result_notebook_retravaill!G266,0,[1]Result_notebook_retravaill!M266))</f>
        <v>0</v>
      </c>
    </row>
    <row r="267" spans="1:12">
      <c r="A267">
        <f>[1]Result_notebook_retravaill!A267</f>
        <v>2027</v>
      </c>
      <c r="B267" t="str">
        <f>[1]Result_notebook_retravaill!B267</f>
        <v>Lithium</v>
      </c>
      <c r="C267" t="str">
        <f>[1]Result_notebook_retravaill!C267</f>
        <v>Global Net-zero</v>
      </c>
      <c r="D267" t="str">
        <f>[1]Result_notebook_retravaill!D267</f>
        <v>Existing production</v>
      </c>
      <c r="E267" t="str">
        <f>[1]Result_notebook_retravaill!E267</f>
        <v>Current shares</v>
      </c>
      <c r="F267" t="str">
        <f>[1]Result_notebook_retravaill!F267</f>
        <v>NIMBY</v>
      </c>
      <c r="G267">
        <f>[1]Result_notebook_retravaill!G267</f>
        <v>13417.12031217203</v>
      </c>
      <c r="H267" s="3">
        <f>IF([1]Result_notebook_retravaill!I267&gt;[1]Result_notebook_retravaill!G267,[1]Result_notebook_retravaill!I267/[1]Result_notebook_retravaill!N267,[1]Result_notebook_retravaill!H267)</f>
        <v>0</v>
      </c>
      <c r="I267" s="3">
        <f>[1]Result_notebook_retravaill!K267</f>
        <v>19167.314731674331</v>
      </c>
      <c r="J267" s="3">
        <f>MIN(G267,[1]Result_notebook_retravaill!I267)</f>
        <v>0</v>
      </c>
      <c r="K267" s="3">
        <f>IF([1]Result_notebook_retravaill!I267&gt;[1]Result_notebook_retravaill!G267,0,IF([1]Result_notebook_retravaill!I267+[1]Result_notebook_retravaill!J267&gt;[1]Result_notebook_retravaill!G267,[1]Result_notebook_retravaill!G267-[1]Result_notebook_retravaill!I267,[1]Result_notebook_retravaill!J267))</f>
        <v>0</v>
      </c>
      <c r="L267" s="3">
        <f>IF([1]Result_notebook_retravaill!I267&gt;[1]Result_notebook_retravaill!G267,0,IF([1]Result_notebook_retravaill!I267+[1]Result_notebook_retravaill!J267&gt;[1]Result_notebook_retravaill!G267,0,[1]Result_notebook_retravaill!M267))</f>
        <v>13417.12031217203</v>
      </c>
    </row>
    <row r="268" spans="1:12">
      <c r="A268">
        <f>[1]Result_notebook_retravaill!A268</f>
        <v>2027</v>
      </c>
      <c r="B268" t="str">
        <f>[1]Result_notebook_retravaill!B268</f>
        <v>Lithium</v>
      </c>
      <c r="C268" t="str">
        <f>[1]Result_notebook_retravaill!C268</f>
        <v>Global Net-zero</v>
      </c>
      <c r="D268" t="str">
        <f>[1]Result_notebook_retravaill!D268</f>
        <v>Existing production</v>
      </c>
      <c r="E268" t="str">
        <f>[1]Result_notebook_retravaill!E268</f>
        <v>Current shares</v>
      </c>
      <c r="F268" t="str">
        <f>[1]Result_notebook_retravaill!F268</f>
        <v>Status Quo</v>
      </c>
      <c r="G268">
        <f>[1]Result_notebook_retravaill!G268</f>
        <v>13417.12031217203</v>
      </c>
      <c r="H268" s="3">
        <f>IF([1]Result_notebook_retravaill!I268&gt;[1]Result_notebook_retravaill!G268,[1]Result_notebook_retravaill!I268/[1]Result_notebook_retravaill!N268,[1]Result_notebook_retravaill!H268)</f>
        <v>37004.175816284209</v>
      </c>
      <c r="I268" s="3">
        <f>[1]Result_notebook_retravaill!K268</f>
        <v>0</v>
      </c>
      <c r="J268" s="3">
        <f>MIN(G268,[1]Result_notebook_retravaill!I268)</f>
        <v>13417.12031217203</v>
      </c>
      <c r="K268" s="3">
        <f>IF([1]Result_notebook_retravaill!I268&gt;[1]Result_notebook_retravaill!G268,0,IF([1]Result_notebook_retravaill!I268+[1]Result_notebook_retravaill!J268&gt;[1]Result_notebook_retravaill!G268,[1]Result_notebook_retravaill!G268-[1]Result_notebook_retravaill!I268,[1]Result_notebook_retravaill!J268))</f>
        <v>0</v>
      </c>
      <c r="L268" s="3">
        <f>IF([1]Result_notebook_retravaill!I268&gt;[1]Result_notebook_retravaill!G268,0,IF([1]Result_notebook_retravaill!I268+[1]Result_notebook_retravaill!J268&gt;[1]Result_notebook_retravaill!G268,0,[1]Result_notebook_retravaill!M268))</f>
        <v>0</v>
      </c>
    </row>
    <row r="269" spans="1:12">
      <c r="A269">
        <f>[1]Result_notebook_retravaill!A269</f>
        <v>2027</v>
      </c>
      <c r="B269" t="str">
        <f>[1]Result_notebook_retravaill!B269</f>
        <v>Lithium</v>
      </c>
      <c r="C269" t="str">
        <f>[1]Result_notebook_retravaill!C269</f>
        <v>Global Net-zero</v>
      </c>
      <c r="D269" t="str">
        <f>[1]Result_notebook_retravaill!D269</f>
        <v>Production potential</v>
      </c>
      <c r="E269" t="str">
        <f>[1]Result_notebook_retravaill!E269</f>
        <v>Current shares</v>
      </c>
      <c r="F269" t="str">
        <f>[1]Result_notebook_retravaill!F269</f>
        <v>Expansion Extractive</v>
      </c>
      <c r="G269">
        <f>[1]Result_notebook_retravaill!G269</f>
        <v>13417.12031217203</v>
      </c>
      <c r="H269" s="3">
        <f>IF([1]Result_notebook_retravaill!I269&gt;[1]Result_notebook_retravaill!G269,[1]Result_notebook_retravaill!I269/[1]Result_notebook_retravaill!N269,[1]Result_notebook_retravaill!H269)</f>
        <v>137379.40096124742</v>
      </c>
      <c r="I269" s="3">
        <f>[1]Result_notebook_retravaill!K269</f>
        <v>0</v>
      </c>
      <c r="J269" s="3">
        <f>MIN(G269,[1]Result_notebook_retravaill!I269)</f>
        <v>13417.12031217203</v>
      </c>
      <c r="K269" s="3">
        <f>IF([1]Result_notebook_retravaill!I269&gt;[1]Result_notebook_retravaill!G269,0,IF([1]Result_notebook_retravaill!I269+[1]Result_notebook_retravaill!J269&gt;[1]Result_notebook_retravaill!G269,[1]Result_notebook_retravaill!G269-[1]Result_notebook_retravaill!I269,[1]Result_notebook_retravaill!J269))</f>
        <v>0</v>
      </c>
      <c r="L269" s="3">
        <f>IF([1]Result_notebook_retravaill!I269&gt;[1]Result_notebook_retravaill!G269,0,IF([1]Result_notebook_retravaill!I269+[1]Result_notebook_retravaill!J269&gt;[1]Result_notebook_retravaill!G269,0,[1]Result_notebook_retravaill!M269))</f>
        <v>0</v>
      </c>
    </row>
    <row r="270" spans="1:12">
      <c r="A270">
        <f>[1]Result_notebook_retravaill!A270</f>
        <v>2027</v>
      </c>
      <c r="B270" t="str">
        <f>[1]Result_notebook_retravaill!B270</f>
        <v>Lithium</v>
      </c>
      <c r="C270" t="str">
        <f>[1]Result_notebook_retravaill!C270</f>
        <v>Global Net-zero</v>
      </c>
      <c r="D270" t="str">
        <f>[1]Result_notebook_retravaill!D270</f>
        <v>Production potential</v>
      </c>
      <c r="E270" t="str">
        <f>[1]Result_notebook_retravaill!E270</f>
        <v>Current shares</v>
      </c>
      <c r="F270" t="str">
        <f>[1]Result_notebook_retravaill!F270</f>
        <v>Expansion Extractive+Circularity</v>
      </c>
      <c r="G270">
        <f>[1]Result_notebook_retravaill!G270</f>
        <v>13417.12031217203</v>
      </c>
      <c r="H270" s="3">
        <f>IF([1]Result_notebook_retravaill!I270&gt;[1]Result_notebook_retravaill!G270,[1]Result_notebook_retravaill!I270/[1]Result_notebook_retravaill!N270,[1]Result_notebook_retravaill!H270)</f>
        <v>137379.40096124742</v>
      </c>
      <c r="I270" s="3">
        <f>[1]Result_notebook_retravaill!K270</f>
        <v>0</v>
      </c>
      <c r="J270" s="3">
        <f>MIN(G270,[1]Result_notebook_retravaill!I270)</f>
        <v>13417.12031217203</v>
      </c>
      <c r="K270" s="3">
        <f>IF([1]Result_notebook_retravaill!I270&gt;[1]Result_notebook_retravaill!G270,0,IF([1]Result_notebook_retravaill!I270+[1]Result_notebook_retravaill!J270&gt;[1]Result_notebook_retravaill!G270,[1]Result_notebook_retravaill!G270-[1]Result_notebook_retravaill!I270,[1]Result_notebook_retravaill!J270))</f>
        <v>0</v>
      </c>
      <c r="L270" s="3">
        <f>IF([1]Result_notebook_retravaill!I270&gt;[1]Result_notebook_retravaill!G270,0,IF([1]Result_notebook_retravaill!I270+[1]Result_notebook_retravaill!J270&gt;[1]Result_notebook_retravaill!G270,0,[1]Result_notebook_retravaill!M270))</f>
        <v>0</v>
      </c>
    </row>
    <row r="271" spans="1:12">
      <c r="A271">
        <f>[1]Result_notebook_retravaill!A271</f>
        <v>2027</v>
      </c>
      <c r="B271" t="str">
        <f>[1]Result_notebook_retravaill!B271</f>
        <v>Lithium</v>
      </c>
      <c r="C271" t="str">
        <f>[1]Result_notebook_retravaill!C271</f>
        <v>Global Net-zero</v>
      </c>
      <c r="D271" t="str">
        <f>[1]Result_notebook_retravaill!D271</f>
        <v>Production potential</v>
      </c>
      <c r="E271" t="str">
        <f>[1]Result_notebook_retravaill!E271</f>
        <v>100% CAN</v>
      </c>
      <c r="F271" t="str">
        <f>[1]Result_notebook_retravaill!F271</f>
        <v>Integrated</v>
      </c>
      <c r="G271">
        <f>[1]Result_notebook_retravaill!G271</f>
        <v>13417.12031217203</v>
      </c>
      <c r="H271" s="3">
        <f>IF([1]Result_notebook_retravaill!I271&gt;[1]Result_notebook_retravaill!G271,[1]Result_notebook_retravaill!I271/[1]Result_notebook_retravaill!N271,[1]Result_notebook_retravaill!H271)</f>
        <v>137379.40096124742</v>
      </c>
      <c r="I271" s="3">
        <f>[1]Result_notebook_retravaill!K271</f>
        <v>0</v>
      </c>
      <c r="J271" s="3">
        <f>MIN(G271,[1]Result_notebook_retravaill!I271)</f>
        <v>13417.12031217203</v>
      </c>
      <c r="K271" s="3">
        <f>IF([1]Result_notebook_retravaill!I271&gt;[1]Result_notebook_retravaill!G271,0,IF([1]Result_notebook_retravaill!I271+[1]Result_notebook_retravaill!J271&gt;[1]Result_notebook_retravaill!G271,[1]Result_notebook_retravaill!G271-[1]Result_notebook_retravaill!I271,[1]Result_notebook_retravaill!J271))</f>
        <v>0</v>
      </c>
      <c r="L271" s="3">
        <f>IF([1]Result_notebook_retravaill!I271&gt;[1]Result_notebook_retravaill!G271,0,IF([1]Result_notebook_retravaill!I271+[1]Result_notebook_retravaill!J271&gt;[1]Result_notebook_retravaill!G271,0,[1]Result_notebook_retravaill!M271))</f>
        <v>0</v>
      </c>
    </row>
    <row r="272" spans="1:12">
      <c r="A272">
        <f>[1]Result_notebook_retravaill!A272</f>
        <v>2028</v>
      </c>
      <c r="B272" t="str">
        <f>[1]Result_notebook_retravaill!B272</f>
        <v>Cobalt</v>
      </c>
      <c r="C272" t="str">
        <f>[1]Result_notebook_retravaill!C272</f>
        <v>Canada Net-zero</v>
      </c>
      <c r="D272" t="str">
        <f>[1]Result_notebook_retravaill!D272</f>
        <v>Existing production</v>
      </c>
      <c r="E272" t="str">
        <f>[1]Result_notebook_retravaill!E272</f>
        <v>Current shares</v>
      </c>
      <c r="F272" t="str">
        <f>[1]Result_notebook_retravaill!F272</f>
        <v>NIMBY</v>
      </c>
      <c r="G272">
        <f>[1]Result_notebook_retravaill!G272</f>
        <v>33558.203893436563</v>
      </c>
      <c r="H272" s="3">
        <f>IF([1]Result_notebook_retravaill!I272&gt;[1]Result_notebook_retravaill!G272,[1]Result_notebook_retravaill!I272/[1]Result_notebook_retravaill!N272,[1]Result_notebook_retravaill!H272)</f>
        <v>0</v>
      </c>
      <c r="I272" s="3">
        <f>[1]Result_notebook_retravaill!K272</f>
        <v>76268.645212355827</v>
      </c>
      <c r="J272" s="3">
        <f>MIN(G272,[1]Result_notebook_retravaill!I272)</f>
        <v>0</v>
      </c>
      <c r="K272" s="3">
        <f>IF([1]Result_notebook_retravaill!I272&gt;[1]Result_notebook_retravaill!G272,0,IF([1]Result_notebook_retravaill!I272+[1]Result_notebook_retravaill!J272&gt;[1]Result_notebook_retravaill!G272,[1]Result_notebook_retravaill!G272-[1]Result_notebook_retravaill!I272,[1]Result_notebook_retravaill!J272))</f>
        <v>0</v>
      </c>
      <c r="L272" s="3">
        <f>IF([1]Result_notebook_retravaill!I272&gt;[1]Result_notebook_retravaill!G272,0,IF([1]Result_notebook_retravaill!I272+[1]Result_notebook_retravaill!J272&gt;[1]Result_notebook_retravaill!G272,0,[1]Result_notebook_retravaill!M272))</f>
        <v>33558.203893436563</v>
      </c>
    </row>
    <row r="273" spans="1:12">
      <c r="A273">
        <f>[1]Result_notebook_retravaill!A273</f>
        <v>2028</v>
      </c>
      <c r="B273" t="str">
        <f>[1]Result_notebook_retravaill!B273</f>
        <v>Cobalt</v>
      </c>
      <c r="C273" t="str">
        <f>[1]Result_notebook_retravaill!C273</f>
        <v>Canada Net-zero</v>
      </c>
      <c r="D273" t="str">
        <f>[1]Result_notebook_retravaill!D273</f>
        <v>Existing production</v>
      </c>
      <c r="E273" t="str">
        <f>[1]Result_notebook_retravaill!E273</f>
        <v>Current shares</v>
      </c>
      <c r="F273" t="str">
        <f>[1]Result_notebook_retravaill!F273</f>
        <v>Status Quo</v>
      </c>
      <c r="G273">
        <f>[1]Result_notebook_retravaill!G273</f>
        <v>33558.203893436563</v>
      </c>
      <c r="H273" s="3">
        <f>IF([1]Result_notebook_retravaill!I273&gt;[1]Result_notebook_retravaill!G273,[1]Result_notebook_retravaill!I273/[1]Result_notebook_retravaill!N273,[1]Result_notebook_retravaill!H273)</f>
        <v>4176</v>
      </c>
      <c r="I273" s="3">
        <f>[1]Result_notebook_retravaill!K273</f>
        <v>72092.645212355827</v>
      </c>
      <c r="J273" s="3">
        <f>MIN(G273,[1]Result_notebook_retravaill!I273)</f>
        <v>1771.38331528816</v>
      </c>
      <c r="K273" s="3">
        <f>IF([1]Result_notebook_retravaill!I273&gt;[1]Result_notebook_retravaill!G273,0,IF([1]Result_notebook_retravaill!I273+[1]Result_notebook_retravaill!J273&gt;[1]Result_notebook_retravaill!G273,[1]Result_notebook_retravaill!G273-[1]Result_notebook_retravaill!I273,[1]Result_notebook_retravaill!J273))</f>
        <v>63.327943020660086</v>
      </c>
      <c r="L273" s="3">
        <f>IF([1]Result_notebook_retravaill!I273&gt;[1]Result_notebook_retravaill!G273,0,IF([1]Result_notebook_retravaill!I273+[1]Result_notebook_retravaill!J273&gt;[1]Result_notebook_retravaill!G273,0,[1]Result_notebook_retravaill!M273))</f>
        <v>31723.492635127739</v>
      </c>
    </row>
    <row r="274" spans="1:12">
      <c r="A274">
        <f>[1]Result_notebook_retravaill!A274</f>
        <v>2028</v>
      </c>
      <c r="B274" t="str">
        <f>[1]Result_notebook_retravaill!B274</f>
        <v>Cobalt</v>
      </c>
      <c r="C274" t="str">
        <f>[1]Result_notebook_retravaill!C274</f>
        <v>Canada Net-zero</v>
      </c>
      <c r="D274" t="str">
        <f>[1]Result_notebook_retravaill!D274</f>
        <v>Production potential</v>
      </c>
      <c r="E274" t="str">
        <f>[1]Result_notebook_retravaill!E274</f>
        <v>Current shares</v>
      </c>
      <c r="F274" t="str">
        <f>[1]Result_notebook_retravaill!F274</f>
        <v>Expansion Extractive</v>
      </c>
      <c r="G274">
        <f>[1]Result_notebook_retravaill!G274</f>
        <v>33558.203893436563</v>
      </c>
      <c r="H274" s="3">
        <f>IF([1]Result_notebook_retravaill!I274&gt;[1]Result_notebook_retravaill!G274,[1]Result_notebook_retravaill!I274/[1]Result_notebook_retravaill!N274,[1]Result_notebook_retravaill!H274)</f>
        <v>7250</v>
      </c>
      <c r="I274" s="3">
        <f>[1]Result_notebook_retravaill!K274</f>
        <v>69018.645212355827</v>
      </c>
      <c r="J274" s="3">
        <f>MIN(G274,[1]Result_notebook_retravaill!I274)</f>
        <v>3075.318255708612</v>
      </c>
      <c r="K274" s="3">
        <f>IF([1]Result_notebook_retravaill!I274&gt;[1]Result_notebook_retravaill!G274,0,IF([1]Result_notebook_retravaill!I274+[1]Result_notebook_retravaill!J274&gt;[1]Result_notebook_retravaill!G274,[1]Result_notebook_retravaill!G274-[1]Result_notebook_retravaill!I274,[1]Result_notebook_retravaill!J274))</f>
        <v>109.94434552197845</v>
      </c>
      <c r="L274" s="3">
        <f>IF([1]Result_notebook_retravaill!I274&gt;[1]Result_notebook_retravaill!G274,0,IF([1]Result_notebook_retravaill!I274+[1]Result_notebook_retravaill!J274&gt;[1]Result_notebook_retravaill!G274,0,[1]Result_notebook_retravaill!M274))</f>
        <v>30372.941292205975</v>
      </c>
    </row>
    <row r="275" spans="1:12">
      <c r="A275">
        <f>[1]Result_notebook_retravaill!A275</f>
        <v>2028</v>
      </c>
      <c r="B275" t="str">
        <f>[1]Result_notebook_retravaill!B275</f>
        <v>Cobalt</v>
      </c>
      <c r="C275" t="str">
        <f>[1]Result_notebook_retravaill!C275</f>
        <v>Canada Net-zero</v>
      </c>
      <c r="D275" t="str">
        <f>[1]Result_notebook_retravaill!D275</f>
        <v>Production potential</v>
      </c>
      <c r="E275" t="str">
        <f>[1]Result_notebook_retravaill!E275</f>
        <v>Current shares</v>
      </c>
      <c r="F275" t="str">
        <f>[1]Result_notebook_retravaill!F275</f>
        <v>Expansion Extractive+Circularity</v>
      </c>
      <c r="G275">
        <f>[1]Result_notebook_retravaill!G275</f>
        <v>33558.203893436563</v>
      </c>
      <c r="H275" s="3">
        <f>IF([1]Result_notebook_retravaill!I275&gt;[1]Result_notebook_retravaill!G275,[1]Result_notebook_retravaill!I275/[1]Result_notebook_retravaill!N275,[1]Result_notebook_retravaill!H275)</f>
        <v>7250</v>
      </c>
      <c r="I275" s="3">
        <f>[1]Result_notebook_retravaill!K275</f>
        <v>69018.645212355827</v>
      </c>
      <c r="J275" s="3">
        <f>MIN(G275,[1]Result_notebook_retravaill!I275)</f>
        <v>3075.318255708612</v>
      </c>
      <c r="K275" s="3">
        <f>IF([1]Result_notebook_retravaill!I275&gt;[1]Result_notebook_retravaill!G275,0,IF([1]Result_notebook_retravaill!I275+[1]Result_notebook_retravaill!J275&gt;[1]Result_notebook_retravaill!G275,[1]Result_notebook_retravaill!G275-[1]Result_notebook_retravaill!I275,[1]Result_notebook_retravaill!J275))</f>
        <v>109.94434552197845</v>
      </c>
      <c r="L275" s="3">
        <f>IF([1]Result_notebook_retravaill!I275&gt;[1]Result_notebook_retravaill!G275,0,IF([1]Result_notebook_retravaill!I275+[1]Result_notebook_retravaill!J275&gt;[1]Result_notebook_retravaill!G275,0,[1]Result_notebook_retravaill!M275))</f>
        <v>30372.941292205975</v>
      </c>
    </row>
    <row r="276" spans="1:12">
      <c r="A276">
        <f>[1]Result_notebook_retravaill!A276</f>
        <v>2028</v>
      </c>
      <c r="B276" t="str">
        <f>[1]Result_notebook_retravaill!B276</f>
        <v>Cobalt</v>
      </c>
      <c r="C276" t="str">
        <f>[1]Result_notebook_retravaill!C276</f>
        <v>Canada Net-zero</v>
      </c>
      <c r="D276" t="str">
        <f>[1]Result_notebook_retravaill!D276</f>
        <v>Production potential</v>
      </c>
      <c r="E276" t="str">
        <f>[1]Result_notebook_retravaill!E276</f>
        <v>100% CAN</v>
      </c>
      <c r="F276" t="str">
        <f>[1]Result_notebook_retravaill!F276</f>
        <v>Integrated</v>
      </c>
      <c r="G276">
        <f>[1]Result_notebook_retravaill!G276</f>
        <v>33558.203893436563</v>
      </c>
      <c r="H276" s="3">
        <f>IF([1]Result_notebook_retravaill!I276&gt;[1]Result_notebook_retravaill!G276,[1]Result_notebook_retravaill!I276/[1]Result_notebook_retravaill!N276,[1]Result_notebook_retravaill!H276)</f>
        <v>7250</v>
      </c>
      <c r="I276" s="3">
        <f>[1]Result_notebook_retravaill!K276</f>
        <v>69018.645212355827</v>
      </c>
      <c r="J276" s="3">
        <f>MIN(G276,[1]Result_notebook_retravaill!I276)</f>
        <v>3185.2626012305932</v>
      </c>
      <c r="K276" s="3">
        <f>IF([1]Result_notebook_retravaill!I276&gt;[1]Result_notebook_retravaill!G276,0,IF([1]Result_notebook_retravaill!I276+[1]Result_notebook_retravaill!J276&gt;[1]Result_notebook_retravaill!G276,[1]Result_notebook_retravaill!G276-[1]Result_notebook_retravaill!I276,[1]Result_notebook_retravaill!J276))</f>
        <v>0</v>
      </c>
      <c r="L276" s="3">
        <f>IF([1]Result_notebook_retravaill!I276&gt;[1]Result_notebook_retravaill!G276,0,IF([1]Result_notebook_retravaill!I276+[1]Result_notebook_retravaill!J276&gt;[1]Result_notebook_retravaill!G276,0,[1]Result_notebook_retravaill!M276))</f>
        <v>30372.941292205971</v>
      </c>
    </row>
    <row r="277" spans="1:12">
      <c r="A277">
        <f>[1]Result_notebook_retravaill!A277</f>
        <v>2028</v>
      </c>
      <c r="B277" t="str">
        <f>[1]Result_notebook_retravaill!B277</f>
        <v>Cobalt</v>
      </c>
      <c r="C277" t="str">
        <f>[1]Result_notebook_retravaill!C277</f>
        <v>Current Measures</v>
      </c>
      <c r="D277" t="str">
        <f>[1]Result_notebook_retravaill!D277</f>
        <v>Existing production</v>
      </c>
      <c r="E277" t="str">
        <f>[1]Result_notebook_retravaill!E277</f>
        <v>Current shares</v>
      </c>
      <c r="F277" t="str">
        <f>[1]Result_notebook_retravaill!F277</f>
        <v>NIMBY</v>
      </c>
      <c r="G277">
        <f>[1]Result_notebook_retravaill!G277</f>
        <v>19651.719636773159</v>
      </c>
      <c r="H277" s="3">
        <f>IF([1]Result_notebook_retravaill!I277&gt;[1]Result_notebook_retravaill!G277,[1]Result_notebook_retravaill!I277/[1]Result_notebook_retravaill!N277,[1]Result_notebook_retravaill!H277)</f>
        <v>0</v>
      </c>
      <c r="I277" s="3">
        <f>[1]Result_notebook_retravaill!K277</f>
        <v>44662.999174484452</v>
      </c>
      <c r="J277" s="3">
        <f>MIN(G277,[1]Result_notebook_retravaill!I277)</f>
        <v>0</v>
      </c>
      <c r="K277" s="3">
        <f>IF([1]Result_notebook_retravaill!I277&gt;[1]Result_notebook_retravaill!G277,0,IF([1]Result_notebook_retravaill!I277+[1]Result_notebook_retravaill!J277&gt;[1]Result_notebook_retravaill!G277,[1]Result_notebook_retravaill!G277-[1]Result_notebook_retravaill!I277,[1]Result_notebook_retravaill!J277))</f>
        <v>0</v>
      </c>
      <c r="L277" s="3">
        <f>IF([1]Result_notebook_retravaill!I277&gt;[1]Result_notebook_retravaill!G277,0,IF([1]Result_notebook_retravaill!I277+[1]Result_notebook_retravaill!J277&gt;[1]Result_notebook_retravaill!G277,0,[1]Result_notebook_retravaill!M277))</f>
        <v>19651.719636773159</v>
      </c>
    </row>
    <row r="278" spans="1:12">
      <c r="A278">
        <f>[1]Result_notebook_retravaill!A278</f>
        <v>2028</v>
      </c>
      <c r="B278" t="str">
        <f>[1]Result_notebook_retravaill!B278</f>
        <v>Cobalt</v>
      </c>
      <c r="C278" t="str">
        <f>[1]Result_notebook_retravaill!C278</f>
        <v>Current Measures</v>
      </c>
      <c r="D278" t="str">
        <f>[1]Result_notebook_retravaill!D278</f>
        <v>Existing production</v>
      </c>
      <c r="E278" t="str">
        <f>[1]Result_notebook_retravaill!E278</f>
        <v>Current shares</v>
      </c>
      <c r="F278" t="str">
        <f>[1]Result_notebook_retravaill!F278</f>
        <v>Status Quo</v>
      </c>
      <c r="G278">
        <f>[1]Result_notebook_retravaill!G278</f>
        <v>19651.719636773159</v>
      </c>
      <c r="H278" s="3">
        <f>IF([1]Result_notebook_retravaill!I278&gt;[1]Result_notebook_retravaill!G278,[1]Result_notebook_retravaill!I278/[1]Result_notebook_retravaill!N278,[1]Result_notebook_retravaill!H278)</f>
        <v>4176</v>
      </c>
      <c r="I278" s="3">
        <f>[1]Result_notebook_retravaill!K278</f>
        <v>40486.999174484452</v>
      </c>
      <c r="J278" s="3">
        <f>MIN(G278,[1]Result_notebook_retravaill!I278)</f>
        <v>1771.38331528816</v>
      </c>
      <c r="K278" s="3">
        <f>IF([1]Result_notebook_retravaill!I278&gt;[1]Result_notebook_retravaill!G278,0,IF([1]Result_notebook_retravaill!I278+[1]Result_notebook_retravaill!J278&gt;[1]Result_notebook_retravaill!G278,[1]Result_notebook_retravaill!G278-[1]Result_notebook_retravaill!I278,[1]Result_notebook_retravaill!J278))</f>
        <v>63.327943020660086</v>
      </c>
      <c r="L278" s="3">
        <f>IF([1]Result_notebook_retravaill!I278&gt;[1]Result_notebook_retravaill!G278,0,IF([1]Result_notebook_retravaill!I278+[1]Result_notebook_retravaill!J278&gt;[1]Result_notebook_retravaill!G278,0,[1]Result_notebook_retravaill!M278))</f>
        <v>17817.008378464339</v>
      </c>
    </row>
    <row r="279" spans="1:12">
      <c r="A279">
        <f>[1]Result_notebook_retravaill!A279</f>
        <v>2028</v>
      </c>
      <c r="B279" t="str">
        <f>[1]Result_notebook_retravaill!B279</f>
        <v>Cobalt</v>
      </c>
      <c r="C279" t="str">
        <f>[1]Result_notebook_retravaill!C279</f>
        <v>Current Measures</v>
      </c>
      <c r="D279" t="str">
        <f>[1]Result_notebook_retravaill!D279</f>
        <v>Production potential</v>
      </c>
      <c r="E279" t="str">
        <f>[1]Result_notebook_retravaill!E279</f>
        <v>Current shares</v>
      </c>
      <c r="F279" t="str">
        <f>[1]Result_notebook_retravaill!F279</f>
        <v>Expansion Extractive</v>
      </c>
      <c r="G279">
        <f>[1]Result_notebook_retravaill!G279</f>
        <v>19651.719636773159</v>
      </c>
      <c r="H279" s="3">
        <f>IF([1]Result_notebook_retravaill!I279&gt;[1]Result_notebook_retravaill!G279,[1]Result_notebook_retravaill!I279/[1]Result_notebook_retravaill!N279,[1]Result_notebook_retravaill!H279)</f>
        <v>7250</v>
      </c>
      <c r="I279" s="3">
        <f>[1]Result_notebook_retravaill!K279</f>
        <v>37412.999174484452</v>
      </c>
      <c r="J279" s="3">
        <f>MIN(G279,[1]Result_notebook_retravaill!I279)</f>
        <v>3075.318255708612</v>
      </c>
      <c r="K279" s="3">
        <f>IF([1]Result_notebook_retravaill!I279&gt;[1]Result_notebook_retravaill!G279,0,IF([1]Result_notebook_retravaill!I279+[1]Result_notebook_retravaill!J279&gt;[1]Result_notebook_retravaill!G279,[1]Result_notebook_retravaill!G279-[1]Result_notebook_retravaill!I279,[1]Result_notebook_retravaill!J279))</f>
        <v>109.94434552197845</v>
      </c>
      <c r="L279" s="3">
        <f>IF([1]Result_notebook_retravaill!I279&gt;[1]Result_notebook_retravaill!G279,0,IF([1]Result_notebook_retravaill!I279+[1]Result_notebook_retravaill!J279&gt;[1]Result_notebook_retravaill!G279,0,[1]Result_notebook_retravaill!M279))</f>
        <v>16466.457035542571</v>
      </c>
    </row>
    <row r="280" spans="1:12">
      <c r="A280">
        <f>[1]Result_notebook_retravaill!A280</f>
        <v>2028</v>
      </c>
      <c r="B280" t="str">
        <f>[1]Result_notebook_retravaill!B280</f>
        <v>Cobalt</v>
      </c>
      <c r="C280" t="str">
        <f>[1]Result_notebook_retravaill!C280</f>
        <v>Current Measures</v>
      </c>
      <c r="D280" t="str">
        <f>[1]Result_notebook_retravaill!D280</f>
        <v>Production potential</v>
      </c>
      <c r="E280" t="str">
        <f>[1]Result_notebook_retravaill!E280</f>
        <v>Current shares</v>
      </c>
      <c r="F280" t="str">
        <f>[1]Result_notebook_retravaill!F280</f>
        <v>Expansion Extractive+Circularity</v>
      </c>
      <c r="G280">
        <f>[1]Result_notebook_retravaill!G280</f>
        <v>19651.719636773159</v>
      </c>
      <c r="H280" s="3">
        <f>IF([1]Result_notebook_retravaill!I280&gt;[1]Result_notebook_retravaill!G280,[1]Result_notebook_retravaill!I280/[1]Result_notebook_retravaill!N280,[1]Result_notebook_retravaill!H280)</f>
        <v>7250</v>
      </c>
      <c r="I280" s="3">
        <f>[1]Result_notebook_retravaill!K280</f>
        <v>37412.999174484452</v>
      </c>
      <c r="J280" s="3">
        <f>MIN(G280,[1]Result_notebook_retravaill!I280)</f>
        <v>3075.318255708612</v>
      </c>
      <c r="K280" s="3">
        <f>IF([1]Result_notebook_retravaill!I280&gt;[1]Result_notebook_retravaill!G280,0,IF([1]Result_notebook_retravaill!I280+[1]Result_notebook_retravaill!J280&gt;[1]Result_notebook_retravaill!G280,[1]Result_notebook_retravaill!G280-[1]Result_notebook_retravaill!I280,[1]Result_notebook_retravaill!J280))</f>
        <v>109.94434552197845</v>
      </c>
      <c r="L280" s="3">
        <f>IF([1]Result_notebook_retravaill!I280&gt;[1]Result_notebook_retravaill!G280,0,IF([1]Result_notebook_retravaill!I280+[1]Result_notebook_retravaill!J280&gt;[1]Result_notebook_retravaill!G280,0,[1]Result_notebook_retravaill!M280))</f>
        <v>16466.457035542571</v>
      </c>
    </row>
    <row r="281" spans="1:12">
      <c r="A281">
        <f>[1]Result_notebook_retravaill!A281</f>
        <v>2028</v>
      </c>
      <c r="B281" t="str">
        <f>[1]Result_notebook_retravaill!B281</f>
        <v>Cobalt</v>
      </c>
      <c r="C281" t="str">
        <f>[1]Result_notebook_retravaill!C281</f>
        <v>Current Measures</v>
      </c>
      <c r="D281" t="str">
        <f>[1]Result_notebook_retravaill!D281</f>
        <v>Production potential</v>
      </c>
      <c r="E281" t="str">
        <f>[1]Result_notebook_retravaill!E281</f>
        <v>100% CAN</v>
      </c>
      <c r="F281" t="str">
        <f>[1]Result_notebook_retravaill!F281</f>
        <v>Integrated</v>
      </c>
      <c r="G281">
        <f>[1]Result_notebook_retravaill!G281</f>
        <v>19651.719636773159</v>
      </c>
      <c r="H281" s="3">
        <f>IF([1]Result_notebook_retravaill!I281&gt;[1]Result_notebook_retravaill!G281,[1]Result_notebook_retravaill!I281/[1]Result_notebook_retravaill!N281,[1]Result_notebook_retravaill!H281)</f>
        <v>7250</v>
      </c>
      <c r="I281" s="3">
        <f>[1]Result_notebook_retravaill!K281</f>
        <v>37412.999174484452</v>
      </c>
      <c r="J281" s="3">
        <f>MIN(G281,[1]Result_notebook_retravaill!I281)</f>
        <v>3185.2626012305932</v>
      </c>
      <c r="K281" s="3">
        <f>IF([1]Result_notebook_retravaill!I281&gt;[1]Result_notebook_retravaill!G281,0,IF([1]Result_notebook_retravaill!I281+[1]Result_notebook_retravaill!J281&gt;[1]Result_notebook_retravaill!G281,[1]Result_notebook_retravaill!G281-[1]Result_notebook_retravaill!I281,[1]Result_notebook_retravaill!J281))</f>
        <v>0</v>
      </c>
      <c r="L281" s="3">
        <f>IF([1]Result_notebook_retravaill!I281&gt;[1]Result_notebook_retravaill!G281,0,IF([1]Result_notebook_retravaill!I281+[1]Result_notebook_retravaill!J281&gt;[1]Result_notebook_retravaill!G281,0,[1]Result_notebook_retravaill!M281))</f>
        <v>16466.457035542571</v>
      </c>
    </row>
    <row r="282" spans="1:12">
      <c r="A282">
        <f>[1]Result_notebook_retravaill!A282</f>
        <v>2028</v>
      </c>
      <c r="B282" t="str">
        <f>[1]Result_notebook_retravaill!B282</f>
        <v>Cobalt</v>
      </c>
      <c r="C282" t="str">
        <f>[1]Result_notebook_retravaill!C282</f>
        <v>Global Net-zero</v>
      </c>
      <c r="D282" t="str">
        <f>[1]Result_notebook_retravaill!D282</f>
        <v>Existing production</v>
      </c>
      <c r="E282" t="str">
        <f>[1]Result_notebook_retravaill!E282</f>
        <v>Current shares</v>
      </c>
      <c r="F282" t="str">
        <f>[1]Result_notebook_retravaill!F282</f>
        <v>NIMBY</v>
      </c>
      <c r="G282">
        <f>[1]Result_notebook_retravaill!G282</f>
        <v>32337.908183628981</v>
      </c>
      <c r="H282" s="3">
        <f>IF([1]Result_notebook_retravaill!I282&gt;[1]Result_notebook_retravaill!G282,[1]Result_notebook_retravaill!I282/[1]Result_notebook_retravaill!N282,[1]Result_notebook_retravaill!H282)</f>
        <v>0</v>
      </c>
      <c r="I282" s="3">
        <f>[1]Result_notebook_retravaill!K282</f>
        <v>73495.24587188405</v>
      </c>
      <c r="J282" s="3">
        <f>MIN(G282,[1]Result_notebook_retravaill!I282)</f>
        <v>0</v>
      </c>
      <c r="K282" s="3">
        <f>IF([1]Result_notebook_retravaill!I282&gt;[1]Result_notebook_retravaill!G282,0,IF([1]Result_notebook_retravaill!I282+[1]Result_notebook_retravaill!J282&gt;[1]Result_notebook_retravaill!G282,[1]Result_notebook_retravaill!G282-[1]Result_notebook_retravaill!I282,[1]Result_notebook_retravaill!J282))</f>
        <v>0</v>
      </c>
      <c r="L282" s="3">
        <f>IF([1]Result_notebook_retravaill!I282&gt;[1]Result_notebook_retravaill!G282,0,IF([1]Result_notebook_retravaill!I282+[1]Result_notebook_retravaill!J282&gt;[1]Result_notebook_retravaill!G282,0,[1]Result_notebook_retravaill!M282))</f>
        <v>32337.908183628981</v>
      </c>
    </row>
    <row r="283" spans="1:12">
      <c r="A283">
        <f>[1]Result_notebook_retravaill!A283</f>
        <v>2028</v>
      </c>
      <c r="B283" t="str">
        <f>[1]Result_notebook_retravaill!B283</f>
        <v>Cobalt</v>
      </c>
      <c r="C283" t="str">
        <f>[1]Result_notebook_retravaill!C283</f>
        <v>Global Net-zero</v>
      </c>
      <c r="D283" t="str">
        <f>[1]Result_notebook_retravaill!D283</f>
        <v>Existing production</v>
      </c>
      <c r="E283" t="str">
        <f>[1]Result_notebook_retravaill!E283</f>
        <v>Current shares</v>
      </c>
      <c r="F283" t="str">
        <f>[1]Result_notebook_retravaill!F283</f>
        <v>Status Quo</v>
      </c>
      <c r="G283">
        <f>[1]Result_notebook_retravaill!G283</f>
        <v>32337.908183628981</v>
      </c>
      <c r="H283" s="3">
        <f>IF([1]Result_notebook_retravaill!I283&gt;[1]Result_notebook_retravaill!G283,[1]Result_notebook_retravaill!I283/[1]Result_notebook_retravaill!N283,[1]Result_notebook_retravaill!H283)</f>
        <v>4176</v>
      </c>
      <c r="I283" s="3">
        <f>[1]Result_notebook_retravaill!K283</f>
        <v>69319.24587188405</v>
      </c>
      <c r="J283" s="3">
        <f>MIN(G283,[1]Result_notebook_retravaill!I283)</f>
        <v>1771.38331528816</v>
      </c>
      <c r="K283" s="3">
        <f>IF([1]Result_notebook_retravaill!I283&gt;[1]Result_notebook_retravaill!G283,0,IF([1]Result_notebook_retravaill!I283+[1]Result_notebook_retravaill!J283&gt;[1]Result_notebook_retravaill!G283,[1]Result_notebook_retravaill!G283-[1]Result_notebook_retravaill!I283,[1]Result_notebook_retravaill!J283))</f>
        <v>63.327943020660086</v>
      </c>
      <c r="L283" s="3">
        <f>IF([1]Result_notebook_retravaill!I283&gt;[1]Result_notebook_retravaill!G283,0,IF([1]Result_notebook_retravaill!I283+[1]Result_notebook_retravaill!J283&gt;[1]Result_notebook_retravaill!G283,0,[1]Result_notebook_retravaill!M283))</f>
        <v>30503.196925320161</v>
      </c>
    </row>
    <row r="284" spans="1:12">
      <c r="A284">
        <f>[1]Result_notebook_retravaill!A284</f>
        <v>2028</v>
      </c>
      <c r="B284" t="str">
        <f>[1]Result_notebook_retravaill!B284</f>
        <v>Cobalt</v>
      </c>
      <c r="C284" t="str">
        <f>[1]Result_notebook_retravaill!C284</f>
        <v>Global Net-zero</v>
      </c>
      <c r="D284" t="str">
        <f>[1]Result_notebook_retravaill!D284</f>
        <v>Production potential</v>
      </c>
      <c r="E284" t="str">
        <f>[1]Result_notebook_retravaill!E284</f>
        <v>Current shares</v>
      </c>
      <c r="F284" t="str">
        <f>[1]Result_notebook_retravaill!F284</f>
        <v>Expansion Extractive</v>
      </c>
      <c r="G284">
        <f>[1]Result_notebook_retravaill!G284</f>
        <v>32337.908183628981</v>
      </c>
      <c r="H284" s="3">
        <f>IF([1]Result_notebook_retravaill!I284&gt;[1]Result_notebook_retravaill!G284,[1]Result_notebook_retravaill!I284/[1]Result_notebook_retravaill!N284,[1]Result_notebook_retravaill!H284)</f>
        <v>7250</v>
      </c>
      <c r="I284" s="3">
        <f>[1]Result_notebook_retravaill!K284</f>
        <v>66245.24587188405</v>
      </c>
      <c r="J284" s="3">
        <f>MIN(G284,[1]Result_notebook_retravaill!I284)</f>
        <v>3075.318255708612</v>
      </c>
      <c r="K284" s="3">
        <f>IF([1]Result_notebook_retravaill!I284&gt;[1]Result_notebook_retravaill!G284,0,IF([1]Result_notebook_retravaill!I284+[1]Result_notebook_retravaill!J284&gt;[1]Result_notebook_retravaill!G284,[1]Result_notebook_retravaill!G284-[1]Result_notebook_retravaill!I284,[1]Result_notebook_retravaill!J284))</f>
        <v>109.94434552197845</v>
      </c>
      <c r="L284" s="3">
        <f>IF([1]Result_notebook_retravaill!I284&gt;[1]Result_notebook_retravaill!G284,0,IF([1]Result_notebook_retravaill!I284+[1]Result_notebook_retravaill!J284&gt;[1]Result_notebook_retravaill!G284,0,[1]Result_notebook_retravaill!M284))</f>
        <v>29152.645582398392</v>
      </c>
    </row>
    <row r="285" spans="1:12">
      <c r="A285">
        <f>[1]Result_notebook_retravaill!A285</f>
        <v>2028</v>
      </c>
      <c r="B285" t="str">
        <f>[1]Result_notebook_retravaill!B285</f>
        <v>Cobalt</v>
      </c>
      <c r="C285" t="str">
        <f>[1]Result_notebook_retravaill!C285</f>
        <v>Global Net-zero</v>
      </c>
      <c r="D285" t="str">
        <f>[1]Result_notebook_retravaill!D285</f>
        <v>Production potential</v>
      </c>
      <c r="E285" t="str">
        <f>[1]Result_notebook_retravaill!E285</f>
        <v>Current shares</v>
      </c>
      <c r="F285" t="str">
        <f>[1]Result_notebook_retravaill!F285</f>
        <v>Expansion Extractive+Circularity</v>
      </c>
      <c r="G285">
        <f>[1]Result_notebook_retravaill!G285</f>
        <v>32337.908183628981</v>
      </c>
      <c r="H285" s="3">
        <f>IF([1]Result_notebook_retravaill!I285&gt;[1]Result_notebook_retravaill!G285,[1]Result_notebook_retravaill!I285/[1]Result_notebook_retravaill!N285,[1]Result_notebook_retravaill!H285)</f>
        <v>7250</v>
      </c>
      <c r="I285" s="3">
        <f>[1]Result_notebook_retravaill!K285</f>
        <v>66245.24587188405</v>
      </c>
      <c r="J285" s="3">
        <f>MIN(G285,[1]Result_notebook_retravaill!I285)</f>
        <v>3075.318255708612</v>
      </c>
      <c r="K285" s="3">
        <f>IF([1]Result_notebook_retravaill!I285&gt;[1]Result_notebook_retravaill!G285,0,IF([1]Result_notebook_retravaill!I285+[1]Result_notebook_retravaill!J285&gt;[1]Result_notebook_retravaill!G285,[1]Result_notebook_retravaill!G285-[1]Result_notebook_retravaill!I285,[1]Result_notebook_retravaill!J285))</f>
        <v>109.94434552197845</v>
      </c>
      <c r="L285" s="3">
        <f>IF([1]Result_notebook_retravaill!I285&gt;[1]Result_notebook_retravaill!G285,0,IF([1]Result_notebook_retravaill!I285+[1]Result_notebook_retravaill!J285&gt;[1]Result_notebook_retravaill!G285,0,[1]Result_notebook_retravaill!M285))</f>
        <v>29152.645582398392</v>
      </c>
    </row>
    <row r="286" spans="1:12">
      <c r="A286">
        <f>[1]Result_notebook_retravaill!A286</f>
        <v>2028</v>
      </c>
      <c r="B286" t="str">
        <f>[1]Result_notebook_retravaill!B286</f>
        <v>Cobalt</v>
      </c>
      <c r="C286" t="str">
        <f>[1]Result_notebook_retravaill!C286</f>
        <v>Global Net-zero</v>
      </c>
      <c r="D286" t="str">
        <f>[1]Result_notebook_retravaill!D286</f>
        <v>Production potential</v>
      </c>
      <c r="E286" t="str">
        <f>[1]Result_notebook_retravaill!E286</f>
        <v>100% CAN</v>
      </c>
      <c r="F286" t="str">
        <f>[1]Result_notebook_retravaill!F286</f>
        <v>Integrated</v>
      </c>
      <c r="G286">
        <f>[1]Result_notebook_retravaill!G286</f>
        <v>32337.908183628981</v>
      </c>
      <c r="H286" s="3">
        <f>IF([1]Result_notebook_retravaill!I286&gt;[1]Result_notebook_retravaill!G286,[1]Result_notebook_retravaill!I286/[1]Result_notebook_retravaill!N286,[1]Result_notebook_retravaill!H286)</f>
        <v>7250</v>
      </c>
      <c r="I286" s="3">
        <f>[1]Result_notebook_retravaill!K286</f>
        <v>66245.24587188405</v>
      </c>
      <c r="J286" s="3">
        <f>MIN(G286,[1]Result_notebook_retravaill!I286)</f>
        <v>3185.2626012305932</v>
      </c>
      <c r="K286" s="3">
        <f>IF([1]Result_notebook_retravaill!I286&gt;[1]Result_notebook_retravaill!G286,0,IF([1]Result_notebook_retravaill!I286+[1]Result_notebook_retravaill!J286&gt;[1]Result_notebook_retravaill!G286,[1]Result_notebook_retravaill!G286-[1]Result_notebook_retravaill!I286,[1]Result_notebook_retravaill!J286))</f>
        <v>0</v>
      </c>
      <c r="L286" s="3">
        <f>IF([1]Result_notebook_retravaill!I286&gt;[1]Result_notebook_retravaill!G286,0,IF([1]Result_notebook_retravaill!I286+[1]Result_notebook_retravaill!J286&gt;[1]Result_notebook_retravaill!G286,0,[1]Result_notebook_retravaill!M286))</f>
        <v>29152.645582398389</v>
      </c>
    </row>
    <row r="287" spans="1:12">
      <c r="A287">
        <f>[1]Result_notebook_retravaill!A287</f>
        <v>2028</v>
      </c>
      <c r="B287" t="str">
        <f>[1]Result_notebook_retravaill!B287</f>
        <v>Copper</v>
      </c>
      <c r="C287" t="str">
        <f>[1]Result_notebook_retravaill!C287</f>
        <v>Canada Net-zero</v>
      </c>
      <c r="D287" t="str">
        <f>[1]Result_notebook_retravaill!D287</f>
        <v>Existing production</v>
      </c>
      <c r="E287" t="str">
        <f>[1]Result_notebook_retravaill!E287</f>
        <v>Current shares</v>
      </c>
      <c r="F287" t="str">
        <f>[1]Result_notebook_retravaill!F287</f>
        <v>NIMBY</v>
      </c>
      <c r="G287">
        <f>[1]Result_notebook_retravaill!G287</f>
        <v>916409.46721627563</v>
      </c>
      <c r="H287" s="3">
        <f>IF([1]Result_notebook_retravaill!I287&gt;[1]Result_notebook_retravaill!G287,[1]Result_notebook_retravaill!I287/[1]Result_notebook_retravaill!N287,[1]Result_notebook_retravaill!H287)</f>
        <v>0</v>
      </c>
      <c r="I287" s="3">
        <f>[1]Result_notebook_retravaill!K287</f>
        <v>1104107.7918268379</v>
      </c>
      <c r="J287" s="3">
        <f>MIN(G287,[1]Result_notebook_retravaill!I287)</f>
        <v>0</v>
      </c>
      <c r="K287" s="3">
        <f>IF([1]Result_notebook_retravaill!I287&gt;[1]Result_notebook_retravaill!G287,0,IF([1]Result_notebook_retravaill!I287+[1]Result_notebook_retravaill!J287&gt;[1]Result_notebook_retravaill!G287,[1]Result_notebook_retravaill!G287-[1]Result_notebook_retravaill!I287,[1]Result_notebook_retravaill!J287))</f>
        <v>0</v>
      </c>
      <c r="L287" s="3">
        <f>IF([1]Result_notebook_retravaill!I287&gt;[1]Result_notebook_retravaill!G287,0,IF([1]Result_notebook_retravaill!I287+[1]Result_notebook_retravaill!J287&gt;[1]Result_notebook_retravaill!G287,0,[1]Result_notebook_retravaill!M287))</f>
        <v>916409.46721627563</v>
      </c>
    </row>
    <row r="288" spans="1:12">
      <c r="A288">
        <f>[1]Result_notebook_retravaill!A288</f>
        <v>2028</v>
      </c>
      <c r="B288" t="str">
        <f>[1]Result_notebook_retravaill!B288</f>
        <v>Copper</v>
      </c>
      <c r="C288" t="str">
        <f>[1]Result_notebook_retravaill!C288</f>
        <v>Canada Net-zero</v>
      </c>
      <c r="D288" t="str">
        <f>[1]Result_notebook_retravaill!D288</f>
        <v>Existing production</v>
      </c>
      <c r="E288" t="str">
        <f>[1]Result_notebook_retravaill!E288</f>
        <v>Current shares</v>
      </c>
      <c r="F288" t="str">
        <f>[1]Result_notebook_retravaill!F288</f>
        <v>Status Quo</v>
      </c>
      <c r="G288">
        <f>[1]Result_notebook_retravaill!G288</f>
        <v>916409.46721627563</v>
      </c>
      <c r="H288" s="3">
        <f>IF([1]Result_notebook_retravaill!I288&gt;[1]Result_notebook_retravaill!G288,[1]Result_notebook_retravaill!I288/[1]Result_notebook_retravaill!N288,[1]Result_notebook_retravaill!H288)</f>
        <v>461120</v>
      </c>
      <c r="I288" s="3">
        <f>[1]Result_notebook_retravaill!K288</f>
        <v>642987.79182683816</v>
      </c>
      <c r="J288" s="3">
        <f>MIN(G288,[1]Result_notebook_retravaill!I288)</f>
        <v>242368.67797179901</v>
      </c>
      <c r="K288" s="3">
        <f>IF([1]Result_notebook_retravaill!I288&gt;[1]Result_notebook_retravaill!G288,0,IF([1]Result_notebook_retravaill!I288+[1]Result_notebook_retravaill!J288&gt;[1]Result_notebook_retravaill!G288,[1]Result_notebook_retravaill!G288-[1]Result_notebook_retravaill!I288,[1]Result_notebook_retravaill!J288))</f>
        <v>142549.28812989572</v>
      </c>
      <c r="L288" s="3">
        <f>IF([1]Result_notebook_retravaill!I288&gt;[1]Result_notebook_retravaill!G288,0,IF([1]Result_notebook_retravaill!I288+[1]Result_notebook_retravaill!J288&gt;[1]Result_notebook_retravaill!G288,0,[1]Result_notebook_retravaill!M288))</f>
        <v>531491.5011145809</v>
      </c>
    </row>
    <row r="289" spans="1:12">
      <c r="A289">
        <f>[1]Result_notebook_retravaill!A289</f>
        <v>2028</v>
      </c>
      <c r="B289" t="str">
        <f>[1]Result_notebook_retravaill!B289</f>
        <v>Copper</v>
      </c>
      <c r="C289" t="str">
        <f>[1]Result_notebook_retravaill!C289</f>
        <v>Canada Net-zero</v>
      </c>
      <c r="D289" t="str">
        <f>[1]Result_notebook_retravaill!D289</f>
        <v>Production potential</v>
      </c>
      <c r="E289" t="str">
        <f>[1]Result_notebook_retravaill!E289</f>
        <v>Current shares</v>
      </c>
      <c r="F289" t="str">
        <f>[1]Result_notebook_retravaill!F289</f>
        <v>Expansion Extractive</v>
      </c>
      <c r="G289">
        <f>[1]Result_notebook_retravaill!G289</f>
        <v>916409.46721627563</v>
      </c>
      <c r="H289" s="3">
        <f>IF([1]Result_notebook_retravaill!I289&gt;[1]Result_notebook_retravaill!G289,[1]Result_notebook_retravaill!I289/[1]Result_notebook_retravaill!N289,[1]Result_notebook_retravaill!H289)</f>
        <v>621087.14728660951</v>
      </c>
      <c r="I289" s="3">
        <f>[1]Result_notebook_retravaill!K289</f>
        <v>483020.64454022859</v>
      </c>
      <c r="J289" s="3">
        <f>MIN(G289,[1]Result_notebook_retravaill!I289)</f>
        <v>326448.80029738799</v>
      </c>
      <c r="K289" s="3">
        <f>IF([1]Result_notebook_retravaill!I289&gt;[1]Result_notebook_retravaill!G289,0,IF([1]Result_notebook_retravaill!I289+[1]Result_notebook_retravaill!J289&gt;[1]Result_notebook_retravaill!G289,[1]Result_notebook_retravaill!G289-[1]Result_notebook_retravaill!I289,[1]Result_notebook_retravaill!J289))</f>
        <v>192001.06417490868</v>
      </c>
      <c r="L289" s="3">
        <f>IF([1]Result_notebook_retravaill!I289&gt;[1]Result_notebook_retravaill!G289,0,IF([1]Result_notebook_retravaill!I289+[1]Result_notebook_retravaill!J289&gt;[1]Result_notebook_retravaill!G289,0,[1]Result_notebook_retravaill!M289))</f>
        <v>397959.60274397896</v>
      </c>
    </row>
    <row r="290" spans="1:12">
      <c r="A290">
        <f>[1]Result_notebook_retravaill!A290</f>
        <v>2028</v>
      </c>
      <c r="B290" t="str">
        <f>[1]Result_notebook_retravaill!B290</f>
        <v>Copper</v>
      </c>
      <c r="C290" t="str">
        <f>[1]Result_notebook_retravaill!C290</f>
        <v>Canada Net-zero</v>
      </c>
      <c r="D290" t="str">
        <f>[1]Result_notebook_retravaill!D290</f>
        <v>Production potential</v>
      </c>
      <c r="E290" t="str">
        <f>[1]Result_notebook_retravaill!E290</f>
        <v>Current shares</v>
      </c>
      <c r="F290" t="str">
        <f>[1]Result_notebook_retravaill!F290</f>
        <v>Expansion Extractive+Circularity</v>
      </c>
      <c r="G290">
        <f>[1]Result_notebook_retravaill!G290</f>
        <v>916409.46721627563</v>
      </c>
      <c r="H290" s="3">
        <f>IF([1]Result_notebook_retravaill!I290&gt;[1]Result_notebook_retravaill!G290,[1]Result_notebook_retravaill!I290/[1]Result_notebook_retravaill!N290,[1]Result_notebook_retravaill!H290)</f>
        <v>621087.14728660951</v>
      </c>
      <c r="I290" s="3">
        <f>[1]Result_notebook_retravaill!K290</f>
        <v>483020.64454022859</v>
      </c>
      <c r="J290" s="3">
        <f>MIN(G290,[1]Result_notebook_retravaill!I290)</f>
        <v>326448.80029738799</v>
      </c>
      <c r="K290" s="3">
        <f>IF([1]Result_notebook_retravaill!I290&gt;[1]Result_notebook_retravaill!G290,0,IF([1]Result_notebook_retravaill!I290+[1]Result_notebook_retravaill!J290&gt;[1]Result_notebook_retravaill!G290,[1]Result_notebook_retravaill!G290-[1]Result_notebook_retravaill!I290,[1]Result_notebook_retravaill!J290))</f>
        <v>192001.06417490868</v>
      </c>
      <c r="L290" s="3">
        <f>IF([1]Result_notebook_retravaill!I290&gt;[1]Result_notebook_retravaill!G290,0,IF([1]Result_notebook_retravaill!I290+[1]Result_notebook_retravaill!J290&gt;[1]Result_notebook_retravaill!G290,0,[1]Result_notebook_retravaill!M290))</f>
        <v>397959.60274397896</v>
      </c>
    </row>
    <row r="291" spans="1:12">
      <c r="A291">
        <f>[1]Result_notebook_retravaill!A291</f>
        <v>2028</v>
      </c>
      <c r="B291" t="str">
        <f>[1]Result_notebook_retravaill!B291</f>
        <v>Copper</v>
      </c>
      <c r="C291" t="str">
        <f>[1]Result_notebook_retravaill!C291</f>
        <v>Canada Net-zero</v>
      </c>
      <c r="D291" t="str">
        <f>[1]Result_notebook_retravaill!D291</f>
        <v>Production potential</v>
      </c>
      <c r="E291" t="str">
        <f>[1]Result_notebook_retravaill!E291</f>
        <v>100% CAN</v>
      </c>
      <c r="F291" t="str">
        <f>[1]Result_notebook_retravaill!F291</f>
        <v>Integrated</v>
      </c>
      <c r="G291">
        <f>[1]Result_notebook_retravaill!G291</f>
        <v>916409.46721627563</v>
      </c>
      <c r="H291" s="3">
        <f>IF([1]Result_notebook_retravaill!I291&gt;[1]Result_notebook_retravaill!G291,[1]Result_notebook_retravaill!I291/[1]Result_notebook_retravaill!N291,[1]Result_notebook_retravaill!H291)</f>
        <v>621087.14728660951</v>
      </c>
      <c r="I291" s="3">
        <f>[1]Result_notebook_retravaill!K291</f>
        <v>483020.64454022859</v>
      </c>
      <c r="J291" s="3">
        <f>MIN(G291,[1]Result_notebook_retravaill!I291)</f>
        <v>518449.8644722969</v>
      </c>
      <c r="K291" s="3">
        <f>IF([1]Result_notebook_retravaill!I291&gt;[1]Result_notebook_retravaill!G291,0,IF([1]Result_notebook_retravaill!I291+[1]Result_notebook_retravaill!J291&gt;[1]Result_notebook_retravaill!G291,[1]Result_notebook_retravaill!G291-[1]Result_notebook_retravaill!I291,[1]Result_notebook_retravaill!J291))</f>
        <v>0</v>
      </c>
      <c r="L291" s="3">
        <f>IF([1]Result_notebook_retravaill!I291&gt;[1]Result_notebook_retravaill!G291,0,IF([1]Result_notebook_retravaill!I291+[1]Result_notebook_retravaill!J291&gt;[1]Result_notebook_retravaill!G291,0,[1]Result_notebook_retravaill!M291))</f>
        <v>397959.60274397873</v>
      </c>
    </row>
    <row r="292" spans="1:12">
      <c r="A292">
        <f>[1]Result_notebook_retravaill!A292</f>
        <v>2028</v>
      </c>
      <c r="B292" t="str">
        <f>[1]Result_notebook_retravaill!B292</f>
        <v>Copper</v>
      </c>
      <c r="C292" t="str">
        <f>[1]Result_notebook_retravaill!C292</f>
        <v>Current Measures</v>
      </c>
      <c r="D292" t="str">
        <f>[1]Result_notebook_retravaill!D292</f>
        <v>Existing production</v>
      </c>
      <c r="E292" t="str">
        <f>[1]Result_notebook_retravaill!E292</f>
        <v>Current shares</v>
      </c>
      <c r="F292" t="str">
        <f>[1]Result_notebook_retravaill!F292</f>
        <v>NIMBY</v>
      </c>
      <c r="G292">
        <f>[1]Result_notebook_retravaill!G292</f>
        <v>893050.83707050979</v>
      </c>
      <c r="H292" s="3">
        <f>IF([1]Result_notebook_retravaill!I292&gt;[1]Result_notebook_retravaill!G292,[1]Result_notebook_retravaill!I292/[1]Result_notebook_retravaill!N292,[1]Result_notebook_retravaill!H292)</f>
        <v>0</v>
      </c>
      <c r="I292" s="3">
        <f>[1]Result_notebook_retravaill!K292</f>
        <v>1075964.8639403731</v>
      </c>
      <c r="J292" s="3">
        <f>MIN(G292,[1]Result_notebook_retravaill!I292)</f>
        <v>0</v>
      </c>
      <c r="K292" s="3">
        <f>IF([1]Result_notebook_retravaill!I292&gt;[1]Result_notebook_retravaill!G292,0,IF([1]Result_notebook_retravaill!I292+[1]Result_notebook_retravaill!J292&gt;[1]Result_notebook_retravaill!G292,[1]Result_notebook_retravaill!G292-[1]Result_notebook_retravaill!I292,[1]Result_notebook_retravaill!J292))</f>
        <v>0</v>
      </c>
      <c r="L292" s="3">
        <f>IF([1]Result_notebook_retravaill!I292&gt;[1]Result_notebook_retravaill!G292,0,IF([1]Result_notebook_retravaill!I292+[1]Result_notebook_retravaill!J292&gt;[1]Result_notebook_retravaill!G292,0,[1]Result_notebook_retravaill!M292))</f>
        <v>893050.83707050979</v>
      </c>
    </row>
    <row r="293" spans="1:12">
      <c r="A293">
        <f>[1]Result_notebook_retravaill!A293</f>
        <v>2028</v>
      </c>
      <c r="B293" t="str">
        <f>[1]Result_notebook_retravaill!B293</f>
        <v>Copper</v>
      </c>
      <c r="C293" t="str">
        <f>[1]Result_notebook_retravaill!C293</f>
        <v>Current Measures</v>
      </c>
      <c r="D293" t="str">
        <f>[1]Result_notebook_retravaill!D293</f>
        <v>Existing production</v>
      </c>
      <c r="E293" t="str">
        <f>[1]Result_notebook_retravaill!E293</f>
        <v>Current shares</v>
      </c>
      <c r="F293" t="str">
        <f>[1]Result_notebook_retravaill!F293</f>
        <v>Status Quo</v>
      </c>
      <c r="G293">
        <f>[1]Result_notebook_retravaill!G293</f>
        <v>893050.83707050979</v>
      </c>
      <c r="H293" s="3">
        <f>IF([1]Result_notebook_retravaill!I293&gt;[1]Result_notebook_retravaill!G293,[1]Result_notebook_retravaill!I293/[1]Result_notebook_retravaill!N293,[1]Result_notebook_retravaill!H293)</f>
        <v>461120</v>
      </c>
      <c r="I293" s="3">
        <f>[1]Result_notebook_retravaill!K293</f>
        <v>614844.8639403733</v>
      </c>
      <c r="J293" s="3">
        <f>MIN(G293,[1]Result_notebook_retravaill!I293)</f>
        <v>242368.67797179901</v>
      </c>
      <c r="K293" s="3">
        <f>IF([1]Result_notebook_retravaill!I293&gt;[1]Result_notebook_retravaill!G293,0,IF([1]Result_notebook_retravaill!I293+[1]Result_notebook_retravaill!J293&gt;[1]Result_notebook_retravaill!G293,[1]Result_notebook_retravaill!G293-[1]Result_notebook_retravaill!I293,[1]Result_notebook_retravaill!J293))</f>
        <v>142549.28812989572</v>
      </c>
      <c r="L293" s="3">
        <f>IF([1]Result_notebook_retravaill!I293&gt;[1]Result_notebook_retravaill!G293,0,IF([1]Result_notebook_retravaill!I293+[1]Result_notebook_retravaill!J293&gt;[1]Result_notebook_retravaill!G293,0,[1]Result_notebook_retravaill!M293))</f>
        <v>508132.87096881506</v>
      </c>
    </row>
    <row r="294" spans="1:12">
      <c r="A294">
        <f>[1]Result_notebook_retravaill!A294</f>
        <v>2028</v>
      </c>
      <c r="B294" t="str">
        <f>[1]Result_notebook_retravaill!B294</f>
        <v>Copper</v>
      </c>
      <c r="C294" t="str">
        <f>[1]Result_notebook_retravaill!C294</f>
        <v>Current Measures</v>
      </c>
      <c r="D294" t="str">
        <f>[1]Result_notebook_retravaill!D294</f>
        <v>Production potential</v>
      </c>
      <c r="E294" t="str">
        <f>[1]Result_notebook_retravaill!E294</f>
        <v>Current shares</v>
      </c>
      <c r="F294" t="str">
        <f>[1]Result_notebook_retravaill!F294</f>
        <v>Expansion Extractive</v>
      </c>
      <c r="G294">
        <f>[1]Result_notebook_retravaill!G294</f>
        <v>893050.83707050979</v>
      </c>
      <c r="H294" s="3">
        <f>IF([1]Result_notebook_retravaill!I294&gt;[1]Result_notebook_retravaill!G294,[1]Result_notebook_retravaill!I294/[1]Result_notebook_retravaill!N294,[1]Result_notebook_retravaill!H294)</f>
        <v>621087.14728660951</v>
      </c>
      <c r="I294" s="3">
        <f>[1]Result_notebook_retravaill!K294</f>
        <v>454877.71665376378</v>
      </c>
      <c r="J294" s="3">
        <f>MIN(G294,[1]Result_notebook_retravaill!I294)</f>
        <v>326448.80029738799</v>
      </c>
      <c r="K294" s="3">
        <f>IF([1]Result_notebook_retravaill!I294&gt;[1]Result_notebook_retravaill!G294,0,IF([1]Result_notebook_retravaill!I294+[1]Result_notebook_retravaill!J294&gt;[1]Result_notebook_retravaill!G294,[1]Result_notebook_retravaill!G294-[1]Result_notebook_retravaill!I294,[1]Result_notebook_retravaill!J294))</f>
        <v>192001.06417490868</v>
      </c>
      <c r="L294" s="3">
        <f>IF([1]Result_notebook_retravaill!I294&gt;[1]Result_notebook_retravaill!G294,0,IF([1]Result_notebook_retravaill!I294+[1]Result_notebook_retravaill!J294&gt;[1]Result_notebook_retravaill!G294,0,[1]Result_notebook_retravaill!M294))</f>
        <v>374600.97259821312</v>
      </c>
    </row>
    <row r="295" spans="1:12">
      <c r="A295">
        <f>[1]Result_notebook_retravaill!A295</f>
        <v>2028</v>
      </c>
      <c r="B295" t="str">
        <f>[1]Result_notebook_retravaill!B295</f>
        <v>Copper</v>
      </c>
      <c r="C295" t="str">
        <f>[1]Result_notebook_retravaill!C295</f>
        <v>Current Measures</v>
      </c>
      <c r="D295" t="str">
        <f>[1]Result_notebook_retravaill!D295</f>
        <v>Production potential</v>
      </c>
      <c r="E295" t="str">
        <f>[1]Result_notebook_retravaill!E295</f>
        <v>Current shares</v>
      </c>
      <c r="F295" t="str">
        <f>[1]Result_notebook_retravaill!F295</f>
        <v>Expansion Extractive+Circularity</v>
      </c>
      <c r="G295">
        <f>[1]Result_notebook_retravaill!G295</f>
        <v>893050.83707050979</v>
      </c>
      <c r="H295" s="3">
        <f>IF([1]Result_notebook_retravaill!I295&gt;[1]Result_notebook_retravaill!G295,[1]Result_notebook_retravaill!I295/[1]Result_notebook_retravaill!N295,[1]Result_notebook_retravaill!H295)</f>
        <v>621087.14728660951</v>
      </c>
      <c r="I295" s="3">
        <f>[1]Result_notebook_retravaill!K295</f>
        <v>454877.71665376378</v>
      </c>
      <c r="J295" s="3">
        <f>MIN(G295,[1]Result_notebook_retravaill!I295)</f>
        <v>326448.80029738799</v>
      </c>
      <c r="K295" s="3">
        <f>IF([1]Result_notebook_retravaill!I295&gt;[1]Result_notebook_retravaill!G295,0,IF([1]Result_notebook_retravaill!I295+[1]Result_notebook_retravaill!J295&gt;[1]Result_notebook_retravaill!G295,[1]Result_notebook_retravaill!G295-[1]Result_notebook_retravaill!I295,[1]Result_notebook_retravaill!J295))</f>
        <v>192001.06417490868</v>
      </c>
      <c r="L295" s="3">
        <f>IF([1]Result_notebook_retravaill!I295&gt;[1]Result_notebook_retravaill!G295,0,IF([1]Result_notebook_retravaill!I295+[1]Result_notebook_retravaill!J295&gt;[1]Result_notebook_retravaill!G295,0,[1]Result_notebook_retravaill!M295))</f>
        <v>374600.97259821312</v>
      </c>
    </row>
    <row r="296" spans="1:12">
      <c r="A296">
        <f>[1]Result_notebook_retravaill!A296</f>
        <v>2028</v>
      </c>
      <c r="B296" t="str">
        <f>[1]Result_notebook_retravaill!B296</f>
        <v>Copper</v>
      </c>
      <c r="C296" t="str">
        <f>[1]Result_notebook_retravaill!C296</f>
        <v>Current Measures</v>
      </c>
      <c r="D296" t="str">
        <f>[1]Result_notebook_retravaill!D296</f>
        <v>Production potential</v>
      </c>
      <c r="E296" t="str">
        <f>[1]Result_notebook_retravaill!E296</f>
        <v>100% CAN</v>
      </c>
      <c r="F296" t="str">
        <f>[1]Result_notebook_retravaill!F296</f>
        <v>Integrated</v>
      </c>
      <c r="G296">
        <f>[1]Result_notebook_retravaill!G296</f>
        <v>893050.83707050979</v>
      </c>
      <c r="H296" s="3">
        <f>IF([1]Result_notebook_retravaill!I296&gt;[1]Result_notebook_retravaill!G296,[1]Result_notebook_retravaill!I296/[1]Result_notebook_retravaill!N296,[1]Result_notebook_retravaill!H296)</f>
        <v>621087.14728660951</v>
      </c>
      <c r="I296" s="3">
        <f>[1]Result_notebook_retravaill!K296</f>
        <v>454877.71665376378</v>
      </c>
      <c r="J296" s="3">
        <f>MIN(G296,[1]Result_notebook_retravaill!I296)</f>
        <v>518449.8644722969</v>
      </c>
      <c r="K296" s="3">
        <f>IF([1]Result_notebook_retravaill!I296&gt;[1]Result_notebook_retravaill!G296,0,IF([1]Result_notebook_retravaill!I296+[1]Result_notebook_retravaill!J296&gt;[1]Result_notebook_retravaill!G296,[1]Result_notebook_retravaill!G296-[1]Result_notebook_retravaill!I296,[1]Result_notebook_retravaill!J296))</f>
        <v>0</v>
      </c>
      <c r="L296" s="3">
        <f>IF([1]Result_notebook_retravaill!I296&gt;[1]Result_notebook_retravaill!G296,0,IF([1]Result_notebook_retravaill!I296+[1]Result_notebook_retravaill!J296&gt;[1]Result_notebook_retravaill!G296,0,[1]Result_notebook_retravaill!M296))</f>
        <v>374600.97259821289</v>
      </c>
    </row>
    <row r="297" spans="1:12">
      <c r="A297">
        <f>[1]Result_notebook_retravaill!A297</f>
        <v>2028</v>
      </c>
      <c r="B297" t="str">
        <f>[1]Result_notebook_retravaill!B297</f>
        <v>Copper</v>
      </c>
      <c r="C297" t="str">
        <f>[1]Result_notebook_retravaill!C297</f>
        <v>Global Net-zero</v>
      </c>
      <c r="D297" t="str">
        <f>[1]Result_notebook_retravaill!D297</f>
        <v>Existing production</v>
      </c>
      <c r="E297" t="str">
        <f>[1]Result_notebook_retravaill!E297</f>
        <v>Current shares</v>
      </c>
      <c r="F297" t="str">
        <f>[1]Result_notebook_retravaill!F297</f>
        <v>NIMBY</v>
      </c>
      <c r="G297">
        <f>[1]Result_notebook_retravaill!G297</f>
        <v>898034.66394728445</v>
      </c>
      <c r="H297" s="3">
        <f>IF([1]Result_notebook_retravaill!I297&gt;[1]Result_notebook_retravaill!G297,[1]Result_notebook_retravaill!I297/[1]Result_notebook_retravaill!N297,[1]Result_notebook_retravaill!H297)</f>
        <v>0</v>
      </c>
      <c r="I297" s="3">
        <f>[1]Result_notebook_retravaill!K297</f>
        <v>1081969.474635283</v>
      </c>
      <c r="J297" s="3">
        <f>MIN(G297,[1]Result_notebook_retravaill!I297)</f>
        <v>0</v>
      </c>
      <c r="K297" s="3">
        <f>IF([1]Result_notebook_retravaill!I297&gt;[1]Result_notebook_retravaill!G297,0,IF([1]Result_notebook_retravaill!I297+[1]Result_notebook_retravaill!J297&gt;[1]Result_notebook_retravaill!G297,[1]Result_notebook_retravaill!G297-[1]Result_notebook_retravaill!I297,[1]Result_notebook_retravaill!J297))</f>
        <v>0</v>
      </c>
      <c r="L297" s="3">
        <f>IF([1]Result_notebook_retravaill!I297&gt;[1]Result_notebook_retravaill!G297,0,IF([1]Result_notebook_retravaill!I297+[1]Result_notebook_retravaill!J297&gt;[1]Result_notebook_retravaill!G297,0,[1]Result_notebook_retravaill!M297))</f>
        <v>898034.66394728445</v>
      </c>
    </row>
    <row r="298" spans="1:12">
      <c r="A298">
        <f>[1]Result_notebook_retravaill!A298</f>
        <v>2028</v>
      </c>
      <c r="B298" t="str">
        <f>[1]Result_notebook_retravaill!B298</f>
        <v>Copper</v>
      </c>
      <c r="C298" t="str">
        <f>[1]Result_notebook_retravaill!C298</f>
        <v>Global Net-zero</v>
      </c>
      <c r="D298" t="str">
        <f>[1]Result_notebook_retravaill!D298</f>
        <v>Existing production</v>
      </c>
      <c r="E298" t="str">
        <f>[1]Result_notebook_retravaill!E298</f>
        <v>Current shares</v>
      </c>
      <c r="F298" t="str">
        <f>[1]Result_notebook_retravaill!F298</f>
        <v>Status Quo</v>
      </c>
      <c r="G298">
        <f>[1]Result_notebook_retravaill!G298</f>
        <v>898034.66394728445</v>
      </c>
      <c r="H298" s="3">
        <f>IF([1]Result_notebook_retravaill!I298&gt;[1]Result_notebook_retravaill!G298,[1]Result_notebook_retravaill!I298/[1]Result_notebook_retravaill!N298,[1]Result_notebook_retravaill!H298)</f>
        <v>461120</v>
      </c>
      <c r="I298" s="3">
        <f>[1]Result_notebook_retravaill!K298</f>
        <v>620849.47463528253</v>
      </c>
      <c r="J298" s="3">
        <f>MIN(G298,[1]Result_notebook_retravaill!I298)</f>
        <v>242368.67797179901</v>
      </c>
      <c r="K298" s="3">
        <f>IF([1]Result_notebook_retravaill!I298&gt;[1]Result_notebook_retravaill!G298,0,IF([1]Result_notebook_retravaill!I298+[1]Result_notebook_retravaill!J298&gt;[1]Result_notebook_retravaill!G298,[1]Result_notebook_retravaill!G298-[1]Result_notebook_retravaill!I298,[1]Result_notebook_retravaill!J298))</f>
        <v>142549.28812989572</v>
      </c>
      <c r="L298" s="3">
        <f>IF([1]Result_notebook_retravaill!I298&gt;[1]Result_notebook_retravaill!G298,0,IF([1]Result_notebook_retravaill!I298+[1]Result_notebook_retravaill!J298&gt;[1]Result_notebook_retravaill!G298,0,[1]Result_notebook_retravaill!M298))</f>
        <v>513116.69784558972</v>
      </c>
    </row>
    <row r="299" spans="1:12">
      <c r="A299">
        <f>[1]Result_notebook_retravaill!A299</f>
        <v>2028</v>
      </c>
      <c r="B299" t="str">
        <f>[1]Result_notebook_retravaill!B299</f>
        <v>Copper</v>
      </c>
      <c r="C299" t="str">
        <f>[1]Result_notebook_retravaill!C299</f>
        <v>Global Net-zero</v>
      </c>
      <c r="D299" t="str">
        <f>[1]Result_notebook_retravaill!D299</f>
        <v>Production potential</v>
      </c>
      <c r="E299" t="str">
        <f>[1]Result_notebook_retravaill!E299</f>
        <v>Current shares</v>
      </c>
      <c r="F299" t="str">
        <f>[1]Result_notebook_retravaill!F299</f>
        <v>Expansion Extractive</v>
      </c>
      <c r="G299">
        <f>[1]Result_notebook_retravaill!G299</f>
        <v>898034.66394728445</v>
      </c>
      <c r="H299" s="3">
        <f>IF([1]Result_notebook_retravaill!I299&gt;[1]Result_notebook_retravaill!G299,[1]Result_notebook_retravaill!I299/[1]Result_notebook_retravaill!N299,[1]Result_notebook_retravaill!H299)</f>
        <v>621087.14728660951</v>
      </c>
      <c r="I299" s="3">
        <f>[1]Result_notebook_retravaill!K299</f>
        <v>460882.32734867302</v>
      </c>
      <c r="J299" s="3">
        <f>MIN(G299,[1]Result_notebook_retravaill!I299)</f>
        <v>326448.80029738799</v>
      </c>
      <c r="K299" s="3">
        <f>IF([1]Result_notebook_retravaill!I299&gt;[1]Result_notebook_retravaill!G299,0,IF([1]Result_notebook_retravaill!I299+[1]Result_notebook_retravaill!J299&gt;[1]Result_notebook_retravaill!G299,[1]Result_notebook_retravaill!G299-[1]Result_notebook_retravaill!I299,[1]Result_notebook_retravaill!J299))</f>
        <v>192001.06417490868</v>
      </c>
      <c r="L299" s="3">
        <f>IF([1]Result_notebook_retravaill!I299&gt;[1]Result_notebook_retravaill!G299,0,IF([1]Result_notebook_retravaill!I299+[1]Result_notebook_retravaill!J299&gt;[1]Result_notebook_retravaill!G299,0,[1]Result_notebook_retravaill!M299))</f>
        <v>379584.79947498778</v>
      </c>
    </row>
    <row r="300" spans="1:12">
      <c r="A300">
        <f>[1]Result_notebook_retravaill!A300</f>
        <v>2028</v>
      </c>
      <c r="B300" t="str">
        <f>[1]Result_notebook_retravaill!B300</f>
        <v>Copper</v>
      </c>
      <c r="C300" t="str">
        <f>[1]Result_notebook_retravaill!C300</f>
        <v>Global Net-zero</v>
      </c>
      <c r="D300" t="str">
        <f>[1]Result_notebook_retravaill!D300</f>
        <v>Production potential</v>
      </c>
      <c r="E300" t="str">
        <f>[1]Result_notebook_retravaill!E300</f>
        <v>Current shares</v>
      </c>
      <c r="F300" t="str">
        <f>[1]Result_notebook_retravaill!F300</f>
        <v>Expansion Extractive+Circularity</v>
      </c>
      <c r="G300">
        <f>[1]Result_notebook_retravaill!G300</f>
        <v>898034.66394728445</v>
      </c>
      <c r="H300" s="3">
        <f>IF([1]Result_notebook_retravaill!I300&gt;[1]Result_notebook_retravaill!G300,[1]Result_notebook_retravaill!I300/[1]Result_notebook_retravaill!N300,[1]Result_notebook_retravaill!H300)</f>
        <v>621087.14728660951</v>
      </c>
      <c r="I300" s="3">
        <f>[1]Result_notebook_retravaill!K300</f>
        <v>460882.32734867302</v>
      </c>
      <c r="J300" s="3">
        <f>MIN(G300,[1]Result_notebook_retravaill!I300)</f>
        <v>326448.80029738799</v>
      </c>
      <c r="K300" s="3">
        <f>IF([1]Result_notebook_retravaill!I300&gt;[1]Result_notebook_retravaill!G300,0,IF([1]Result_notebook_retravaill!I300+[1]Result_notebook_retravaill!J300&gt;[1]Result_notebook_retravaill!G300,[1]Result_notebook_retravaill!G300-[1]Result_notebook_retravaill!I300,[1]Result_notebook_retravaill!J300))</f>
        <v>192001.06417490868</v>
      </c>
      <c r="L300" s="3">
        <f>IF([1]Result_notebook_retravaill!I300&gt;[1]Result_notebook_retravaill!G300,0,IF([1]Result_notebook_retravaill!I300+[1]Result_notebook_retravaill!J300&gt;[1]Result_notebook_retravaill!G300,0,[1]Result_notebook_retravaill!M300))</f>
        <v>379584.79947498778</v>
      </c>
    </row>
    <row r="301" spans="1:12">
      <c r="A301">
        <f>[1]Result_notebook_retravaill!A301</f>
        <v>2028</v>
      </c>
      <c r="B301" t="str">
        <f>[1]Result_notebook_retravaill!B301</f>
        <v>Copper</v>
      </c>
      <c r="C301" t="str">
        <f>[1]Result_notebook_retravaill!C301</f>
        <v>Global Net-zero</v>
      </c>
      <c r="D301" t="str">
        <f>[1]Result_notebook_retravaill!D301</f>
        <v>Production potential</v>
      </c>
      <c r="E301" t="str">
        <f>[1]Result_notebook_retravaill!E301</f>
        <v>100% CAN</v>
      </c>
      <c r="F301" t="str">
        <f>[1]Result_notebook_retravaill!F301</f>
        <v>Integrated</v>
      </c>
      <c r="G301">
        <f>[1]Result_notebook_retravaill!G301</f>
        <v>898034.66394728445</v>
      </c>
      <c r="H301" s="3">
        <f>IF([1]Result_notebook_retravaill!I301&gt;[1]Result_notebook_retravaill!G301,[1]Result_notebook_retravaill!I301/[1]Result_notebook_retravaill!N301,[1]Result_notebook_retravaill!H301)</f>
        <v>621087.14728660951</v>
      </c>
      <c r="I301" s="3">
        <f>[1]Result_notebook_retravaill!K301</f>
        <v>460882.32734867302</v>
      </c>
      <c r="J301" s="3">
        <f>MIN(G301,[1]Result_notebook_retravaill!I301)</f>
        <v>518449.8644722969</v>
      </c>
      <c r="K301" s="3">
        <f>IF([1]Result_notebook_retravaill!I301&gt;[1]Result_notebook_retravaill!G301,0,IF([1]Result_notebook_retravaill!I301+[1]Result_notebook_retravaill!J301&gt;[1]Result_notebook_retravaill!G301,[1]Result_notebook_retravaill!G301-[1]Result_notebook_retravaill!I301,[1]Result_notebook_retravaill!J301))</f>
        <v>0</v>
      </c>
      <c r="L301" s="3">
        <f>IF([1]Result_notebook_retravaill!I301&gt;[1]Result_notebook_retravaill!G301,0,IF([1]Result_notebook_retravaill!I301+[1]Result_notebook_retravaill!J301&gt;[1]Result_notebook_retravaill!G301,0,[1]Result_notebook_retravaill!M301))</f>
        <v>379584.79947498761</v>
      </c>
    </row>
    <row r="302" spans="1:12">
      <c r="A302">
        <f>[1]Result_notebook_retravaill!A302</f>
        <v>2028</v>
      </c>
      <c r="B302" t="str">
        <f>[1]Result_notebook_retravaill!B302</f>
        <v>Neodymium</v>
      </c>
      <c r="C302" t="str">
        <f>[1]Result_notebook_retravaill!C302</f>
        <v>Canada Net-zero</v>
      </c>
      <c r="D302" t="str">
        <f>[1]Result_notebook_retravaill!D302</f>
        <v>Existing production</v>
      </c>
      <c r="E302" t="str">
        <f>[1]Result_notebook_retravaill!E302</f>
        <v>Current shares</v>
      </c>
      <c r="F302" t="str">
        <f>[1]Result_notebook_retravaill!F302</f>
        <v>NIMBY</v>
      </c>
      <c r="G302">
        <f>[1]Result_notebook_retravaill!G302</f>
        <v>1263.9158077811819</v>
      </c>
      <c r="H302" s="3">
        <f>IF([1]Result_notebook_retravaill!I302&gt;[1]Result_notebook_retravaill!G302,[1]Result_notebook_retravaill!I302/[1]Result_notebook_retravaill!N302,[1]Result_notebook_retravaill!H302)</f>
        <v>0</v>
      </c>
      <c r="I302" s="3">
        <f>[1]Result_notebook_retravaill!K302</f>
        <v>2106.5263463019701</v>
      </c>
      <c r="J302" s="3">
        <f>MIN(G302,[1]Result_notebook_retravaill!I302)</f>
        <v>0</v>
      </c>
      <c r="K302" s="3">
        <f>IF([1]Result_notebook_retravaill!I302&gt;[1]Result_notebook_retravaill!G302,0,IF([1]Result_notebook_retravaill!I302+[1]Result_notebook_retravaill!J302&gt;[1]Result_notebook_retravaill!G302,[1]Result_notebook_retravaill!G302-[1]Result_notebook_retravaill!I302,[1]Result_notebook_retravaill!J302))</f>
        <v>0</v>
      </c>
      <c r="L302" s="3">
        <f>IF([1]Result_notebook_retravaill!I302&gt;[1]Result_notebook_retravaill!G302,0,IF([1]Result_notebook_retravaill!I302+[1]Result_notebook_retravaill!J302&gt;[1]Result_notebook_retravaill!G302,0,[1]Result_notebook_retravaill!M302))</f>
        <v>1263.9158077811819</v>
      </c>
    </row>
    <row r="303" spans="1:12">
      <c r="A303">
        <f>[1]Result_notebook_retravaill!A303</f>
        <v>2028</v>
      </c>
      <c r="B303" t="str">
        <f>[1]Result_notebook_retravaill!B303</f>
        <v>Neodymium</v>
      </c>
      <c r="C303" t="str">
        <f>[1]Result_notebook_retravaill!C303</f>
        <v>Canada Net-zero</v>
      </c>
      <c r="D303" t="str">
        <f>[1]Result_notebook_retravaill!D303</f>
        <v>Existing production</v>
      </c>
      <c r="E303" t="str">
        <f>[1]Result_notebook_retravaill!E303</f>
        <v>Current shares</v>
      </c>
      <c r="F303" t="str">
        <f>[1]Result_notebook_retravaill!F303</f>
        <v>Status Quo</v>
      </c>
      <c r="G303">
        <f>[1]Result_notebook_retravaill!G303</f>
        <v>1263.9158077811819</v>
      </c>
      <c r="H303" s="3">
        <f>IF([1]Result_notebook_retravaill!I303&gt;[1]Result_notebook_retravaill!G303,[1]Result_notebook_retravaill!I303/[1]Result_notebook_retravaill!N303,[1]Result_notebook_retravaill!H303)</f>
        <v>0</v>
      </c>
      <c r="I303" s="3">
        <f>[1]Result_notebook_retravaill!K303</f>
        <v>2106.5263463019701</v>
      </c>
      <c r="J303" s="3">
        <f>MIN(G303,[1]Result_notebook_retravaill!I303)</f>
        <v>0</v>
      </c>
      <c r="K303" s="3">
        <f>IF([1]Result_notebook_retravaill!I303&gt;[1]Result_notebook_retravaill!G303,0,IF([1]Result_notebook_retravaill!I303+[1]Result_notebook_retravaill!J303&gt;[1]Result_notebook_retravaill!G303,[1]Result_notebook_retravaill!G303-[1]Result_notebook_retravaill!I303,[1]Result_notebook_retravaill!J303))</f>
        <v>0</v>
      </c>
      <c r="L303" s="3">
        <f>IF([1]Result_notebook_retravaill!I303&gt;[1]Result_notebook_retravaill!G303,0,IF([1]Result_notebook_retravaill!I303+[1]Result_notebook_retravaill!J303&gt;[1]Result_notebook_retravaill!G303,0,[1]Result_notebook_retravaill!M303))</f>
        <v>1263.9158077811819</v>
      </c>
    </row>
    <row r="304" spans="1:12">
      <c r="A304">
        <f>[1]Result_notebook_retravaill!A304</f>
        <v>2028</v>
      </c>
      <c r="B304" t="str">
        <f>[1]Result_notebook_retravaill!B304</f>
        <v>Neodymium</v>
      </c>
      <c r="C304" t="str">
        <f>[1]Result_notebook_retravaill!C304</f>
        <v>Canada Net-zero</v>
      </c>
      <c r="D304" t="str">
        <f>[1]Result_notebook_retravaill!D304</f>
        <v>Production potential</v>
      </c>
      <c r="E304" t="str">
        <f>[1]Result_notebook_retravaill!E304</f>
        <v>Current shares</v>
      </c>
      <c r="F304" t="str">
        <f>[1]Result_notebook_retravaill!F304</f>
        <v>Expansion Extractive</v>
      </c>
      <c r="G304">
        <f>[1]Result_notebook_retravaill!G304</f>
        <v>1263.9158077811819</v>
      </c>
      <c r="H304" s="3">
        <f>IF([1]Result_notebook_retravaill!I304&gt;[1]Result_notebook_retravaill!G304,[1]Result_notebook_retravaill!I304/[1]Result_notebook_retravaill!N304,[1]Result_notebook_retravaill!H304)</f>
        <v>7.5582684386625987</v>
      </c>
      <c r="I304" s="3">
        <f>[1]Result_notebook_retravaill!K304</f>
        <v>2098.9680778633069</v>
      </c>
      <c r="J304" s="3">
        <f>MIN(G304,[1]Result_notebook_retravaill!I304)</f>
        <v>4.5239555742639546</v>
      </c>
      <c r="K304" s="3">
        <f>IF([1]Result_notebook_retravaill!I304&gt;[1]Result_notebook_retravaill!G304,0,IF([1]Result_notebook_retravaill!I304+[1]Result_notebook_retravaill!J304&gt;[1]Result_notebook_retravaill!G304,[1]Result_notebook_retravaill!G304-[1]Result_notebook_retravaill!I304,[1]Result_notebook_retravaill!J304))</f>
        <v>3.0343128643986441</v>
      </c>
      <c r="L304" s="3">
        <f>IF([1]Result_notebook_retravaill!I304&gt;[1]Result_notebook_retravaill!G304,0,IF([1]Result_notebook_retravaill!I304+[1]Result_notebook_retravaill!J304&gt;[1]Result_notebook_retravaill!G304,0,[1]Result_notebook_retravaill!M304))</f>
        <v>1256.3575393425194</v>
      </c>
    </row>
    <row r="305" spans="1:12">
      <c r="A305">
        <f>[1]Result_notebook_retravaill!A305</f>
        <v>2028</v>
      </c>
      <c r="B305" t="str">
        <f>[1]Result_notebook_retravaill!B305</f>
        <v>Neodymium</v>
      </c>
      <c r="C305" t="str">
        <f>[1]Result_notebook_retravaill!C305</f>
        <v>Canada Net-zero</v>
      </c>
      <c r="D305" t="str">
        <f>[1]Result_notebook_retravaill!D305</f>
        <v>Production potential</v>
      </c>
      <c r="E305" t="str">
        <f>[1]Result_notebook_retravaill!E305</f>
        <v>Current shares</v>
      </c>
      <c r="F305" t="str">
        <f>[1]Result_notebook_retravaill!F305</f>
        <v>Expansion Extractive+Circularity</v>
      </c>
      <c r="G305">
        <f>[1]Result_notebook_retravaill!G305</f>
        <v>1263.9158077811819</v>
      </c>
      <c r="H305" s="3">
        <f>IF([1]Result_notebook_retravaill!I305&gt;[1]Result_notebook_retravaill!G305,[1]Result_notebook_retravaill!I305/[1]Result_notebook_retravaill!N305,[1]Result_notebook_retravaill!H305)</f>
        <v>7.5582684386625987</v>
      </c>
      <c r="I305" s="3">
        <f>[1]Result_notebook_retravaill!K305</f>
        <v>2098.9680778633069</v>
      </c>
      <c r="J305" s="3">
        <f>MIN(G305,[1]Result_notebook_retravaill!I305)</f>
        <v>4.5239555742639546</v>
      </c>
      <c r="K305" s="3">
        <f>IF([1]Result_notebook_retravaill!I305&gt;[1]Result_notebook_retravaill!G305,0,IF([1]Result_notebook_retravaill!I305+[1]Result_notebook_retravaill!J305&gt;[1]Result_notebook_retravaill!G305,[1]Result_notebook_retravaill!G305-[1]Result_notebook_retravaill!I305,[1]Result_notebook_retravaill!J305))</f>
        <v>3.0343128643986441</v>
      </c>
      <c r="L305" s="3">
        <f>IF([1]Result_notebook_retravaill!I305&gt;[1]Result_notebook_retravaill!G305,0,IF([1]Result_notebook_retravaill!I305+[1]Result_notebook_retravaill!J305&gt;[1]Result_notebook_retravaill!G305,0,[1]Result_notebook_retravaill!M305))</f>
        <v>1256.3575393425194</v>
      </c>
    </row>
    <row r="306" spans="1:12">
      <c r="A306">
        <f>[1]Result_notebook_retravaill!A306</f>
        <v>2028</v>
      </c>
      <c r="B306" t="str">
        <f>[1]Result_notebook_retravaill!B306</f>
        <v>Neodymium</v>
      </c>
      <c r="C306" t="str">
        <f>[1]Result_notebook_retravaill!C306</f>
        <v>Canada Net-zero</v>
      </c>
      <c r="D306" t="str">
        <f>[1]Result_notebook_retravaill!D306</f>
        <v>Production potential</v>
      </c>
      <c r="E306" t="str">
        <f>[1]Result_notebook_retravaill!E306</f>
        <v>100% CAN</v>
      </c>
      <c r="F306" t="str">
        <f>[1]Result_notebook_retravaill!F306</f>
        <v>Integrated</v>
      </c>
      <c r="G306">
        <f>[1]Result_notebook_retravaill!G306</f>
        <v>1263.9158077811819</v>
      </c>
      <c r="H306" s="3">
        <f>IF([1]Result_notebook_retravaill!I306&gt;[1]Result_notebook_retravaill!G306,[1]Result_notebook_retravaill!I306/[1]Result_notebook_retravaill!N306,[1]Result_notebook_retravaill!H306)</f>
        <v>7.5582684386625987</v>
      </c>
      <c r="I306" s="3">
        <f>[1]Result_notebook_retravaill!K306</f>
        <v>2098.9680778633069</v>
      </c>
      <c r="J306" s="3">
        <f>MIN(G306,[1]Result_notebook_retravaill!I306)</f>
        <v>4.5239555742639546</v>
      </c>
      <c r="K306" s="3">
        <f>IF([1]Result_notebook_retravaill!I306&gt;[1]Result_notebook_retravaill!G306,0,IF([1]Result_notebook_retravaill!I306+[1]Result_notebook_retravaill!J306&gt;[1]Result_notebook_retravaill!G306,[1]Result_notebook_retravaill!G306-[1]Result_notebook_retravaill!I306,[1]Result_notebook_retravaill!J306))</f>
        <v>3.0343128643986441</v>
      </c>
      <c r="L306" s="3">
        <f>IF([1]Result_notebook_retravaill!I306&gt;[1]Result_notebook_retravaill!G306,0,IF([1]Result_notebook_retravaill!I306+[1]Result_notebook_retravaill!J306&gt;[1]Result_notebook_retravaill!G306,0,[1]Result_notebook_retravaill!M306))</f>
        <v>1256.3575393425194</v>
      </c>
    </row>
    <row r="307" spans="1:12">
      <c r="A307">
        <f>[1]Result_notebook_retravaill!A307</f>
        <v>2028</v>
      </c>
      <c r="B307" t="str">
        <f>[1]Result_notebook_retravaill!B307</f>
        <v>Neodymium</v>
      </c>
      <c r="C307" t="str">
        <f>[1]Result_notebook_retravaill!C307</f>
        <v>Current Measures</v>
      </c>
      <c r="D307" t="str">
        <f>[1]Result_notebook_retravaill!D307</f>
        <v>Existing production</v>
      </c>
      <c r="E307" t="str">
        <f>[1]Result_notebook_retravaill!E307</f>
        <v>Current shares</v>
      </c>
      <c r="F307" t="str">
        <f>[1]Result_notebook_retravaill!F307</f>
        <v>NIMBY</v>
      </c>
      <c r="G307">
        <f>[1]Result_notebook_retravaill!G307</f>
        <v>617.02318900867328</v>
      </c>
      <c r="H307" s="3">
        <f>IF([1]Result_notebook_retravaill!I307&gt;[1]Result_notebook_retravaill!G307,[1]Result_notebook_retravaill!I307/[1]Result_notebook_retravaill!N307,[1]Result_notebook_retravaill!H307)</f>
        <v>0</v>
      </c>
      <c r="I307" s="3">
        <f>[1]Result_notebook_retravaill!K307</f>
        <v>1028.371981681122</v>
      </c>
      <c r="J307" s="3">
        <f>MIN(G307,[1]Result_notebook_retravaill!I307)</f>
        <v>0</v>
      </c>
      <c r="K307" s="3">
        <f>IF([1]Result_notebook_retravaill!I307&gt;[1]Result_notebook_retravaill!G307,0,IF([1]Result_notebook_retravaill!I307+[1]Result_notebook_retravaill!J307&gt;[1]Result_notebook_retravaill!G307,[1]Result_notebook_retravaill!G307-[1]Result_notebook_retravaill!I307,[1]Result_notebook_retravaill!J307))</f>
        <v>0</v>
      </c>
      <c r="L307" s="3">
        <f>IF([1]Result_notebook_retravaill!I307&gt;[1]Result_notebook_retravaill!G307,0,IF([1]Result_notebook_retravaill!I307+[1]Result_notebook_retravaill!J307&gt;[1]Result_notebook_retravaill!G307,0,[1]Result_notebook_retravaill!M307))</f>
        <v>617.02318900867328</v>
      </c>
    </row>
    <row r="308" spans="1:12">
      <c r="A308">
        <f>[1]Result_notebook_retravaill!A308</f>
        <v>2028</v>
      </c>
      <c r="B308" t="str">
        <f>[1]Result_notebook_retravaill!B308</f>
        <v>Neodymium</v>
      </c>
      <c r="C308" t="str">
        <f>[1]Result_notebook_retravaill!C308</f>
        <v>Current Measures</v>
      </c>
      <c r="D308" t="str">
        <f>[1]Result_notebook_retravaill!D308</f>
        <v>Existing production</v>
      </c>
      <c r="E308" t="str">
        <f>[1]Result_notebook_retravaill!E308</f>
        <v>Current shares</v>
      </c>
      <c r="F308" t="str">
        <f>[1]Result_notebook_retravaill!F308</f>
        <v>Status Quo</v>
      </c>
      <c r="G308">
        <f>[1]Result_notebook_retravaill!G308</f>
        <v>617.02318900867328</v>
      </c>
      <c r="H308" s="3">
        <f>IF([1]Result_notebook_retravaill!I308&gt;[1]Result_notebook_retravaill!G308,[1]Result_notebook_retravaill!I308/[1]Result_notebook_retravaill!N308,[1]Result_notebook_retravaill!H308)</f>
        <v>0</v>
      </c>
      <c r="I308" s="3">
        <f>[1]Result_notebook_retravaill!K308</f>
        <v>1028.371981681122</v>
      </c>
      <c r="J308" s="3">
        <f>MIN(G308,[1]Result_notebook_retravaill!I308)</f>
        <v>0</v>
      </c>
      <c r="K308" s="3">
        <f>IF([1]Result_notebook_retravaill!I308&gt;[1]Result_notebook_retravaill!G308,0,IF([1]Result_notebook_retravaill!I308+[1]Result_notebook_retravaill!J308&gt;[1]Result_notebook_retravaill!G308,[1]Result_notebook_retravaill!G308-[1]Result_notebook_retravaill!I308,[1]Result_notebook_retravaill!J308))</f>
        <v>0</v>
      </c>
      <c r="L308" s="3">
        <f>IF([1]Result_notebook_retravaill!I308&gt;[1]Result_notebook_retravaill!G308,0,IF([1]Result_notebook_retravaill!I308+[1]Result_notebook_retravaill!J308&gt;[1]Result_notebook_retravaill!G308,0,[1]Result_notebook_retravaill!M308))</f>
        <v>617.02318900867328</v>
      </c>
    </row>
    <row r="309" spans="1:12">
      <c r="A309">
        <f>[1]Result_notebook_retravaill!A309</f>
        <v>2028</v>
      </c>
      <c r="B309" t="str">
        <f>[1]Result_notebook_retravaill!B309</f>
        <v>Neodymium</v>
      </c>
      <c r="C309" t="str">
        <f>[1]Result_notebook_retravaill!C309</f>
        <v>Current Measures</v>
      </c>
      <c r="D309" t="str">
        <f>[1]Result_notebook_retravaill!D309</f>
        <v>Production potential</v>
      </c>
      <c r="E309" t="str">
        <f>[1]Result_notebook_retravaill!E309</f>
        <v>Current shares</v>
      </c>
      <c r="F309" t="str">
        <f>[1]Result_notebook_retravaill!F309</f>
        <v>Expansion Extractive</v>
      </c>
      <c r="G309">
        <f>[1]Result_notebook_retravaill!G309</f>
        <v>617.02318900867328</v>
      </c>
      <c r="H309" s="3">
        <f>IF([1]Result_notebook_retravaill!I309&gt;[1]Result_notebook_retravaill!G309,[1]Result_notebook_retravaill!I309/[1]Result_notebook_retravaill!N309,[1]Result_notebook_retravaill!H309)</f>
        <v>7.5582684386625987</v>
      </c>
      <c r="I309" s="3">
        <f>[1]Result_notebook_retravaill!K309</f>
        <v>1020.81371324246</v>
      </c>
      <c r="J309" s="3">
        <f>MIN(G309,[1]Result_notebook_retravaill!I309)</f>
        <v>4.5239555742639546</v>
      </c>
      <c r="K309" s="3">
        <f>IF([1]Result_notebook_retravaill!I309&gt;[1]Result_notebook_retravaill!G309,0,IF([1]Result_notebook_retravaill!I309+[1]Result_notebook_retravaill!J309&gt;[1]Result_notebook_retravaill!G309,[1]Result_notebook_retravaill!G309-[1]Result_notebook_retravaill!I309,[1]Result_notebook_retravaill!J309))</f>
        <v>3.0343128643986441</v>
      </c>
      <c r="L309" s="3">
        <f>IF([1]Result_notebook_retravaill!I309&gt;[1]Result_notebook_retravaill!G309,0,IF([1]Result_notebook_retravaill!I309+[1]Result_notebook_retravaill!J309&gt;[1]Result_notebook_retravaill!G309,0,[1]Result_notebook_retravaill!M309))</f>
        <v>609.46492057001069</v>
      </c>
    </row>
    <row r="310" spans="1:12">
      <c r="A310">
        <f>[1]Result_notebook_retravaill!A310</f>
        <v>2028</v>
      </c>
      <c r="B310" t="str">
        <f>[1]Result_notebook_retravaill!B310</f>
        <v>Neodymium</v>
      </c>
      <c r="C310" t="str">
        <f>[1]Result_notebook_retravaill!C310</f>
        <v>Current Measures</v>
      </c>
      <c r="D310" t="str">
        <f>[1]Result_notebook_retravaill!D310</f>
        <v>Production potential</v>
      </c>
      <c r="E310" t="str">
        <f>[1]Result_notebook_retravaill!E310</f>
        <v>Current shares</v>
      </c>
      <c r="F310" t="str">
        <f>[1]Result_notebook_retravaill!F310</f>
        <v>Expansion Extractive+Circularity</v>
      </c>
      <c r="G310">
        <f>[1]Result_notebook_retravaill!G310</f>
        <v>617.02318900867328</v>
      </c>
      <c r="H310" s="3">
        <f>IF([1]Result_notebook_retravaill!I310&gt;[1]Result_notebook_retravaill!G310,[1]Result_notebook_retravaill!I310/[1]Result_notebook_retravaill!N310,[1]Result_notebook_retravaill!H310)</f>
        <v>7.5582684386625987</v>
      </c>
      <c r="I310" s="3">
        <f>[1]Result_notebook_retravaill!K310</f>
        <v>1020.81371324246</v>
      </c>
      <c r="J310" s="3">
        <f>MIN(G310,[1]Result_notebook_retravaill!I310)</f>
        <v>4.5239555742639546</v>
      </c>
      <c r="K310" s="3">
        <f>IF([1]Result_notebook_retravaill!I310&gt;[1]Result_notebook_retravaill!G310,0,IF([1]Result_notebook_retravaill!I310+[1]Result_notebook_retravaill!J310&gt;[1]Result_notebook_retravaill!G310,[1]Result_notebook_retravaill!G310-[1]Result_notebook_retravaill!I310,[1]Result_notebook_retravaill!J310))</f>
        <v>3.0343128643986441</v>
      </c>
      <c r="L310" s="3">
        <f>IF([1]Result_notebook_retravaill!I310&gt;[1]Result_notebook_retravaill!G310,0,IF([1]Result_notebook_retravaill!I310+[1]Result_notebook_retravaill!J310&gt;[1]Result_notebook_retravaill!G310,0,[1]Result_notebook_retravaill!M310))</f>
        <v>609.46492057001069</v>
      </c>
    </row>
    <row r="311" spans="1:12">
      <c r="A311">
        <f>[1]Result_notebook_retravaill!A311</f>
        <v>2028</v>
      </c>
      <c r="B311" t="str">
        <f>[1]Result_notebook_retravaill!B311</f>
        <v>Neodymium</v>
      </c>
      <c r="C311" t="str">
        <f>[1]Result_notebook_retravaill!C311</f>
        <v>Current Measures</v>
      </c>
      <c r="D311" t="str">
        <f>[1]Result_notebook_retravaill!D311</f>
        <v>Production potential</v>
      </c>
      <c r="E311" t="str">
        <f>[1]Result_notebook_retravaill!E311</f>
        <v>100% CAN</v>
      </c>
      <c r="F311" t="str">
        <f>[1]Result_notebook_retravaill!F311</f>
        <v>Integrated</v>
      </c>
      <c r="G311">
        <f>[1]Result_notebook_retravaill!G311</f>
        <v>617.02318900867328</v>
      </c>
      <c r="H311" s="3">
        <f>IF([1]Result_notebook_retravaill!I311&gt;[1]Result_notebook_retravaill!G311,[1]Result_notebook_retravaill!I311/[1]Result_notebook_retravaill!N311,[1]Result_notebook_retravaill!H311)</f>
        <v>7.5582684386625987</v>
      </c>
      <c r="I311" s="3">
        <f>[1]Result_notebook_retravaill!K311</f>
        <v>1020.81371324246</v>
      </c>
      <c r="J311" s="3">
        <f>MIN(G311,[1]Result_notebook_retravaill!I311)</f>
        <v>4.5239555742639546</v>
      </c>
      <c r="K311" s="3">
        <f>IF([1]Result_notebook_retravaill!I311&gt;[1]Result_notebook_retravaill!G311,0,IF([1]Result_notebook_retravaill!I311+[1]Result_notebook_retravaill!J311&gt;[1]Result_notebook_retravaill!G311,[1]Result_notebook_retravaill!G311-[1]Result_notebook_retravaill!I311,[1]Result_notebook_retravaill!J311))</f>
        <v>3.0343128643986441</v>
      </c>
      <c r="L311" s="3">
        <f>IF([1]Result_notebook_retravaill!I311&gt;[1]Result_notebook_retravaill!G311,0,IF([1]Result_notebook_retravaill!I311+[1]Result_notebook_retravaill!J311&gt;[1]Result_notebook_retravaill!G311,0,[1]Result_notebook_retravaill!M311))</f>
        <v>609.46492057001069</v>
      </c>
    </row>
    <row r="312" spans="1:12">
      <c r="A312">
        <f>[1]Result_notebook_retravaill!A312</f>
        <v>2028</v>
      </c>
      <c r="B312" t="str">
        <f>[1]Result_notebook_retravaill!B312</f>
        <v>Neodymium</v>
      </c>
      <c r="C312" t="str">
        <f>[1]Result_notebook_retravaill!C312</f>
        <v>Global Net-zero</v>
      </c>
      <c r="D312" t="str">
        <f>[1]Result_notebook_retravaill!D312</f>
        <v>Existing production</v>
      </c>
      <c r="E312" t="str">
        <f>[1]Result_notebook_retravaill!E312</f>
        <v>Current shares</v>
      </c>
      <c r="F312" t="str">
        <f>[1]Result_notebook_retravaill!F312</f>
        <v>NIMBY</v>
      </c>
      <c r="G312">
        <f>[1]Result_notebook_retravaill!G312</f>
        <v>1228.637478119615</v>
      </c>
      <c r="H312" s="3">
        <f>IF([1]Result_notebook_retravaill!I312&gt;[1]Result_notebook_retravaill!G312,[1]Result_notebook_retravaill!I312/[1]Result_notebook_retravaill!N312,[1]Result_notebook_retravaill!H312)</f>
        <v>0</v>
      </c>
      <c r="I312" s="3">
        <f>[1]Result_notebook_retravaill!K312</f>
        <v>2047.729130199358</v>
      </c>
      <c r="J312" s="3">
        <f>MIN(G312,[1]Result_notebook_retravaill!I312)</f>
        <v>0</v>
      </c>
      <c r="K312" s="3">
        <f>IF([1]Result_notebook_retravaill!I312&gt;[1]Result_notebook_retravaill!G312,0,IF([1]Result_notebook_retravaill!I312+[1]Result_notebook_retravaill!J312&gt;[1]Result_notebook_retravaill!G312,[1]Result_notebook_retravaill!G312-[1]Result_notebook_retravaill!I312,[1]Result_notebook_retravaill!J312))</f>
        <v>0</v>
      </c>
      <c r="L312" s="3">
        <f>IF([1]Result_notebook_retravaill!I312&gt;[1]Result_notebook_retravaill!G312,0,IF([1]Result_notebook_retravaill!I312+[1]Result_notebook_retravaill!J312&gt;[1]Result_notebook_retravaill!G312,0,[1]Result_notebook_retravaill!M312))</f>
        <v>1228.637478119615</v>
      </c>
    </row>
    <row r="313" spans="1:12">
      <c r="A313">
        <f>[1]Result_notebook_retravaill!A313</f>
        <v>2028</v>
      </c>
      <c r="B313" t="str">
        <f>[1]Result_notebook_retravaill!B313</f>
        <v>Neodymium</v>
      </c>
      <c r="C313" t="str">
        <f>[1]Result_notebook_retravaill!C313</f>
        <v>Global Net-zero</v>
      </c>
      <c r="D313" t="str">
        <f>[1]Result_notebook_retravaill!D313</f>
        <v>Existing production</v>
      </c>
      <c r="E313" t="str">
        <f>[1]Result_notebook_retravaill!E313</f>
        <v>Current shares</v>
      </c>
      <c r="F313" t="str">
        <f>[1]Result_notebook_retravaill!F313</f>
        <v>Status Quo</v>
      </c>
      <c r="G313">
        <f>[1]Result_notebook_retravaill!G313</f>
        <v>1228.637478119615</v>
      </c>
      <c r="H313" s="3">
        <f>IF([1]Result_notebook_retravaill!I313&gt;[1]Result_notebook_retravaill!G313,[1]Result_notebook_retravaill!I313/[1]Result_notebook_retravaill!N313,[1]Result_notebook_retravaill!H313)</f>
        <v>0</v>
      </c>
      <c r="I313" s="3">
        <f>[1]Result_notebook_retravaill!K313</f>
        <v>2047.729130199358</v>
      </c>
      <c r="J313" s="3">
        <f>MIN(G313,[1]Result_notebook_retravaill!I313)</f>
        <v>0</v>
      </c>
      <c r="K313" s="3">
        <f>IF([1]Result_notebook_retravaill!I313&gt;[1]Result_notebook_retravaill!G313,0,IF([1]Result_notebook_retravaill!I313+[1]Result_notebook_retravaill!J313&gt;[1]Result_notebook_retravaill!G313,[1]Result_notebook_retravaill!G313-[1]Result_notebook_retravaill!I313,[1]Result_notebook_retravaill!J313))</f>
        <v>0</v>
      </c>
      <c r="L313" s="3">
        <f>IF([1]Result_notebook_retravaill!I313&gt;[1]Result_notebook_retravaill!G313,0,IF([1]Result_notebook_retravaill!I313+[1]Result_notebook_retravaill!J313&gt;[1]Result_notebook_retravaill!G313,0,[1]Result_notebook_retravaill!M313))</f>
        <v>1228.637478119615</v>
      </c>
    </row>
    <row r="314" spans="1:12">
      <c r="A314">
        <f>[1]Result_notebook_retravaill!A314</f>
        <v>2028</v>
      </c>
      <c r="B314" t="str">
        <f>[1]Result_notebook_retravaill!B314</f>
        <v>Neodymium</v>
      </c>
      <c r="C314" t="str">
        <f>[1]Result_notebook_retravaill!C314</f>
        <v>Global Net-zero</v>
      </c>
      <c r="D314" t="str">
        <f>[1]Result_notebook_retravaill!D314</f>
        <v>Production potential</v>
      </c>
      <c r="E314" t="str">
        <f>[1]Result_notebook_retravaill!E314</f>
        <v>Current shares</v>
      </c>
      <c r="F314" t="str">
        <f>[1]Result_notebook_retravaill!F314</f>
        <v>Expansion Extractive</v>
      </c>
      <c r="G314">
        <f>[1]Result_notebook_retravaill!G314</f>
        <v>1228.637478119615</v>
      </c>
      <c r="H314" s="3">
        <f>IF([1]Result_notebook_retravaill!I314&gt;[1]Result_notebook_retravaill!G314,[1]Result_notebook_retravaill!I314/[1]Result_notebook_retravaill!N314,[1]Result_notebook_retravaill!H314)</f>
        <v>7.5582684386625987</v>
      </c>
      <c r="I314" s="3">
        <f>[1]Result_notebook_retravaill!K314</f>
        <v>2040.170861760696</v>
      </c>
      <c r="J314" s="3">
        <f>MIN(G314,[1]Result_notebook_retravaill!I314)</f>
        <v>4.5239555742639546</v>
      </c>
      <c r="K314" s="3">
        <f>IF([1]Result_notebook_retravaill!I314&gt;[1]Result_notebook_retravaill!G314,0,IF([1]Result_notebook_retravaill!I314+[1]Result_notebook_retravaill!J314&gt;[1]Result_notebook_retravaill!G314,[1]Result_notebook_retravaill!G314-[1]Result_notebook_retravaill!I314,[1]Result_notebook_retravaill!J314))</f>
        <v>3.0343128643986441</v>
      </c>
      <c r="L314" s="3">
        <f>IF([1]Result_notebook_retravaill!I314&gt;[1]Result_notebook_retravaill!G314,0,IF([1]Result_notebook_retravaill!I314+[1]Result_notebook_retravaill!J314&gt;[1]Result_notebook_retravaill!G314,0,[1]Result_notebook_retravaill!M314))</f>
        <v>1221.0792096809525</v>
      </c>
    </row>
    <row r="315" spans="1:12">
      <c r="A315">
        <f>[1]Result_notebook_retravaill!A315</f>
        <v>2028</v>
      </c>
      <c r="B315" t="str">
        <f>[1]Result_notebook_retravaill!B315</f>
        <v>Neodymium</v>
      </c>
      <c r="C315" t="str">
        <f>[1]Result_notebook_retravaill!C315</f>
        <v>Global Net-zero</v>
      </c>
      <c r="D315" t="str">
        <f>[1]Result_notebook_retravaill!D315</f>
        <v>Production potential</v>
      </c>
      <c r="E315" t="str">
        <f>[1]Result_notebook_retravaill!E315</f>
        <v>Current shares</v>
      </c>
      <c r="F315" t="str">
        <f>[1]Result_notebook_retravaill!F315</f>
        <v>Expansion Extractive+Circularity</v>
      </c>
      <c r="G315">
        <f>[1]Result_notebook_retravaill!G315</f>
        <v>1228.637478119615</v>
      </c>
      <c r="H315" s="3">
        <f>IF([1]Result_notebook_retravaill!I315&gt;[1]Result_notebook_retravaill!G315,[1]Result_notebook_retravaill!I315/[1]Result_notebook_retravaill!N315,[1]Result_notebook_retravaill!H315)</f>
        <v>7.5582684386625987</v>
      </c>
      <c r="I315" s="3">
        <f>[1]Result_notebook_retravaill!K315</f>
        <v>2040.170861760696</v>
      </c>
      <c r="J315" s="3">
        <f>MIN(G315,[1]Result_notebook_retravaill!I315)</f>
        <v>4.5239555742639546</v>
      </c>
      <c r="K315" s="3">
        <f>IF([1]Result_notebook_retravaill!I315&gt;[1]Result_notebook_retravaill!G315,0,IF([1]Result_notebook_retravaill!I315+[1]Result_notebook_retravaill!J315&gt;[1]Result_notebook_retravaill!G315,[1]Result_notebook_retravaill!G315-[1]Result_notebook_retravaill!I315,[1]Result_notebook_retravaill!J315))</f>
        <v>3.0343128643986441</v>
      </c>
      <c r="L315" s="3">
        <f>IF([1]Result_notebook_retravaill!I315&gt;[1]Result_notebook_retravaill!G315,0,IF([1]Result_notebook_retravaill!I315+[1]Result_notebook_retravaill!J315&gt;[1]Result_notebook_retravaill!G315,0,[1]Result_notebook_retravaill!M315))</f>
        <v>1221.0792096809525</v>
      </c>
    </row>
    <row r="316" spans="1:12">
      <c r="A316">
        <f>[1]Result_notebook_retravaill!A316</f>
        <v>2028</v>
      </c>
      <c r="B316" t="str">
        <f>[1]Result_notebook_retravaill!B316</f>
        <v>Neodymium</v>
      </c>
      <c r="C316" t="str">
        <f>[1]Result_notebook_retravaill!C316</f>
        <v>Global Net-zero</v>
      </c>
      <c r="D316" t="str">
        <f>[1]Result_notebook_retravaill!D316</f>
        <v>Production potential</v>
      </c>
      <c r="E316" t="str">
        <f>[1]Result_notebook_retravaill!E316</f>
        <v>100% CAN</v>
      </c>
      <c r="F316" t="str">
        <f>[1]Result_notebook_retravaill!F316</f>
        <v>Integrated</v>
      </c>
      <c r="G316">
        <f>[1]Result_notebook_retravaill!G316</f>
        <v>1228.637478119615</v>
      </c>
      <c r="H316" s="3">
        <f>IF([1]Result_notebook_retravaill!I316&gt;[1]Result_notebook_retravaill!G316,[1]Result_notebook_retravaill!I316/[1]Result_notebook_retravaill!N316,[1]Result_notebook_retravaill!H316)</f>
        <v>7.5582684386625987</v>
      </c>
      <c r="I316" s="3">
        <f>[1]Result_notebook_retravaill!K316</f>
        <v>2040.170861760696</v>
      </c>
      <c r="J316" s="3">
        <f>MIN(G316,[1]Result_notebook_retravaill!I316)</f>
        <v>4.5239555742639546</v>
      </c>
      <c r="K316" s="3">
        <f>IF([1]Result_notebook_retravaill!I316&gt;[1]Result_notebook_retravaill!G316,0,IF([1]Result_notebook_retravaill!I316+[1]Result_notebook_retravaill!J316&gt;[1]Result_notebook_retravaill!G316,[1]Result_notebook_retravaill!G316-[1]Result_notebook_retravaill!I316,[1]Result_notebook_retravaill!J316))</f>
        <v>3.0343128643986441</v>
      </c>
      <c r="L316" s="3">
        <f>IF([1]Result_notebook_retravaill!I316&gt;[1]Result_notebook_retravaill!G316,0,IF([1]Result_notebook_retravaill!I316+[1]Result_notebook_retravaill!J316&gt;[1]Result_notebook_retravaill!G316,0,[1]Result_notebook_retravaill!M316))</f>
        <v>1221.0792096809525</v>
      </c>
    </row>
    <row r="317" spans="1:12">
      <c r="A317">
        <f>[1]Result_notebook_retravaill!A317</f>
        <v>2028</v>
      </c>
      <c r="B317" t="str">
        <f>[1]Result_notebook_retravaill!B317</f>
        <v>Nickel</v>
      </c>
      <c r="C317" t="str">
        <f>[1]Result_notebook_retravaill!C317</f>
        <v>Canada Net-zero</v>
      </c>
      <c r="D317" t="str">
        <f>[1]Result_notebook_retravaill!D317</f>
        <v>Existing production</v>
      </c>
      <c r="E317" t="str">
        <f>[1]Result_notebook_retravaill!E317</f>
        <v>Current shares</v>
      </c>
      <c r="F317" t="str">
        <f>[1]Result_notebook_retravaill!F317</f>
        <v>NIMBY</v>
      </c>
      <c r="G317">
        <f>[1]Result_notebook_retravaill!G317</f>
        <v>51389.307268411161</v>
      </c>
      <c r="H317" s="3">
        <f>IF([1]Result_notebook_retravaill!I317&gt;[1]Result_notebook_retravaill!G317,[1]Result_notebook_retravaill!I317/[1]Result_notebook_retravaill!N317,[1]Result_notebook_retravaill!H317)</f>
        <v>0</v>
      </c>
      <c r="I317" s="3">
        <f>[1]Result_notebook_retravaill!K317</f>
        <v>65049.756035963503</v>
      </c>
      <c r="J317" s="3">
        <f>MIN(G317,[1]Result_notebook_retravaill!I317)</f>
        <v>0</v>
      </c>
      <c r="K317" s="3">
        <f>IF([1]Result_notebook_retravaill!I317&gt;[1]Result_notebook_retravaill!G317,0,IF([1]Result_notebook_retravaill!I317+[1]Result_notebook_retravaill!J317&gt;[1]Result_notebook_retravaill!G317,[1]Result_notebook_retravaill!G317-[1]Result_notebook_retravaill!I317,[1]Result_notebook_retravaill!J317))</f>
        <v>0</v>
      </c>
      <c r="L317" s="3">
        <f>IF([1]Result_notebook_retravaill!I317&gt;[1]Result_notebook_retravaill!G317,0,IF([1]Result_notebook_retravaill!I317+[1]Result_notebook_retravaill!J317&gt;[1]Result_notebook_retravaill!G317,0,[1]Result_notebook_retravaill!M317))</f>
        <v>51389.307268411161</v>
      </c>
    </row>
    <row r="318" spans="1:12">
      <c r="A318">
        <f>[1]Result_notebook_retravaill!A318</f>
        <v>2028</v>
      </c>
      <c r="B318" t="str">
        <f>[1]Result_notebook_retravaill!B318</f>
        <v>Nickel</v>
      </c>
      <c r="C318" t="str">
        <f>[1]Result_notebook_retravaill!C318</f>
        <v>Canada Net-zero</v>
      </c>
      <c r="D318" t="str">
        <f>[1]Result_notebook_retravaill!D318</f>
        <v>Existing production</v>
      </c>
      <c r="E318" t="str">
        <f>[1]Result_notebook_retravaill!E318</f>
        <v>Current shares</v>
      </c>
      <c r="F318" t="str">
        <f>[1]Result_notebook_retravaill!F318</f>
        <v>Status Quo</v>
      </c>
      <c r="G318">
        <f>[1]Result_notebook_retravaill!G318</f>
        <v>51389.307268411161</v>
      </c>
      <c r="H318" s="3">
        <f>IF([1]Result_notebook_retravaill!I318&gt;[1]Result_notebook_retravaill!G318,[1]Result_notebook_retravaill!I318/[1]Result_notebook_retravaill!N318,[1]Result_notebook_retravaill!H318)</f>
        <v>124152.89627975527</v>
      </c>
      <c r="I318" s="3">
        <f>[1]Result_notebook_retravaill!K318</f>
        <v>0</v>
      </c>
      <c r="J318" s="3">
        <f>MIN(G318,[1]Result_notebook_retravaill!I318)</f>
        <v>51389.307268411161</v>
      </c>
      <c r="K318" s="3">
        <f>IF([1]Result_notebook_retravaill!I318&gt;[1]Result_notebook_retravaill!G318,0,IF([1]Result_notebook_retravaill!I318+[1]Result_notebook_retravaill!J318&gt;[1]Result_notebook_retravaill!G318,[1]Result_notebook_retravaill!G318-[1]Result_notebook_retravaill!I318,[1]Result_notebook_retravaill!J318))</f>
        <v>0</v>
      </c>
      <c r="L318" s="3">
        <f>IF([1]Result_notebook_retravaill!I318&gt;[1]Result_notebook_retravaill!G318,0,IF([1]Result_notebook_retravaill!I318+[1]Result_notebook_retravaill!J318&gt;[1]Result_notebook_retravaill!G318,0,[1]Result_notebook_retravaill!M318))</f>
        <v>0</v>
      </c>
    </row>
    <row r="319" spans="1:12">
      <c r="A319">
        <f>[1]Result_notebook_retravaill!A319</f>
        <v>2028</v>
      </c>
      <c r="B319" t="str">
        <f>[1]Result_notebook_retravaill!B319</f>
        <v>Nickel</v>
      </c>
      <c r="C319" t="str">
        <f>[1]Result_notebook_retravaill!C319</f>
        <v>Canada Net-zero</v>
      </c>
      <c r="D319" t="str">
        <f>[1]Result_notebook_retravaill!D319</f>
        <v>Production potential</v>
      </c>
      <c r="E319" t="str">
        <f>[1]Result_notebook_retravaill!E319</f>
        <v>Current shares</v>
      </c>
      <c r="F319" t="str">
        <f>[1]Result_notebook_retravaill!F319</f>
        <v>Expansion Extractive</v>
      </c>
      <c r="G319">
        <f>[1]Result_notebook_retravaill!G319</f>
        <v>51389.307268411161</v>
      </c>
      <c r="H319" s="3">
        <f>IF([1]Result_notebook_retravaill!I319&gt;[1]Result_notebook_retravaill!G319,[1]Result_notebook_retravaill!I319/[1]Result_notebook_retravaill!N319,[1]Result_notebook_retravaill!H319)</f>
        <v>168501.35305932749</v>
      </c>
      <c r="I319" s="3">
        <f>[1]Result_notebook_retravaill!K319</f>
        <v>0</v>
      </c>
      <c r="J319" s="3">
        <f>MIN(G319,[1]Result_notebook_retravaill!I319)</f>
        <v>51389.307268411161</v>
      </c>
      <c r="K319" s="3">
        <f>IF([1]Result_notebook_retravaill!I319&gt;[1]Result_notebook_retravaill!G319,0,IF([1]Result_notebook_retravaill!I319+[1]Result_notebook_retravaill!J319&gt;[1]Result_notebook_retravaill!G319,[1]Result_notebook_retravaill!G319-[1]Result_notebook_retravaill!I319,[1]Result_notebook_retravaill!J319))</f>
        <v>0</v>
      </c>
      <c r="L319" s="3">
        <f>IF([1]Result_notebook_retravaill!I319&gt;[1]Result_notebook_retravaill!G319,0,IF([1]Result_notebook_retravaill!I319+[1]Result_notebook_retravaill!J319&gt;[1]Result_notebook_retravaill!G319,0,[1]Result_notebook_retravaill!M319))</f>
        <v>0</v>
      </c>
    </row>
    <row r="320" spans="1:12">
      <c r="A320">
        <f>[1]Result_notebook_retravaill!A320</f>
        <v>2028</v>
      </c>
      <c r="B320" t="str">
        <f>[1]Result_notebook_retravaill!B320</f>
        <v>Nickel</v>
      </c>
      <c r="C320" t="str">
        <f>[1]Result_notebook_retravaill!C320</f>
        <v>Canada Net-zero</v>
      </c>
      <c r="D320" t="str">
        <f>[1]Result_notebook_retravaill!D320</f>
        <v>Production potential</v>
      </c>
      <c r="E320" t="str">
        <f>[1]Result_notebook_retravaill!E320</f>
        <v>Current shares</v>
      </c>
      <c r="F320" t="str">
        <f>[1]Result_notebook_retravaill!F320</f>
        <v>Expansion Extractive+Circularity</v>
      </c>
      <c r="G320">
        <f>[1]Result_notebook_retravaill!G320</f>
        <v>51389.307268411161</v>
      </c>
      <c r="H320" s="3">
        <f>IF([1]Result_notebook_retravaill!I320&gt;[1]Result_notebook_retravaill!G320,[1]Result_notebook_retravaill!I320/[1]Result_notebook_retravaill!N320,[1]Result_notebook_retravaill!H320)</f>
        <v>168501.35305932749</v>
      </c>
      <c r="I320" s="3">
        <f>[1]Result_notebook_retravaill!K320</f>
        <v>0</v>
      </c>
      <c r="J320" s="3">
        <f>MIN(G320,[1]Result_notebook_retravaill!I320)</f>
        <v>51389.307268411161</v>
      </c>
      <c r="K320" s="3">
        <f>IF([1]Result_notebook_retravaill!I320&gt;[1]Result_notebook_retravaill!G320,0,IF([1]Result_notebook_retravaill!I320+[1]Result_notebook_retravaill!J320&gt;[1]Result_notebook_retravaill!G320,[1]Result_notebook_retravaill!G320-[1]Result_notebook_retravaill!I320,[1]Result_notebook_retravaill!J320))</f>
        <v>0</v>
      </c>
      <c r="L320" s="3">
        <f>IF([1]Result_notebook_retravaill!I320&gt;[1]Result_notebook_retravaill!G320,0,IF([1]Result_notebook_retravaill!I320+[1]Result_notebook_retravaill!J320&gt;[1]Result_notebook_retravaill!G320,0,[1]Result_notebook_retravaill!M320))</f>
        <v>0</v>
      </c>
    </row>
    <row r="321" spans="1:12">
      <c r="A321">
        <f>[1]Result_notebook_retravaill!A321</f>
        <v>2028</v>
      </c>
      <c r="B321" t="str">
        <f>[1]Result_notebook_retravaill!B321</f>
        <v>Nickel</v>
      </c>
      <c r="C321" t="str">
        <f>[1]Result_notebook_retravaill!C321</f>
        <v>Canada Net-zero</v>
      </c>
      <c r="D321" t="str">
        <f>[1]Result_notebook_retravaill!D321</f>
        <v>Production potential</v>
      </c>
      <c r="E321" t="str">
        <f>[1]Result_notebook_retravaill!E321</f>
        <v>100% CAN</v>
      </c>
      <c r="F321" t="str">
        <f>[1]Result_notebook_retravaill!F321</f>
        <v>Integrated</v>
      </c>
      <c r="G321">
        <f>[1]Result_notebook_retravaill!G321</f>
        <v>51389.307268411161</v>
      </c>
      <c r="H321" s="3">
        <f>IF([1]Result_notebook_retravaill!I321&gt;[1]Result_notebook_retravaill!G321,[1]Result_notebook_retravaill!I321/[1]Result_notebook_retravaill!N321,[1]Result_notebook_retravaill!H321)</f>
        <v>236599.75829395899</v>
      </c>
      <c r="I321" s="3">
        <f>[1]Result_notebook_retravaill!K321</f>
        <v>0</v>
      </c>
      <c r="J321" s="3">
        <f>MIN(G321,[1]Result_notebook_retravaill!I321)</f>
        <v>51389.307268411161</v>
      </c>
      <c r="K321" s="3">
        <f>IF([1]Result_notebook_retravaill!I321&gt;[1]Result_notebook_retravaill!G321,0,IF([1]Result_notebook_retravaill!I321+[1]Result_notebook_retravaill!J321&gt;[1]Result_notebook_retravaill!G321,[1]Result_notebook_retravaill!G321-[1]Result_notebook_retravaill!I321,[1]Result_notebook_retravaill!J321))</f>
        <v>0</v>
      </c>
      <c r="L321" s="3">
        <f>IF([1]Result_notebook_retravaill!I321&gt;[1]Result_notebook_retravaill!G321,0,IF([1]Result_notebook_retravaill!I321+[1]Result_notebook_retravaill!J321&gt;[1]Result_notebook_retravaill!G321,0,[1]Result_notebook_retravaill!M321))</f>
        <v>0</v>
      </c>
    </row>
    <row r="322" spans="1:12">
      <c r="A322">
        <f>[1]Result_notebook_retravaill!A322</f>
        <v>2028</v>
      </c>
      <c r="B322" t="str">
        <f>[1]Result_notebook_retravaill!B322</f>
        <v>Nickel</v>
      </c>
      <c r="C322" t="str">
        <f>[1]Result_notebook_retravaill!C322</f>
        <v>Current Measures</v>
      </c>
      <c r="D322" t="str">
        <f>[1]Result_notebook_retravaill!D322</f>
        <v>Existing production</v>
      </c>
      <c r="E322" t="str">
        <f>[1]Result_notebook_retravaill!E322</f>
        <v>Current shares</v>
      </c>
      <c r="F322" t="str">
        <f>[1]Result_notebook_retravaill!F322</f>
        <v>NIMBY</v>
      </c>
      <c r="G322">
        <f>[1]Result_notebook_retravaill!G322</f>
        <v>32884.415205425117</v>
      </c>
      <c r="H322" s="3">
        <f>IF([1]Result_notebook_retravaill!I322&gt;[1]Result_notebook_retravaill!G322,[1]Result_notebook_retravaill!I322/[1]Result_notebook_retravaill!N322,[1]Result_notebook_retravaill!H322)</f>
        <v>0</v>
      </c>
      <c r="I322" s="3">
        <f>[1]Result_notebook_retravaill!K322</f>
        <v>41625.842032183689</v>
      </c>
      <c r="J322" s="3">
        <f>MIN(G322,[1]Result_notebook_retravaill!I322)</f>
        <v>0</v>
      </c>
      <c r="K322" s="3">
        <f>IF([1]Result_notebook_retravaill!I322&gt;[1]Result_notebook_retravaill!G322,0,IF([1]Result_notebook_retravaill!I322+[1]Result_notebook_retravaill!J322&gt;[1]Result_notebook_retravaill!G322,[1]Result_notebook_retravaill!G322-[1]Result_notebook_retravaill!I322,[1]Result_notebook_retravaill!J322))</f>
        <v>0</v>
      </c>
      <c r="L322" s="3">
        <f>IF([1]Result_notebook_retravaill!I322&gt;[1]Result_notebook_retravaill!G322,0,IF([1]Result_notebook_retravaill!I322+[1]Result_notebook_retravaill!J322&gt;[1]Result_notebook_retravaill!G322,0,[1]Result_notebook_retravaill!M322))</f>
        <v>32884.415205425117</v>
      </c>
    </row>
    <row r="323" spans="1:12">
      <c r="A323">
        <f>[1]Result_notebook_retravaill!A323</f>
        <v>2028</v>
      </c>
      <c r="B323" t="str">
        <f>[1]Result_notebook_retravaill!B323</f>
        <v>Nickel</v>
      </c>
      <c r="C323" t="str">
        <f>[1]Result_notebook_retravaill!C323</f>
        <v>Current Measures</v>
      </c>
      <c r="D323" t="str">
        <f>[1]Result_notebook_retravaill!D323</f>
        <v>Existing production</v>
      </c>
      <c r="E323" t="str">
        <f>[1]Result_notebook_retravaill!E323</f>
        <v>Current shares</v>
      </c>
      <c r="F323" t="str">
        <f>[1]Result_notebook_retravaill!F323</f>
        <v>Status Quo</v>
      </c>
      <c r="G323">
        <f>[1]Result_notebook_retravaill!G323</f>
        <v>32884.415205425117</v>
      </c>
      <c r="H323" s="3">
        <f>IF([1]Result_notebook_retravaill!I323&gt;[1]Result_notebook_retravaill!G323,[1]Result_notebook_retravaill!I323/[1]Result_notebook_retravaill!N323,[1]Result_notebook_retravaill!H323)</f>
        <v>124152.89627975527</v>
      </c>
      <c r="I323" s="3">
        <f>[1]Result_notebook_retravaill!K323</f>
        <v>0</v>
      </c>
      <c r="J323" s="3">
        <f>MIN(G323,[1]Result_notebook_retravaill!I323)</f>
        <v>32884.415205425117</v>
      </c>
      <c r="K323" s="3">
        <f>IF([1]Result_notebook_retravaill!I323&gt;[1]Result_notebook_retravaill!G323,0,IF([1]Result_notebook_retravaill!I323+[1]Result_notebook_retravaill!J323&gt;[1]Result_notebook_retravaill!G323,[1]Result_notebook_retravaill!G323-[1]Result_notebook_retravaill!I323,[1]Result_notebook_retravaill!J323))</f>
        <v>0</v>
      </c>
      <c r="L323" s="3">
        <f>IF([1]Result_notebook_retravaill!I323&gt;[1]Result_notebook_retravaill!G323,0,IF([1]Result_notebook_retravaill!I323+[1]Result_notebook_retravaill!J323&gt;[1]Result_notebook_retravaill!G323,0,[1]Result_notebook_retravaill!M323))</f>
        <v>0</v>
      </c>
    </row>
    <row r="324" spans="1:12">
      <c r="A324">
        <f>[1]Result_notebook_retravaill!A324</f>
        <v>2028</v>
      </c>
      <c r="B324" t="str">
        <f>[1]Result_notebook_retravaill!B324</f>
        <v>Nickel</v>
      </c>
      <c r="C324" t="str">
        <f>[1]Result_notebook_retravaill!C324</f>
        <v>Current Measures</v>
      </c>
      <c r="D324" t="str">
        <f>[1]Result_notebook_retravaill!D324</f>
        <v>Production potential</v>
      </c>
      <c r="E324" t="str">
        <f>[1]Result_notebook_retravaill!E324</f>
        <v>Current shares</v>
      </c>
      <c r="F324" t="str">
        <f>[1]Result_notebook_retravaill!F324</f>
        <v>Expansion Extractive</v>
      </c>
      <c r="G324">
        <f>[1]Result_notebook_retravaill!G324</f>
        <v>32884.415205425117</v>
      </c>
      <c r="H324" s="3">
        <f>IF([1]Result_notebook_retravaill!I324&gt;[1]Result_notebook_retravaill!G324,[1]Result_notebook_retravaill!I324/[1]Result_notebook_retravaill!N324,[1]Result_notebook_retravaill!H324)</f>
        <v>168501.35305932749</v>
      </c>
      <c r="I324" s="3">
        <f>[1]Result_notebook_retravaill!K324</f>
        <v>0</v>
      </c>
      <c r="J324" s="3">
        <f>MIN(G324,[1]Result_notebook_retravaill!I324)</f>
        <v>32884.415205425117</v>
      </c>
      <c r="K324" s="3">
        <f>IF([1]Result_notebook_retravaill!I324&gt;[1]Result_notebook_retravaill!G324,0,IF([1]Result_notebook_retravaill!I324+[1]Result_notebook_retravaill!J324&gt;[1]Result_notebook_retravaill!G324,[1]Result_notebook_retravaill!G324-[1]Result_notebook_retravaill!I324,[1]Result_notebook_retravaill!J324))</f>
        <v>0</v>
      </c>
      <c r="L324" s="3">
        <f>IF([1]Result_notebook_retravaill!I324&gt;[1]Result_notebook_retravaill!G324,0,IF([1]Result_notebook_retravaill!I324+[1]Result_notebook_retravaill!J324&gt;[1]Result_notebook_retravaill!G324,0,[1]Result_notebook_retravaill!M324))</f>
        <v>0</v>
      </c>
    </row>
    <row r="325" spans="1:12">
      <c r="A325">
        <f>[1]Result_notebook_retravaill!A325</f>
        <v>2028</v>
      </c>
      <c r="B325" t="str">
        <f>[1]Result_notebook_retravaill!B325</f>
        <v>Nickel</v>
      </c>
      <c r="C325" t="str">
        <f>[1]Result_notebook_retravaill!C325</f>
        <v>Current Measures</v>
      </c>
      <c r="D325" t="str">
        <f>[1]Result_notebook_retravaill!D325</f>
        <v>Production potential</v>
      </c>
      <c r="E325" t="str">
        <f>[1]Result_notebook_retravaill!E325</f>
        <v>Current shares</v>
      </c>
      <c r="F325" t="str">
        <f>[1]Result_notebook_retravaill!F325</f>
        <v>Expansion Extractive+Circularity</v>
      </c>
      <c r="G325">
        <f>[1]Result_notebook_retravaill!G325</f>
        <v>32884.415205425117</v>
      </c>
      <c r="H325" s="3">
        <f>IF([1]Result_notebook_retravaill!I325&gt;[1]Result_notebook_retravaill!G325,[1]Result_notebook_retravaill!I325/[1]Result_notebook_retravaill!N325,[1]Result_notebook_retravaill!H325)</f>
        <v>168501.35305932749</v>
      </c>
      <c r="I325" s="3">
        <f>[1]Result_notebook_retravaill!K325</f>
        <v>0</v>
      </c>
      <c r="J325" s="3">
        <f>MIN(G325,[1]Result_notebook_retravaill!I325)</f>
        <v>32884.415205425117</v>
      </c>
      <c r="K325" s="3">
        <f>IF([1]Result_notebook_retravaill!I325&gt;[1]Result_notebook_retravaill!G325,0,IF([1]Result_notebook_retravaill!I325+[1]Result_notebook_retravaill!J325&gt;[1]Result_notebook_retravaill!G325,[1]Result_notebook_retravaill!G325-[1]Result_notebook_retravaill!I325,[1]Result_notebook_retravaill!J325))</f>
        <v>0</v>
      </c>
      <c r="L325" s="3">
        <f>IF([1]Result_notebook_retravaill!I325&gt;[1]Result_notebook_retravaill!G325,0,IF([1]Result_notebook_retravaill!I325+[1]Result_notebook_retravaill!J325&gt;[1]Result_notebook_retravaill!G325,0,[1]Result_notebook_retravaill!M325))</f>
        <v>0</v>
      </c>
    </row>
    <row r="326" spans="1:12">
      <c r="A326">
        <f>[1]Result_notebook_retravaill!A326</f>
        <v>2028</v>
      </c>
      <c r="B326" t="str">
        <f>[1]Result_notebook_retravaill!B326</f>
        <v>Nickel</v>
      </c>
      <c r="C326" t="str">
        <f>[1]Result_notebook_retravaill!C326</f>
        <v>Current Measures</v>
      </c>
      <c r="D326" t="str">
        <f>[1]Result_notebook_retravaill!D326</f>
        <v>Production potential</v>
      </c>
      <c r="E326" t="str">
        <f>[1]Result_notebook_retravaill!E326</f>
        <v>100% CAN</v>
      </c>
      <c r="F326" t="str">
        <f>[1]Result_notebook_retravaill!F326</f>
        <v>Integrated</v>
      </c>
      <c r="G326">
        <f>[1]Result_notebook_retravaill!G326</f>
        <v>32884.415205425117</v>
      </c>
      <c r="H326" s="3">
        <f>IF([1]Result_notebook_retravaill!I326&gt;[1]Result_notebook_retravaill!G326,[1]Result_notebook_retravaill!I326/[1]Result_notebook_retravaill!N326,[1]Result_notebook_retravaill!H326)</f>
        <v>236599.75829395899</v>
      </c>
      <c r="I326" s="3">
        <f>[1]Result_notebook_retravaill!K326</f>
        <v>0</v>
      </c>
      <c r="J326" s="3">
        <f>MIN(G326,[1]Result_notebook_retravaill!I326)</f>
        <v>32884.415205425117</v>
      </c>
      <c r="K326" s="3">
        <f>IF([1]Result_notebook_retravaill!I326&gt;[1]Result_notebook_retravaill!G326,0,IF([1]Result_notebook_retravaill!I326+[1]Result_notebook_retravaill!J326&gt;[1]Result_notebook_retravaill!G326,[1]Result_notebook_retravaill!G326-[1]Result_notebook_retravaill!I326,[1]Result_notebook_retravaill!J326))</f>
        <v>0</v>
      </c>
      <c r="L326" s="3">
        <f>IF([1]Result_notebook_retravaill!I326&gt;[1]Result_notebook_retravaill!G326,0,IF([1]Result_notebook_retravaill!I326+[1]Result_notebook_retravaill!J326&gt;[1]Result_notebook_retravaill!G326,0,[1]Result_notebook_retravaill!M326))</f>
        <v>0</v>
      </c>
    </row>
    <row r="327" spans="1:12">
      <c r="A327">
        <f>[1]Result_notebook_retravaill!A327</f>
        <v>2028</v>
      </c>
      <c r="B327" t="str">
        <f>[1]Result_notebook_retravaill!B327</f>
        <v>Nickel</v>
      </c>
      <c r="C327" t="str">
        <f>[1]Result_notebook_retravaill!C327</f>
        <v>Global Net-zero</v>
      </c>
      <c r="D327" t="str">
        <f>[1]Result_notebook_retravaill!D327</f>
        <v>Existing production</v>
      </c>
      <c r="E327" t="str">
        <f>[1]Result_notebook_retravaill!E327</f>
        <v>Current shares</v>
      </c>
      <c r="F327" t="str">
        <f>[1]Result_notebook_retravaill!F327</f>
        <v>NIMBY</v>
      </c>
      <c r="G327">
        <f>[1]Result_notebook_retravaill!G327</f>
        <v>49184.449113354851</v>
      </c>
      <c r="H327" s="3">
        <f>IF([1]Result_notebook_retravaill!I327&gt;[1]Result_notebook_retravaill!G327,[1]Result_notebook_retravaill!I327/[1]Result_notebook_retravaill!N327,[1]Result_notebook_retravaill!H327)</f>
        <v>0</v>
      </c>
      <c r="I327" s="3">
        <f>[1]Result_notebook_retravaill!K327</f>
        <v>62258.796346018797</v>
      </c>
      <c r="J327" s="3">
        <f>MIN(G327,[1]Result_notebook_retravaill!I327)</f>
        <v>0</v>
      </c>
      <c r="K327" s="3">
        <f>IF([1]Result_notebook_retravaill!I327&gt;[1]Result_notebook_retravaill!G327,0,IF([1]Result_notebook_retravaill!I327+[1]Result_notebook_retravaill!J327&gt;[1]Result_notebook_retravaill!G327,[1]Result_notebook_retravaill!G327-[1]Result_notebook_retravaill!I327,[1]Result_notebook_retravaill!J327))</f>
        <v>0</v>
      </c>
      <c r="L327" s="3">
        <f>IF([1]Result_notebook_retravaill!I327&gt;[1]Result_notebook_retravaill!G327,0,IF([1]Result_notebook_retravaill!I327+[1]Result_notebook_retravaill!J327&gt;[1]Result_notebook_retravaill!G327,0,[1]Result_notebook_retravaill!M327))</f>
        <v>49184.449113354851</v>
      </c>
    </row>
    <row r="328" spans="1:12">
      <c r="A328">
        <f>[1]Result_notebook_retravaill!A328</f>
        <v>2028</v>
      </c>
      <c r="B328" t="str">
        <f>[1]Result_notebook_retravaill!B328</f>
        <v>Nickel</v>
      </c>
      <c r="C328" t="str">
        <f>[1]Result_notebook_retravaill!C328</f>
        <v>Global Net-zero</v>
      </c>
      <c r="D328" t="str">
        <f>[1]Result_notebook_retravaill!D328</f>
        <v>Existing production</v>
      </c>
      <c r="E328" t="str">
        <f>[1]Result_notebook_retravaill!E328</f>
        <v>Current shares</v>
      </c>
      <c r="F328" t="str">
        <f>[1]Result_notebook_retravaill!F328</f>
        <v>Status Quo</v>
      </c>
      <c r="G328">
        <f>[1]Result_notebook_retravaill!G328</f>
        <v>49184.449113354851</v>
      </c>
      <c r="H328" s="3">
        <f>IF([1]Result_notebook_retravaill!I328&gt;[1]Result_notebook_retravaill!G328,[1]Result_notebook_retravaill!I328/[1]Result_notebook_retravaill!N328,[1]Result_notebook_retravaill!H328)</f>
        <v>124152.89627975527</v>
      </c>
      <c r="I328" s="3">
        <f>[1]Result_notebook_retravaill!K328</f>
        <v>0</v>
      </c>
      <c r="J328" s="3">
        <f>MIN(G328,[1]Result_notebook_retravaill!I328)</f>
        <v>49184.449113354851</v>
      </c>
      <c r="K328" s="3">
        <f>IF([1]Result_notebook_retravaill!I328&gt;[1]Result_notebook_retravaill!G328,0,IF([1]Result_notebook_retravaill!I328+[1]Result_notebook_retravaill!J328&gt;[1]Result_notebook_retravaill!G328,[1]Result_notebook_retravaill!G328-[1]Result_notebook_retravaill!I328,[1]Result_notebook_retravaill!J328))</f>
        <v>0</v>
      </c>
      <c r="L328" s="3">
        <f>IF([1]Result_notebook_retravaill!I328&gt;[1]Result_notebook_retravaill!G328,0,IF([1]Result_notebook_retravaill!I328+[1]Result_notebook_retravaill!J328&gt;[1]Result_notebook_retravaill!G328,0,[1]Result_notebook_retravaill!M328))</f>
        <v>0</v>
      </c>
    </row>
    <row r="329" spans="1:12">
      <c r="A329">
        <f>[1]Result_notebook_retravaill!A329</f>
        <v>2028</v>
      </c>
      <c r="B329" t="str">
        <f>[1]Result_notebook_retravaill!B329</f>
        <v>Nickel</v>
      </c>
      <c r="C329" t="str">
        <f>[1]Result_notebook_retravaill!C329</f>
        <v>Global Net-zero</v>
      </c>
      <c r="D329" t="str">
        <f>[1]Result_notebook_retravaill!D329</f>
        <v>Production potential</v>
      </c>
      <c r="E329" t="str">
        <f>[1]Result_notebook_retravaill!E329</f>
        <v>Current shares</v>
      </c>
      <c r="F329" t="str">
        <f>[1]Result_notebook_retravaill!F329</f>
        <v>Expansion Extractive</v>
      </c>
      <c r="G329">
        <f>[1]Result_notebook_retravaill!G329</f>
        <v>49184.449113354851</v>
      </c>
      <c r="H329" s="3">
        <f>IF([1]Result_notebook_retravaill!I329&gt;[1]Result_notebook_retravaill!G329,[1]Result_notebook_retravaill!I329/[1]Result_notebook_retravaill!N329,[1]Result_notebook_retravaill!H329)</f>
        <v>168501.35305932749</v>
      </c>
      <c r="I329" s="3">
        <f>[1]Result_notebook_retravaill!K329</f>
        <v>0</v>
      </c>
      <c r="J329" s="3">
        <f>MIN(G329,[1]Result_notebook_retravaill!I329)</f>
        <v>49184.449113354851</v>
      </c>
      <c r="K329" s="3">
        <f>IF([1]Result_notebook_retravaill!I329&gt;[1]Result_notebook_retravaill!G329,0,IF([1]Result_notebook_retravaill!I329+[1]Result_notebook_retravaill!J329&gt;[1]Result_notebook_retravaill!G329,[1]Result_notebook_retravaill!G329-[1]Result_notebook_retravaill!I329,[1]Result_notebook_retravaill!J329))</f>
        <v>0</v>
      </c>
      <c r="L329" s="3">
        <f>IF([1]Result_notebook_retravaill!I329&gt;[1]Result_notebook_retravaill!G329,0,IF([1]Result_notebook_retravaill!I329+[1]Result_notebook_retravaill!J329&gt;[1]Result_notebook_retravaill!G329,0,[1]Result_notebook_retravaill!M329))</f>
        <v>0</v>
      </c>
    </row>
    <row r="330" spans="1:12">
      <c r="A330">
        <f>[1]Result_notebook_retravaill!A330</f>
        <v>2028</v>
      </c>
      <c r="B330" t="str">
        <f>[1]Result_notebook_retravaill!B330</f>
        <v>Nickel</v>
      </c>
      <c r="C330" t="str">
        <f>[1]Result_notebook_retravaill!C330</f>
        <v>Global Net-zero</v>
      </c>
      <c r="D330" t="str">
        <f>[1]Result_notebook_retravaill!D330</f>
        <v>Production potential</v>
      </c>
      <c r="E330" t="str">
        <f>[1]Result_notebook_retravaill!E330</f>
        <v>Current shares</v>
      </c>
      <c r="F330" t="str">
        <f>[1]Result_notebook_retravaill!F330</f>
        <v>Expansion Extractive+Circularity</v>
      </c>
      <c r="G330">
        <f>[1]Result_notebook_retravaill!G330</f>
        <v>49184.449113354851</v>
      </c>
      <c r="H330" s="3">
        <f>IF([1]Result_notebook_retravaill!I330&gt;[1]Result_notebook_retravaill!G330,[1]Result_notebook_retravaill!I330/[1]Result_notebook_retravaill!N330,[1]Result_notebook_retravaill!H330)</f>
        <v>168501.35305932749</v>
      </c>
      <c r="I330" s="3">
        <f>[1]Result_notebook_retravaill!K330</f>
        <v>0</v>
      </c>
      <c r="J330" s="3">
        <f>MIN(G330,[1]Result_notebook_retravaill!I330)</f>
        <v>49184.449113354851</v>
      </c>
      <c r="K330" s="3">
        <f>IF([1]Result_notebook_retravaill!I330&gt;[1]Result_notebook_retravaill!G330,0,IF([1]Result_notebook_retravaill!I330+[1]Result_notebook_retravaill!J330&gt;[1]Result_notebook_retravaill!G330,[1]Result_notebook_retravaill!G330-[1]Result_notebook_retravaill!I330,[1]Result_notebook_retravaill!J330))</f>
        <v>0</v>
      </c>
      <c r="L330" s="3">
        <f>IF([1]Result_notebook_retravaill!I330&gt;[1]Result_notebook_retravaill!G330,0,IF([1]Result_notebook_retravaill!I330+[1]Result_notebook_retravaill!J330&gt;[1]Result_notebook_retravaill!G330,0,[1]Result_notebook_retravaill!M330))</f>
        <v>0</v>
      </c>
    </row>
    <row r="331" spans="1:12">
      <c r="A331">
        <f>[1]Result_notebook_retravaill!A331</f>
        <v>2028</v>
      </c>
      <c r="B331" t="str">
        <f>[1]Result_notebook_retravaill!B331</f>
        <v>Nickel</v>
      </c>
      <c r="C331" t="str">
        <f>[1]Result_notebook_retravaill!C331</f>
        <v>Global Net-zero</v>
      </c>
      <c r="D331" t="str">
        <f>[1]Result_notebook_retravaill!D331</f>
        <v>Production potential</v>
      </c>
      <c r="E331" t="str">
        <f>[1]Result_notebook_retravaill!E331</f>
        <v>100% CAN</v>
      </c>
      <c r="F331" t="str">
        <f>[1]Result_notebook_retravaill!F331</f>
        <v>Integrated</v>
      </c>
      <c r="G331">
        <f>[1]Result_notebook_retravaill!G331</f>
        <v>49184.449113354851</v>
      </c>
      <c r="H331" s="3">
        <f>IF([1]Result_notebook_retravaill!I331&gt;[1]Result_notebook_retravaill!G331,[1]Result_notebook_retravaill!I331/[1]Result_notebook_retravaill!N331,[1]Result_notebook_retravaill!H331)</f>
        <v>236599.75829395899</v>
      </c>
      <c r="I331" s="3">
        <f>[1]Result_notebook_retravaill!K331</f>
        <v>0</v>
      </c>
      <c r="J331" s="3">
        <f>MIN(G331,[1]Result_notebook_retravaill!I331)</f>
        <v>49184.449113354851</v>
      </c>
      <c r="K331" s="3">
        <f>IF([1]Result_notebook_retravaill!I331&gt;[1]Result_notebook_retravaill!G331,0,IF([1]Result_notebook_retravaill!I331+[1]Result_notebook_retravaill!J331&gt;[1]Result_notebook_retravaill!G331,[1]Result_notebook_retravaill!G331-[1]Result_notebook_retravaill!I331,[1]Result_notebook_retravaill!J331))</f>
        <v>0</v>
      </c>
      <c r="L331" s="3">
        <f>IF([1]Result_notebook_retravaill!I331&gt;[1]Result_notebook_retravaill!G331,0,IF([1]Result_notebook_retravaill!I331+[1]Result_notebook_retravaill!J331&gt;[1]Result_notebook_retravaill!G331,0,[1]Result_notebook_retravaill!M331))</f>
        <v>0</v>
      </c>
    </row>
    <row r="332" spans="1:12">
      <c r="A332">
        <f>[1]Result_notebook_retravaill!A332</f>
        <v>2028</v>
      </c>
      <c r="B332" t="str">
        <f>[1]Result_notebook_retravaill!B332</f>
        <v>Graphite</v>
      </c>
      <c r="C332" t="str">
        <f>[1]Result_notebook_retravaill!C332</f>
        <v>Canada Net-zero</v>
      </c>
      <c r="D332" t="str">
        <f>[1]Result_notebook_retravaill!D332</f>
        <v>Existing production</v>
      </c>
      <c r="E332" t="str">
        <f>[1]Result_notebook_retravaill!E332</f>
        <v>Current shares</v>
      </c>
      <c r="F332" t="str">
        <f>[1]Result_notebook_retravaill!F332</f>
        <v>NIMBY</v>
      </c>
      <c r="G332">
        <f>[1]Result_notebook_retravaill!G332</f>
        <v>1182.9561420443069</v>
      </c>
      <c r="H332" s="3">
        <f>IF([1]Result_notebook_retravaill!I332&gt;[1]Result_notebook_retravaill!G332,[1]Result_notebook_retravaill!I332/[1]Result_notebook_retravaill!N332,[1]Result_notebook_retravaill!H332)</f>
        <v>0</v>
      </c>
      <c r="I332" s="3">
        <f>[1]Result_notebook_retravaill!K332</f>
        <v>1182.9561420443069</v>
      </c>
      <c r="J332" s="3">
        <f>MIN(G332,[1]Result_notebook_retravaill!I332)</f>
        <v>0</v>
      </c>
      <c r="K332" s="3">
        <f>IF([1]Result_notebook_retravaill!I332&gt;[1]Result_notebook_retravaill!G332,0,IF([1]Result_notebook_retravaill!I332+[1]Result_notebook_retravaill!J332&gt;[1]Result_notebook_retravaill!G332,[1]Result_notebook_retravaill!G332-[1]Result_notebook_retravaill!I332,[1]Result_notebook_retravaill!J332))</f>
        <v>0</v>
      </c>
      <c r="L332" s="3">
        <f>IF([1]Result_notebook_retravaill!I332&gt;[1]Result_notebook_retravaill!G332,0,IF([1]Result_notebook_retravaill!I332+[1]Result_notebook_retravaill!J332&gt;[1]Result_notebook_retravaill!G332,0,[1]Result_notebook_retravaill!M332))</f>
        <v>1182.9561420443069</v>
      </c>
    </row>
    <row r="333" spans="1:12">
      <c r="A333">
        <f>[1]Result_notebook_retravaill!A333</f>
        <v>2028</v>
      </c>
      <c r="B333" t="str">
        <f>[1]Result_notebook_retravaill!B333</f>
        <v>Graphite</v>
      </c>
      <c r="C333" t="str">
        <f>[1]Result_notebook_retravaill!C333</f>
        <v>Canada Net-zero</v>
      </c>
      <c r="D333" t="str">
        <f>[1]Result_notebook_retravaill!D333</f>
        <v>Existing production</v>
      </c>
      <c r="E333" t="str">
        <f>[1]Result_notebook_retravaill!E333</f>
        <v>Current shares</v>
      </c>
      <c r="F333" t="str">
        <f>[1]Result_notebook_retravaill!F333</f>
        <v>Status Quo</v>
      </c>
      <c r="G333">
        <f>[1]Result_notebook_retravaill!G333</f>
        <v>1182.9561420443069</v>
      </c>
      <c r="H333" s="3">
        <f>IF([1]Result_notebook_retravaill!I333&gt;[1]Result_notebook_retravaill!G333,[1]Result_notebook_retravaill!I333/[1]Result_notebook_retravaill!N333,[1]Result_notebook_retravaill!H333)</f>
        <v>0</v>
      </c>
      <c r="I333" s="3">
        <f>[1]Result_notebook_retravaill!K333</f>
        <v>1182.9561420443069</v>
      </c>
      <c r="J333" s="3">
        <f>MIN(G333,[1]Result_notebook_retravaill!I333)</f>
        <v>0</v>
      </c>
      <c r="K333" s="3">
        <f>IF([1]Result_notebook_retravaill!I333&gt;[1]Result_notebook_retravaill!G333,0,IF([1]Result_notebook_retravaill!I333+[1]Result_notebook_retravaill!J333&gt;[1]Result_notebook_retravaill!G333,[1]Result_notebook_retravaill!G333-[1]Result_notebook_retravaill!I333,[1]Result_notebook_retravaill!J333))</f>
        <v>0</v>
      </c>
      <c r="L333" s="3">
        <f>IF([1]Result_notebook_retravaill!I333&gt;[1]Result_notebook_retravaill!G333,0,IF([1]Result_notebook_retravaill!I333+[1]Result_notebook_retravaill!J333&gt;[1]Result_notebook_retravaill!G333,0,[1]Result_notebook_retravaill!M333))</f>
        <v>1182.9561420443069</v>
      </c>
    </row>
    <row r="334" spans="1:12">
      <c r="A334">
        <f>[1]Result_notebook_retravaill!A334</f>
        <v>2028</v>
      </c>
      <c r="B334" t="str">
        <f>[1]Result_notebook_retravaill!B334</f>
        <v>Graphite</v>
      </c>
      <c r="C334" t="str">
        <f>[1]Result_notebook_retravaill!C334</f>
        <v>Canada Net-zero</v>
      </c>
      <c r="D334" t="str">
        <f>[1]Result_notebook_retravaill!D334</f>
        <v>Production potential</v>
      </c>
      <c r="E334" t="str">
        <f>[1]Result_notebook_retravaill!E334</f>
        <v>Current shares</v>
      </c>
      <c r="F334" t="str">
        <f>[1]Result_notebook_retravaill!F334</f>
        <v>Expansion Extractive</v>
      </c>
      <c r="G334">
        <f>[1]Result_notebook_retravaill!G334</f>
        <v>1182.9561420443069</v>
      </c>
      <c r="H334" s="3">
        <f>IF([1]Result_notebook_retravaill!I334&gt;[1]Result_notebook_retravaill!G334,[1]Result_notebook_retravaill!I334/[1]Result_notebook_retravaill!N334,[1]Result_notebook_retravaill!H334)</f>
        <v>54987.69468826583</v>
      </c>
      <c r="I334" s="3">
        <f>[1]Result_notebook_retravaill!K334</f>
        <v>0</v>
      </c>
      <c r="J334" s="3">
        <f>MIN(G334,[1]Result_notebook_retravaill!I334)</f>
        <v>1182.9561420443069</v>
      </c>
      <c r="K334" s="3">
        <f>IF([1]Result_notebook_retravaill!I334&gt;[1]Result_notebook_retravaill!G334,0,IF([1]Result_notebook_retravaill!I334+[1]Result_notebook_retravaill!J334&gt;[1]Result_notebook_retravaill!G334,[1]Result_notebook_retravaill!G334-[1]Result_notebook_retravaill!I334,[1]Result_notebook_retravaill!J334))</f>
        <v>0</v>
      </c>
      <c r="L334" s="3">
        <f>IF([1]Result_notebook_retravaill!I334&gt;[1]Result_notebook_retravaill!G334,0,IF([1]Result_notebook_retravaill!I334+[1]Result_notebook_retravaill!J334&gt;[1]Result_notebook_retravaill!G334,0,[1]Result_notebook_retravaill!M334))</f>
        <v>0</v>
      </c>
    </row>
    <row r="335" spans="1:12">
      <c r="A335">
        <f>[1]Result_notebook_retravaill!A335</f>
        <v>2028</v>
      </c>
      <c r="B335" t="str">
        <f>[1]Result_notebook_retravaill!B335</f>
        <v>Graphite</v>
      </c>
      <c r="C335" t="str">
        <f>[1]Result_notebook_retravaill!C335</f>
        <v>Canada Net-zero</v>
      </c>
      <c r="D335" t="str">
        <f>[1]Result_notebook_retravaill!D335</f>
        <v>Production potential</v>
      </c>
      <c r="E335" t="str">
        <f>[1]Result_notebook_retravaill!E335</f>
        <v>Current shares</v>
      </c>
      <c r="F335" t="str">
        <f>[1]Result_notebook_retravaill!F335</f>
        <v>Expansion Extractive+Circularity</v>
      </c>
      <c r="G335">
        <f>[1]Result_notebook_retravaill!G335</f>
        <v>1182.9561420443069</v>
      </c>
      <c r="H335" s="3">
        <f>IF([1]Result_notebook_retravaill!I335&gt;[1]Result_notebook_retravaill!G335,[1]Result_notebook_retravaill!I335/[1]Result_notebook_retravaill!N335,[1]Result_notebook_retravaill!H335)</f>
        <v>54987.69468826583</v>
      </c>
      <c r="I335" s="3">
        <f>[1]Result_notebook_retravaill!K335</f>
        <v>0</v>
      </c>
      <c r="J335" s="3">
        <f>MIN(G335,[1]Result_notebook_retravaill!I335)</f>
        <v>1182.9561420443069</v>
      </c>
      <c r="K335" s="3">
        <f>IF([1]Result_notebook_retravaill!I335&gt;[1]Result_notebook_retravaill!G335,0,IF([1]Result_notebook_retravaill!I335+[1]Result_notebook_retravaill!J335&gt;[1]Result_notebook_retravaill!G335,[1]Result_notebook_retravaill!G335-[1]Result_notebook_retravaill!I335,[1]Result_notebook_retravaill!J335))</f>
        <v>0</v>
      </c>
      <c r="L335" s="3">
        <f>IF([1]Result_notebook_retravaill!I335&gt;[1]Result_notebook_retravaill!G335,0,IF([1]Result_notebook_retravaill!I335+[1]Result_notebook_retravaill!J335&gt;[1]Result_notebook_retravaill!G335,0,[1]Result_notebook_retravaill!M335))</f>
        <v>0</v>
      </c>
    </row>
    <row r="336" spans="1:12">
      <c r="A336">
        <f>[1]Result_notebook_retravaill!A336</f>
        <v>2028</v>
      </c>
      <c r="B336" t="str">
        <f>[1]Result_notebook_retravaill!B336</f>
        <v>Graphite</v>
      </c>
      <c r="C336" t="str">
        <f>[1]Result_notebook_retravaill!C336</f>
        <v>Canada Net-zero</v>
      </c>
      <c r="D336" t="str">
        <f>[1]Result_notebook_retravaill!D336</f>
        <v>Production potential</v>
      </c>
      <c r="E336" t="str">
        <f>[1]Result_notebook_retravaill!E336</f>
        <v>100% CAN</v>
      </c>
      <c r="F336" t="str">
        <f>[1]Result_notebook_retravaill!F336</f>
        <v>Integrated</v>
      </c>
      <c r="G336">
        <f>[1]Result_notebook_retravaill!G336</f>
        <v>1182.9561420443069</v>
      </c>
      <c r="H336" s="3">
        <f>IF([1]Result_notebook_retravaill!I336&gt;[1]Result_notebook_retravaill!G336,[1]Result_notebook_retravaill!I336/[1]Result_notebook_retravaill!N336,[1]Result_notebook_retravaill!H336)</f>
        <v>54987.69468826583</v>
      </c>
      <c r="I336" s="3">
        <f>[1]Result_notebook_retravaill!K336</f>
        <v>0</v>
      </c>
      <c r="J336" s="3">
        <f>MIN(G336,[1]Result_notebook_retravaill!I336)</f>
        <v>1182.9561420443069</v>
      </c>
      <c r="K336" s="3">
        <f>IF([1]Result_notebook_retravaill!I336&gt;[1]Result_notebook_retravaill!G336,0,IF([1]Result_notebook_retravaill!I336+[1]Result_notebook_retravaill!J336&gt;[1]Result_notebook_retravaill!G336,[1]Result_notebook_retravaill!G336-[1]Result_notebook_retravaill!I336,[1]Result_notebook_retravaill!J336))</f>
        <v>0</v>
      </c>
      <c r="L336" s="3">
        <f>IF([1]Result_notebook_retravaill!I336&gt;[1]Result_notebook_retravaill!G336,0,IF([1]Result_notebook_retravaill!I336+[1]Result_notebook_retravaill!J336&gt;[1]Result_notebook_retravaill!G336,0,[1]Result_notebook_retravaill!M336))</f>
        <v>0</v>
      </c>
    </row>
    <row r="337" spans="1:12">
      <c r="A337">
        <f>[1]Result_notebook_retravaill!A337</f>
        <v>2028</v>
      </c>
      <c r="B337" t="str">
        <f>[1]Result_notebook_retravaill!B337</f>
        <v>Graphite</v>
      </c>
      <c r="C337" t="str">
        <f>[1]Result_notebook_retravaill!C337</f>
        <v>Current Measures</v>
      </c>
      <c r="D337" t="str">
        <f>[1]Result_notebook_retravaill!D337</f>
        <v>Existing production</v>
      </c>
      <c r="E337" t="str">
        <f>[1]Result_notebook_retravaill!E337</f>
        <v>Current shares</v>
      </c>
      <c r="F337" t="str">
        <f>[1]Result_notebook_retravaill!F337</f>
        <v>NIMBY</v>
      </c>
      <c r="G337">
        <f>[1]Result_notebook_retravaill!G337</f>
        <v>671.91452613806371</v>
      </c>
      <c r="H337" s="3">
        <f>IF([1]Result_notebook_retravaill!I337&gt;[1]Result_notebook_retravaill!G337,[1]Result_notebook_retravaill!I337/[1]Result_notebook_retravaill!N337,[1]Result_notebook_retravaill!H337)</f>
        <v>0</v>
      </c>
      <c r="I337" s="3">
        <f>[1]Result_notebook_retravaill!K337</f>
        <v>671.91452613806371</v>
      </c>
      <c r="J337" s="3">
        <f>MIN(G337,[1]Result_notebook_retravaill!I337)</f>
        <v>0</v>
      </c>
      <c r="K337" s="3">
        <f>IF([1]Result_notebook_retravaill!I337&gt;[1]Result_notebook_retravaill!G337,0,IF([1]Result_notebook_retravaill!I337+[1]Result_notebook_retravaill!J337&gt;[1]Result_notebook_retravaill!G337,[1]Result_notebook_retravaill!G337-[1]Result_notebook_retravaill!I337,[1]Result_notebook_retravaill!J337))</f>
        <v>0</v>
      </c>
      <c r="L337" s="3">
        <f>IF([1]Result_notebook_retravaill!I337&gt;[1]Result_notebook_retravaill!G337,0,IF([1]Result_notebook_retravaill!I337+[1]Result_notebook_retravaill!J337&gt;[1]Result_notebook_retravaill!G337,0,[1]Result_notebook_retravaill!M337))</f>
        <v>671.91452613806371</v>
      </c>
    </row>
    <row r="338" spans="1:12">
      <c r="A338">
        <f>[1]Result_notebook_retravaill!A338</f>
        <v>2028</v>
      </c>
      <c r="B338" t="str">
        <f>[1]Result_notebook_retravaill!B338</f>
        <v>Graphite</v>
      </c>
      <c r="C338" t="str">
        <f>[1]Result_notebook_retravaill!C338</f>
        <v>Current Measures</v>
      </c>
      <c r="D338" t="str">
        <f>[1]Result_notebook_retravaill!D338</f>
        <v>Existing production</v>
      </c>
      <c r="E338" t="str">
        <f>[1]Result_notebook_retravaill!E338</f>
        <v>Current shares</v>
      </c>
      <c r="F338" t="str">
        <f>[1]Result_notebook_retravaill!F338</f>
        <v>Status Quo</v>
      </c>
      <c r="G338">
        <f>[1]Result_notebook_retravaill!G338</f>
        <v>671.91452613806371</v>
      </c>
      <c r="H338" s="3">
        <f>IF([1]Result_notebook_retravaill!I338&gt;[1]Result_notebook_retravaill!G338,[1]Result_notebook_retravaill!I338/[1]Result_notebook_retravaill!N338,[1]Result_notebook_retravaill!H338)</f>
        <v>0</v>
      </c>
      <c r="I338" s="3">
        <f>[1]Result_notebook_retravaill!K338</f>
        <v>671.91452613806371</v>
      </c>
      <c r="J338" s="3">
        <f>MIN(G338,[1]Result_notebook_retravaill!I338)</f>
        <v>0</v>
      </c>
      <c r="K338" s="3">
        <f>IF([1]Result_notebook_retravaill!I338&gt;[1]Result_notebook_retravaill!G338,0,IF([1]Result_notebook_retravaill!I338+[1]Result_notebook_retravaill!J338&gt;[1]Result_notebook_retravaill!G338,[1]Result_notebook_retravaill!G338-[1]Result_notebook_retravaill!I338,[1]Result_notebook_retravaill!J338))</f>
        <v>0</v>
      </c>
      <c r="L338" s="3">
        <f>IF([1]Result_notebook_retravaill!I338&gt;[1]Result_notebook_retravaill!G338,0,IF([1]Result_notebook_retravaill!I338+[1]Result_notebook_retravaill!J338&gt;[1]Result_notebook_retravaill!G338,0,[1]Result_notebook_retravaill!M338))</f>
        <v>671.91452613806371</v>
      </c>
    </row>
    <row r="339" spans="1:12">
      <c r="A339">
        <f>[1]Result_notebook_retravaill!A339</f>
        <v>2028</v>
      </c>
      <c r="B339" t="str">
        <f>[1]Result_notebook_retravaill!B339</f>
        <v>Graphite</v>
      </c>
      <c r="C339" t="str">
        <f>[1]Result_notebook_retravaill!C339</f>
        <v>Current Measures</v>
      </c>
      <c r="D339" t="str">
        <f>[1]Result_notebook_retravaill!D339</f>
        <v>Production potential</v>
      </c>
      <c r="E339" t="str">
        <f>[1]Result_notebook_retravaill!E339</f>
        <v>Current shares</v>
      </c>
      <c r="F339" t="str">
        <f>[1]Result_notebook_retravaill!F339</f>
        <v>Expansion Extractive</v>
      </c>
      <c r="G339">
        <f>[1]Result_notebook_retravaill!G339</f>
        <v>671.91452613806371</v>
      </c>
      <c r="H339" s="3">
        <f>IF([1]Result_notebook_retravaill!I339&gt;[1]Result_notebook_retravaill!G339,[1]Result_notebook_retravaill!I339/[1]Result_notebook_retravaill!N339,[1]Result_notebook_retravaill!H339)</f>
        <v>54987.69468826583</v>
      </c>
      <c r="I339" s="3">
        <f>[1]Result_notebook_retravaill!K339</f>
        <v>0</v>
      </c>
      <c r="J339" s="3">
        <f>MIN(G339,[1]Result_notebook_retravaill!I339)</f>
        <v>671.91452613806371</v>
      </c>
      <c r="K339" s="3">
        <f>IF([1]Result_notebook_retravaill!I339&gt;[1]Result_notebook_retravaill!G339,0,IF([1]Result_notebook_retravaill!I339+[1]Result_notebook_retravaill!J339&gt;[1]Result_notebook_retravaill!G339,[1]Result_notebook_retravaill!G339-[1]Result_notebook_retravaill!I339,[1]Result_notebook_retravaill!J339))</f>
        <v>0</v>
      </c>
      <c r="L339" s="3">
        <f>IF([1]Result_notebook_retravaill!I339&gt;[1]Result_notebook_retravaill!G339,0,IF([1]Result_notebook_retravaill!I339+[1]Result_notebook_retravaill!J339&gt;[1]Result_notebook_retravaill!G339,0,[1]Result_notebook_retravaill!M339))</f>
        <v>0</v>
      </c>
    </row>
    <row r="340" spans="1:12">
      <c r="A340">
        <f>[1]Result_notebook_retravaill!A340</f>
        <v>2028</v>
      </c>
      <c r="B340" t="str">
        <f>[1]Result_notebook_retravaill!B340</f>
        <v>Graphite</v>
      </c>
      <c r="C340" t="str">
        <f>[1]Result_notebook_retravaill!C340</f>
        <v>Current Measures</v>
      </c>
      <c r="D340" t="str">
        <f>[1]Result_notebook_retravaill!D340</f>
        <v>Production potential</v>
      </c>
      <c r="E340" t="str">
        <f>[1]Result_notebook_retravaill!E340</f>
        <v>Current shares</v>
      </c>
      <c r="F340" t="str">
        <f>[1]Result_notebook_retravaill!F340</f>
        <v>Expansion Extractive+Circularity</v>
      </c>
      <c r="G340">
        <f>[1]Result_notebook_retravaill!G340</f>
        <v>671.91452613806371</v>
      </c>
      <c r="H340" s="3">
        <f>IF([1]Result_notebook_retravaill!I340&gt;[1]Result_notebook_retravaill!G340,[1]Result_notebook_retravaill!I340/[1]Result_notebook_retravaill!N340,[1]Result_notebook_retravaill!H340)</f>
        <v>54987.69468826583</v>
      </c>
      <c r="I340" s="3">
        <f>[1]Result_notebook_retravaill!K340</f>
        <v>0</v>
      </c>
      <c r="J340" s="3">
        <f>MIN(G340,[1]Result_notebook_retravaill!I340)</f>
        <v>671.91452613806371</v>
      </c>
      <c r="K340" s="3">
        <f>IF([1]Result_notebook_retravaill!I340&gt;[1]Result_notebook_retravaill!G340,0,IF([1]Result_notebook_retravaill!I340+[1]Result_notebook_retravaill!J340&gt;[1]Result_notebook_retravaill!G340,[1]Result_notebook_retravaill!G340-[1]Result_notebook_retravaill!I340,[1]Result_notebook_retravaill!J340))</f>
        <v>0</v>
      </c>
      <c r="L340" s="3">
        <f>IF([1]Result_notebook_retravaill!I340&gt;[1]Result_notebook_retravaill!G340,0,IF([1]Result_notebook_retravaill!I340+[1]Result_notebook_retravaill!J340&gt;[1]Result_notebook_retravaill!G340,0,[1]Result_notebook_retravaill!M340))</f>
        <v>0</v>
      </c>
    </row>
    <row r="341" spans="1:12">
      <c r="A341">
        <f>[1]Result_notebook_retravaill!A341</f>
        <v>2028</v>
      </c>
      <c r="B341" t="str">
        <f>[1]Result_notebook_retravaill!B341</f>
        <v>Graphite</v>
      </c>
      <c r="C341" t="str">
        <f>[1]Result_notebook_retravaill!C341</f>
        <v>Current Measures</v>
      </c>
      <c r="D341" t="str">
        <f>[1]Result_notebook_retravaill!D341</f>
        <v>Production potential</v>
      </c>
      <c r="E341" t="str">
        <f>[1]Result_notebook_retravaill!E341</f>
        <v>100% CAN</v>
      </c>
      <c r="F341" t="str">
        <f>[1]Result_notebook_retravaill!F341</f>
        <v>Integrated</v>
      </c>
      <c r="G341">
        <f>[1]Result_notebook_retravaill!G341</f>
        <v>671.91452613806371</v>
      </c>
      <c r="H341" s="3">
        <f>IF([1]Result_notebook_retravaill!I341&gt;[1]Result_notebook_retravaill!G341,[1]Result_notebook_retravaill!I341/[1]Result_notebook_retravaill!N341,[1]Result_notebook_retravaill!H341)</f>
        <v>54987.69468826583</v>
      </c>
      <c r="I341" s="3">
        <f>[1]Result_notebook_retravaill!K341</f>
        <v>0</v>
      </c>
      <c r="J341" s="3">
        <f>MIN(G341,[1]Result_notebook_retravaill!I341)</f>
        <v>671.91452613806371</v>
      </c>
      <c r="K341" s="3">
        <f>IF([1]Result_notebook_retravaill!I341&gt;[1]Result_notebook_retravaill!G341,0,IF([1]Result_notebook_retravaill!I341+[1]Result_notebook_retravaill!J341&gt;[1]Result_notebook_retravaill!G341,[1]Result_notebook_retravaill!G341-[1]Result_notebook_retravaill!I341,[1]Result_notebook_retravaill!J341))</f>
        <v>0</v>
      </c>
      <c r="L341" s="3">
        <f>IF([1]Result_notebook_retravaill!I341&gt;[1]Result_notebook_retravaill!G341,0,IF([1]Result_notebook_retravaill!I341+[1]Result_notebook_retravaill!J341&gt;[1]Result_notebook_retravaill!G341,0,[1]Result_notebook_retravaill!M341))</f>
        <v>0</v>
      </c>
    </row>
    <row r="342" spans="1:12">
      <c r="A342">
        <f>[1]Result_notebook_retravaill!A342</f>
        <v>2028</v>
      </c>
      <c r="B342" t="str">
        <f>[1]Result_notebook_retravaill!B342</f>
        <v>Graphite</v>
      </c>
      <c r="C342" t="str">
        <f>[1]Result_notebook_retravaill!C342</f>
        <v>Global Net-zero</v>
      </c>
      <c r="D342" t="str">
        <f>[1]Result_notebook_retravaill!D342</f>
        <v>Existing production</v>
      </c>
      <c r="E342" t="str">
        <f>[1]Result_notebook_retravaill!E342</f>
        <v>Current shares</v>
      </c>
      <c r="F342" t="str">
        <f>[1]Result_notebook_retravaill!F342</f>
        <v>NIMBY</v>
      </c>
      <c r="G342">
        <f>[1]Result_notebook_retravaill!G342</f>
        <v>1144.5393976176119</v>
      </c>
      <c r="H342" s="3">
        <f>IF([1]Result_notebook_retravaill!I342&gt;[1]Result_notebook_retravaill!G342,[1]Result_notebook_retravaill!I342/[1]Result_notebook_retravaill!N342,[1]Result_notebook_retravaill!H342)</f>
        <v>0</v>
      </c>
      <c r="I342" s="3">
        <f>[1]Result_notebook_retravaill!K342</f>
        <v>1144.5393976176119</v>
      </c>
      <c r="J342" s="3">
        <f>MIN(G342,[1]Result_notebook_retravaill!I342)</f>
        <v>0</v>
      </c>
      <c r="K342" s="3">
        <f>IF([1]Result_notebook_retravaill!I342&gt;[1]Result_notebook_retravaill!G342,0,IF([1]Result_notebook_retravaill!I342+[1]Result_notebook_retravaill!J342&gt;[1]Result_notebook_retravaill!G342,[1]Result_notebook_retravaill!G342-[1]Result_notebook_retravaill!I342,[1]Result_notebook_retravaill!J342))</f>
        <v>0</v>
      </c>
      <c r="L342" s="3">
        <f>IF([1]Result_notebook_retravaill!I342&gt;[1]Result_notebook_retravaill!G342,0,IF([1]Result_notebook_retravaill!I342+[1]Result_notebook_retravaill!J342&gt;[1]Result_notebook_retravaill!G342,0,[1]Result_notebook_retravaill!M342))</f>
        <v>1144.5393976176119</v>
      </c>
    </row>
    <row r="343" spans="1:12">
      <c r="A343">
        <f>[1]Result_notebook_retravaill!A343</f>
        <v>2028</v>
      </c>
      <c r="B343" t="str">
        <f>[1]Result_notebook_retravaill!B343</f>
        <v>Graphite</v>
      </c>
      <c r="C343" t="str">
        <f>[1]Result_notebook_retravaill!C343</f>
        <v>Global Net-zero</v>
      </c>
      <c r="D343" t="str">
        <f>[1]Result_notebook_retravaill!D343</f>
        <v>Existing production</v>
      </c>
      <c r="E343" t="str">
        <f>[1]Result_notebook_retravaill!E343</f>
        <v>Current shares</v>
      </c>
      <c r="F343" t="str">
        <f>[1]Result_notebook_retravaill!F343</f>
        <v>Status Quo</v>
      </c>
      <c r="G343">
        <f>[1]Result_notebook_retravaill!G343</f>
        <v>1144.5393976176119</v>
      </c>
      <c r="H343" s="3">
        <f>IF([1]Result_notebook_retravaill!I343&gt;[1]Result_notebook_retravaill!G343,[1]Result_notebook_retravaill!I343/[1]Result_notebook_retravaill!N343,[1]Result_notebook_retravaill!H343)</f>
        <v>0</v>
      </c>
      <c r="I343" s="3">
        <f>[1]Result_notebook_retravaill!K343</f>
        <v>1144.5393976176119</v>
      </c>
      <c r="J343" s="3">
        <f>MIN(G343,[1]Result_notebook_retravaill!I343)</f>
        <v>0</v>
      </c>
      <c r="K343" s="3">
        <f>IF([1]Result_notebook_retravaill!I343&gt;[1]Result_notebook_retravaill!G343,0,IF([1]Result_notebook_retravaill!I343+[1]Result_notebook_retravaill!J343&gt;[1]Result_notebook_retravaill!G343,[1]Result_notebook_retravaill!G343-[1]Result_notebook_retravaill!I343,[1]Result_notebook_retravaill!J343))</f>
        <v>0</v>
      </c>
      <c r="L343" s="3">
        <f>IF([1]Result_notebook_retravaill!I343&gt;[1]Result_notebook_retravaill!G343,0,IF([1]Result_notebook_retravaill!I343+[1]Result_notebook_retravaill!J343&gt;[1]Result_notebook_retravaill!G343,0,[1]Result_notebook_retravaill!M343))</f>
        <v>1144.5393976176119</v>
      </c>
    </row>
    <row r="344" spans="1:12">
      <c r="A344">
        <f>[1]Result_notebook_retravaill!A344</f>
        <v>2028</v>
      </c>
      <c r="B344" t="str">
        <f>[1]Result_notebook_retravaill!B344</f>
        <v>Graphite</v>
      </c>
      <c r="C344" t="str">
        <f>[1]Result_notebook_retravaill!C344</f>
        <v>Global Net-zero</v>
      </c>
      <c r="D344" t="str">
        <f>[1]Result_notebook_retravaill!D344</f>
        <v>Production potential</v>
      </c>
      <c r="E344" t="str">
        <f>[1]Result_notebook_retravaill!E344</f>
        <v>Current shares</v>
      </c>
      <c r="F344" t="str">
        <f>[1]Result_notebook_retravaill!F344</f>
        <v>Expansion Extractive</v>
      </c>
      <c r="G344">
        <f>[1]Result_notebook_retravaill!G344</f>
        <v>1144.5393976176119</v>
      </c>
      <c r="H344" s="3">
        <f>IF([1]Result_notebook_retravaill!I344&gt;[1]Result_notebook_retravaill!G344,[1]Result_notebook_retravaill!I344/[1]Result_notebook_retravaill!N344,[1]Result_notebook_retravaill!H344)</f>
        <v>54987.69468826583</v>
      </c>
      <c r="I344" s="3">
        <f>[1]Result_notebook_retravaill!K344</f>
        <v>0</v>
      </c>
      <c r="J344" s="3">
        <f>MIN(G344,[1]Result_notebook_retravaill!I344)</f>
        <v>1144.5393976176119</v>
      </c>
      <c r="K344" s="3">
        <f>IF([1]Result_notebook_retravaill!I344&gt;[1]Result_notebook_retravaill!G344,0,IF([1]Result_notebook_retravaill!I344+[1]Result_notebook_retravaill!J344&gt;[1]Result_notebook_retravaill!G344,[1]Result_notebook_retravaill!G344-[1]Result_notebook_retravaill!I344,[1]Result_notebook_retravaill!J344))</f>
        <v>0</v>
      </c>
      <c r="L344" s="3">
        <f>IF([1]Result_notebook_retravaill!I344&gt;[1]Result_notebook_retravaill!G344,0,IF([1]Result_notebook_retravaill!I344+[1]Result_notebook_retravaill!J344&gt;[1]Result_notebook_retravaill!G344,0,[1]Result_notebook_retravaill!M344))</f>
        <v>0</v>
      </c>
    </row>
    <row r="345" spans="1:12">
      <c r="A345">
        <f>[1]Result_notebook_retravaill!A345</f>
        <v>2028</v>
      </c>
      <c r="B345" t="str">
        <f>[1]Result_notebook_retravaill!B345</f>
        <v>Graphite</v>
      </c>
      <c r="C345" t="str">
        <f>[1]Result_notebook_retravaill!C345</f>
        <v>Global Net-zero</v>
      </c>
      <c r="D345" t="str">
        <f>[1]Result_notebook_retravaill!D345</f>
        <v>Production potential</v>
      </c>
      <c r="E345" t="str">
        <f>[1]Result_notebook_retravaill!E345</f>
        <v>Current shares</v>
      </c>
      <c r="F345" t="str">
        <f>[1]Result_notebook_retravaill!F345</f>
        <v>Expansion Extractive+Circularity</v>
      </c>
      <c r="G345">
        <f>[1]Result_notebook_retravaill!G345</f>
        <v>1144.5393976176119</v>
      </c>
      <c r="H345" s="3">
        <f>IF([1]Result_notebook_retravaill!I345&gt;[1]Result_notebook_retravaill!G345,[1]Result_notebook_retravaill!I345/[1]Result_notebook_retravaill!N345,[1]Result_notebook_retravaill!H345)</f>
        <v>54987.69468826583</v>
      </c>
      <c r="I345" s="3">
        <f>[1]Result_notebook_retravaill!K345</f>
        <v>0</v>
      </c>
      <c r="J345" s="3">
        <f>MIN(G345,[1]Result_notebook_retravaill!I345)</f>
        <v>1144.5393976176119</v>
      </c>
      <c r="K345" s="3">
        <f>IF([1]Result_notebook_retravaill!I345&gt;[1]Result_notebook_retravaill!G345,0,IF([1]Result_notebook_retravaill!I345+[1]Result_notebook_retravaill!J345&gt;[1]Result_notebook_retravaill!G345,[1]Result_notebook_retravaill!G345-[1]Result_notebook_retravaill!I345,[1]Result_notebook_retravaill!J345))</f>
        <v>0</v>
      </c>
      <c r="L345" s="3">
        <f>IF([1]Result_notebook_retravaill!I345&gt;[1]Result_notebook_retravaill!G345,0,IF([1]Result_notebook_retravaill!I345+[1]Result_notebook_retravaill!J345&gt;[1]Result_notebook_retravaill!G345,0,[1]Result_notebook_retravaill!M345))</f>
        <v>0</v>
      </c>
    </row>
    <row r="346" spans="1:12">
      <c r="A346">
        <f>[1]Result_notebook_retravaill!A346</f>
        <v>2028</v>
      </c>
      <c r="B346" t="str">
        <f>[1]Result_notebook_retravaill!B346</f>
        <v>Graphite</v>
      </c>
      <c r="C346" t="str">
        <f>[1]Result_notebook_retravaill!C346</f>
        <v>Global Net-zero</v>
      </c>
      <c r="D346" t="str">
        <f>[1]Result_notebook_retravaill!D346</f>
        <v>Production potential</v>
      </c>
      <c r="E346" t="str">
        <f>[1]Result_notebook_retravaill!E346</f>
        <v>100% CAN</v>
      </c>
      <c r="F346" t="str">
        <f>[1]Result_notebook_retravaill!F346</f>
        <v>Integrated</v>
      </c>
      <c r="G346">
        <f>[1]Result_notebook_retravaill!G346</f>
        <v>1144.5393976176119</v>
      </c>
      <c r="H346" s="3">
        <f>IF([1]Result_notebook_retravaill!I346&gt;[1]Result_notebook_retravaill!G346,[1]Result_notebook_retravaill!I346/[1]Result_notebook_retravaill!N346,[1]Result_notebook_retravaill!H346)</f>
        <v>54987.69468826583</v>
      </c>
      <c r="I346" s="3">
        <f>[1]Result_notebook_retravaill!K346</f>
        <v>0</v>
      </c>
      <c r="J346" s="3">
        <f>MIN(G346,[1]Result_notebook_retravaill!I346)</f>
        <v>1144.5393976176119</v>
      </c>
      <c r="K346" s="3">
        <f>IF([1]Result_notebook_retravaill!I346&gt;[1]Result_notebook_retravaill!G346,0,IF([1]Result_notebook_retravaill!I346+[1]Result_notebook_retravaill!J346&gt;[1]Result_notebook_retravaill!G346,[1]Result_notebook_retravaill!G346-[1]Result_notebook_retravaill!I346,[1]Result_notebook_retravaill!J346))</f>
        <v>0</v>
      </c>
      <c r="L346" s="3">
        <f>IF([1]Result_notebook_retravaill!I346&gt;[1]Result_notebook_retravaill!G346,0,IF([1]Result_notebook_retravaill!I346+[1]Result_notebook_retravaill!J346&gt;[1]Result_notebook_retravaill!G346,0,[1]Result_notebook_retravaill!M346))</f>
        <v>0</v>
      </c>
    </row>
    <row r="347" spans="1:12">
      <c r="A347">
        <f>[1]Result_notebook_retravaill!A347</f>
        <v>2028</v>
      </c>
      <c r="B347" t="str">
        <f>[1]Result_notebook_retravaill!B347</f>
        <v>Lithium</v>
      </c>
      <c r="C347" t="str">
        <f>[1]Result_notebook_retravaill!C347</f>
        <v>Canada Net-zero</v>
      </c>
      <c r="D347" t="str">
        <f>[1]Result_notebook_retravaill!D347</f>
        <v>Existing production</v>
      </c>
      <c r="E347" t="str">
        <f>[1]Result_notebook_retravaill!E347</f>
        <v>Current shares</v>
      </c>
      <c r="F347" t="str">
        <f>[1]Result_notebook_retravaill!F347</f>
        <v>NIMBY</v>
      </c>
      <c r="G347">
        <f>[1]Result_notebook_retravaill!G347</f>
        <v>18935.44383590906</v>
      </c>
      <c r="H347" s="3">
        <f>IF([1]Result_notebook_retravaill!I347&gt;[1]Result_notebook_retravaill!G347,[1]Result_notebook_retravaill!I347/[1]Result_notebook_retravaill!N347,[1]Result_notebook_retravaill!H347)</f>
        <v>0</v>
      </c>
      <c r="I347" s="3">
        <f>[1]Result_notebook_retravaill!K347</f>
        <v>27050.634051298661</v>
      </c>
      <c r="J347" s="3">
        <f>MIN(G347,[1]Result_notebook_retravaill!I347)</f>
        <v>0</v>
      </c>
      <c r="K347" s="3">
        <f>IF([1]Result_notebook_retravaill!I347&gt;[1]Result_notebook_retravaill!G347,0,IF([1]Result_notebook_retravaill!I347+[1]Result_notebook_retravaill!J347&gt;[1]Result_notebook_retravaill!G347,[1]Result_notebook_retravaill!G347-[1]Result_notebook_retravaill!I347,[1]Result_notebook_retravaill!J347))</f>
        <v>0</v>
      </c>
      <c r="L347" s="3">
        <f>IF([1]Result_notebook_retravaill!I347&gt;[1]Result_notebook_retravaill!G347,0,IF([1]Result_notebook_retravaill!I347+[1]Result_notebook_retravaill!J347&gt;[1]Result_notebook_retravaill!G347,0,[1]Result_notebook_retravaill!M347))</f>
        <v>18935.44383590906</v>
      </c>
    </row>
    <row r="348" spans="1:12">
      <c r="A348">
        <f>[1]Result_notebook_retravaill!A348</f>
        <v>2028</v>
      </c>
      <c r="B348" t="str">
        <f>[1]Result_notebook_retravaill!B348</f>
        <v>Lithium</v>
      </c>
      <c r="C348" t="str">
        <f>[1]Result_notebook_retravaill!C348</f>
        <v>Canada Net-zero</v>
      </c>
      <c r="D348" t="str">
        <f>[1]Result_notebook_retravaill!D348</f>
        <v>Existing production</v>
      </c>
      <c r="E348" t="str">
        <f>[1]Result_notebook_retravaill!E348</f>
        <v>Current shares</v>
      </c>
      <c r="F348" t="str">
        <f>[1]Result_notebook_retravaill!F348</f>
        <v>Status Quo</v>
      </c>
      <c r="G348">
        <f>[1]Result_notebook_retravaill!G348</f>
        <v>18935.44383590906</v>
      </c>
      <c r="H348" s="3">
        <f>IF([1]Result_notebook_retravaill!I348&gt;[1]Result_notebook_retravaill!G348,[1]Result_notebook_retravaill!I348/[1]Result_notebook_retravaill!N348,[1]Result_notebook_retravaill!H348)</f>
        <v>35770.170624963372</v>
      </c>
      <c r="I348" s="3">
        <f>[1]Result_notebook_retravaill!K348</f>
        <v>0</v>
      </c>
      <c r="J348" s="3">
        <f>MIN(G348,[1]Result_notebook_retravaill!I348)</f>
        <v>18935.44383590906</v>
      </c>
      <c r="K348" s="3">
        <f>IF([1]Result_notebook_retravaill!I348&gt;[1]Result_notebook_retravaill!G348,0,IF([1]Result_notebook_retravaill!I348+[1]Result_notebook_retravaill!J348&gt;[1]Result_notebook_retravaill!G348,[1]Result_notebook_retravaill!G348-[1]Result_notebook_retravaill!I348,[1]Result_notebook_retravaill!J348))</f>
        <v>0</v>
      </c>
      <c r="L348" s="3">
        <f>IF([1]Result_notebook_retravaill!I348&gt;[1]Result_notebook_retravaill!G348,0,IF([1]Result_notebook_retravaill!I348+[1]Result_notebook_retravaill!J348&gt;[1]Result_notebook_retravaill!G348,0,[1]Result_notebook_retravaill!M348))</f>
        <v>0</v>
      </c>
    </row>
    <row r="349" spans="1:12">
      <c r="A349">
        <f>[1]Result_notebook_retravaill!A349</f>
        <v>2028</v>
      </c>
      <c r="B349" t="str">
        <f>[1]Result_notebook_retravaill!B349</f>
        <v>Lithium</v>
      </c>
      <c r="C349" t="str">
        <f>[1]Result_notebook_retravaill!C349</f>
        <v>Canada Net-zero</v>
      </c>
      <c r="D349" t="str">
        <f>[1]Result_notebook_retravaill!D349</f>
        <v>Production potential</v>
      </c>
      <c r="E349" t="str">
        <f>[1]Result_notebook_retravaill!E349</f>
        <v>Current shares</v>
      </c>
      <c r="F349" t="str">
        <f>[1]Result_notebook_retravaill!F349</f>
        <v>Expansion Extractive</v>
      </c>
      <c r="G349">
        <f>[1]Result_notebook_retravaill!G349</f>
        <v>18935.44383590906</v>
      </c>
      <c r="H349" s="3">
        <f>IF([1]Result_notebook_retravaill!I349&gt;[1]Result_notebook_retravaill!G349,[1]Result_notebook_retravaill!I349/[1]Result_notebook_retravaill!N349,[1]Result_notebook_retravaill!H349)</f>
        <v>144335.1064821099</v>
      </c>
      <c r="I349" s="3">
        <f>[1]Result_notebook_retravaill!K349</f>
        <v>0</v>
      </c>
      <c r="J349" s="3">
        <f>MIN(G349,[1]Result_notebook_retravaill!I349)</f>
        <v>18935.44383590906</v>
      </c>
      <c r="K349" s="3">
        <f>IF([1]Result_notebook_retravaill!I349&gt;[1]Result_notebook_retravaill!G349,0,IF([1]Result_notebook_retravaill!I349+[1]Result_notebook_retravaill!J349&gt;[1]Result_notebook_retravaill!G349,[1]Result_notebook_retravaill!G349-[1]Result_notebook_retravaill!I349,[1]Result_notebook_retravaill!J349))</f>
        <v>0</v>
      </c>
      <c r="L349" s="3">
        <f>IF([1]Result_notebook_retravaill!I349&gt;[1]Result_notebook_retravaill!G349,0,IF([1]Result_notebook_retravaill!I349+[1]Result_notebook_retravaill!J349&gt;[1]Result_notebook_retravaill!G349,0,[1]Result_notebook_retravaill!M349))</f>
        <v>0</v>
      </c>
    </row>
    <row r="350" spans="1:12">
      <c r="A350">
        <f>[1]Result_notebook_retravaill!A350</f>
        <v>2028</v>
      </c>
      <c r="B350" t="str">
        <f>[1]Result_notebook_retravaill!B350</f>
        <v>Lithium</v>
      </c>
      <c r="C350" t="str">
        <f>[1]Result_notebook_retravaill!C350</f>
        <v>Canada Net-zero</v>
      </c>
      <c r="D350" t="str">
        <f>[1]Result_notebook_retravaill!D350</f>
        <v>Production potential</v>
      </c>
      <c r="E350" t="str">
        <f>[1]Result_notebook_retravaill!E350</f>
        <v>Current shares</v>
      </c>
      <c r="F350" t="str">
        <f>[1]Result_notebook_retravaill!F350</f>
        <v>Expansion Extractive+Circularity</v>
      </c>
      <c r="G350">
        <f>[1]Result_notebook_retravaill!G350</f>
        <v>18935.44383590906</v>
      </c>
      <c r="H350" s="3">
        <f>IF([1]Result_notebook_retravaill!I350&gt;[1]Result_notebook_retravaill!G350,[1]Result_notebook_retravaill!I350/[1]Result_notebook_retravaill!N350,[1]Result_notebook_retravaill!H350)</f>
        <v>144335.1064821099</v>
      </c>
      <c r="I350" s="3">
        <f>[1]Result_notebook_retravaill!K350</f>
        <v>0</v>
      </c>
      <c r="J350" s="3">
        <f>MIN(G350,[1]Result_notebook_retravaill!I350)</f>
        <v>18935.44383590906</v>
      </c>
      <c r="K350" s="3">
        <f>IF([1]Result_notebook_retravaill!I350&gt;[1]Result_notebook_retravaill!G350,0,IF([1]Result_notebook_retravaill!I350+[1]Result_notebook_retravaill!J350&gt;[1]Result_notebook_retravaill!G350,[1]Result_notebook_retravaill!G350-[1]Result_notebook_retravaill!I350,[1]Result_notebook_retravaill!J350))</f>
        <v>0</v>
      </c>
      <c r="L350" s="3">
        <f>IF([1]Result_notebook_retravaill!I350&gt;[1]Result_notebook_retravaill!G350,0,IF([1]Result_notebook_retravaill!I350+[1]Result_notebook_retravaill!J350&gt;[1]Result_notebook_retravaill!G350,0,[1]Result_notebook_retravaill!M350))</f>
        <v>0</v>
      </c>
    </row>
    <row r="351" spans="1:12">
      <c r="A351">
        <f>[1]Result_notebook_retravaill!A351</f>
        <v>2028</v>
      </c>
      <c r="B351" t="str">
        <f>[1]Result_notebook_retravaill!B351</f>
        <v>Lithium</v>
      </c>
      <c r="C351" t="str">
        <f>[1]Result_notebook_retravaill!C351</f>
        <v>Canada Net-zero</v>
      </c>
      <c r="D351" t="str">
        <f>[1]Result_notebook_retravaill!D351</f>
        <v>Production potential</v>
      </c>
      <c r="E351" t="str">
        <f>[1]Result_notebook_retravaill!E351</f>
        <v>100% CAN</v>
      </c>
      <c r="F351" t="str">
        <f>[1]Result_notebook_retravaill!F351</f>
        <v>Integrated</v>
      </c>
      <c r="G351">
        <f>[1]Result_notebook_retravaill!G351</f>
        <v>18935.44383590906</v>
      </c>
      <c r="H351" s="3">
        <f>IF([1]Result_notebook_retravaill!I351&gt;[1]Result_notebook_retravaill!G351,[1]Result_notebook_retravaill!I351/[1]Result_notebook_retravaill!N351,[1]Result_notebook_retravaill!H351)</f>
        <v>144335.1064821099</v>
      </c>
      <c r="I351" s="3">
        <f>[1]Result_notebook_retravaill!K351</f>
        <v>0</v>
      </c>
      <c r="J351" s="3">
        <f>MIN(G351,[1]Result_notebook_retravaill!I351)</f>
        <v>18935.44383590906</v>
      </c>
      <c r="K351" s="3">
        <f>IF([1]Result_notebook_retravaill!I351&gt;[1]Result_notebook_retravaill!G351,0,IF([1]Result_notebook_retravaill!I351+[1]Result_notebook_retravaill!J351&gt;[1]Result_notebook_retravaill!G351,[1]Result_notebook_retravaill!G351-[1]Result_notebook_retravaill!I351,[1]Result_notebook_retravaill!J351))</f>
        <v>0</v>
      </c>
      <c r="L351" s="3">
        <f>IF([1]Result_notebook_retravaill!I351&gt;[1]Result_notebook_retravaill!G351,0,IF([1]Result_notebook_retravaill!I351+[1]Result_notebook_retravaill!J351&gt;[1]Result_notebook_retravaill!G351,0,[1]Result_notebook_retravaill!M351))</f>
        <v>0</v>
      </c>
    </row>
    <row r="352" spans="1:12">
      <c r="A352">
        <f>[1]Result_notebook_retravaill!A352</f>
        <v>2028</v>
      </c>
      <c r="B352" t="str">
        <f>[1]Result_notebook_retravaill!B352</f>
        <v>Lithium</v>
      </c>
      <c r="C352" t="str">
        <f>[1]Result_notebook_retravaill!C352</f>
        <v>Current Measures</v>
      </c>
      <c r="D352" t="str">
        <f>[1]Result_notebook_retravaill!D352</f>
        <v>Existing production</v>
      </c>
      <c r="E352" t="str">
        <f>[1]Result_notebook_retravaill!E352</f>
        <v>Current shares</v>
      </c>
      <c r="F352" t="str">
        <f>[1]Result_notebook_retravaill!F352</f>
        <v>NIMBY</v>
      </c>
      <c r="G352">
        <f>[1]Result_notebook_retravaill!G352</f>
        <v>10755.25906669006</v>
      </c>
      <c r="H352" s="3">
        <f>IF([1]Result_notebook_retravaill!I352&gt;[1]Result_notebook_retravaill!G352,[1]Result_notebook_retravaill!I352/[1]Result_notebook_retravaill!N352,[1]Result_notebook_retravaill!H352)</f>
        <v>0</v>
      </c>
      <c r="I352" s="3">
        <f>[1]Result_notebook_retravaill!K352</f>
        <v>15364.655809557231</v>
      </c>
      <c r="J352" s="3">
        <f>MIN(G352,[1]Result_notebook_retravaill!I352)</f>
        <v>0</v>
      </c>
      <c r="K352" s="3">
        <f>IF([1]Result_notebook_retravaill!I352&gt;[1]Result_notebook_retravaill!G352,0,IF([1]Result_notebook_retravaill!I352+[1]Result_notebook_retravaill!J352&gt;[1]Result_notebook_retravaill!G352,[1]Result_notebook_retravaill!G352-[1]Result_notebook_retravaill!I352,[1]Result_notebook_retravaill!J352))</f>
        <v>0</v>
      </c>
      <c r="L352" s="3">
        <f>IF([1]Result_notebook_retravaill!I352&gt;[1]Result_notebook_retravaill!G352,0,IF([1]Result_notebook_retravaill!I352+[1]Result_notebook_retravaill!J352&gt;[1]Result_notebook_retravaill!G352,0,[1]Result_notebook_retravaill!M352))</f>
        <v>10755.25906669006</v>
      </c>
    </row>
    <row r="353" spans="1:12">
      <c r="A353">
        <f>[1]Result_notebook_retravaill!A353</f>
        <v>2028</v>
      </c>
      <c r="B353" t="str">
        <f>[1]Result_notebook_retravaill!B353</f>
        <v>Lithium</v>
      </c>
      <c r="C353" t="str">
        <f>[1]Result_notebook_retravaill!C353</f>
        <v>Current Measures</v>
      </c>
      <c r="D353" t="str">
        <f>[1]Result_notebook_retravaill!D353</f>
        <v>Existing production</v>
      </c>
      <c r="E353" t="str">
        <f>[1]Result_notebook_retravaill!E353</f>
        <v>Current shares</v>
      </c>
      <c r="F353" t="str">
        <f>[1]Result_notebook_retravaill!F353</f>
        <v>Status Quo</v>
      </c>
      <c r="G353">
        <f>[1]Result_notebook_retravaill!G353</f>
        <v>10755.25906669006</v>
      </c>
      <c r="H353" s="3">
        <f>IF([1]Result_notebook_retravaill!I353&gt;[1]Result_notebook_retravaill!G353,[1]Result_notebook_retravaill!I353/[1]Result_notebook_retravaill!N353,[1]Result_notebook_retravaill!H353)</f>
        <v>35770.170624963372</v>
      </c>
      <c r="I353" s="3">
        <f>[1]Result_notebook_retravaill!K353</f>
        <v>0</v>
      </c>
      <c r="J353" s="3">
        <f>MIN(G353,[1]Result_notebook_retravaill!I353)</f>
        <v>10755.25906669006</v>
      </c>
      <c r="K353" s="3">
        <f>IF([1]Result_notebook_retravaill!I353&gt;[1]Result_notebook_retravaill!G353,0,IF([1]Result_notebook_retravaill!I353+[1]Result_notebook_retravaill!J353&gt;[1]Result_notebook_retravaill!G353,[1]Result_notebook_retravaill!G353-[1]Result_notebook_retravaill!I353,[1]Result_notebook_retravaill!J353))</f>
        <v>0</v>
      </c>
      <c r="L353" s="3">
        <f>IF([1]Result_notebook_retravaill!I353&gt;[1]Result_notebook_retravaill!G353,0,IF([1]Result_notebook_retravaill!I353+[1]Result_notebook_retravaill!J353&gt;[1]Result_notebook_retravaill!G353,0,[1]Result_notebook_retravaill!M353))</f>
        <v>0</v>
      </c>
    </row>
    <row r="354" spans="1:12">
      <c r="A354">
        <f>[1]Result_notebook_retravaill!A354</f>
        <v>2028</v>
      </c>
      <c r="B354" t="str">
        <f>[1]Result_notebook_retravaill!B354</f>
        <v>Lithium</v>
      </c>
      <c r="C354" t="str">
        <f>[1]Result_notebook_retravaill!C354</f>
        <v>Current Measures</v>
      </c>
      <c r="D354" t="str">
        <f>[1]Result_notebook_retravaill!D354</f>
        <v>Production potential</v>
      </c>
      <c r="E354" t="str">
        <f>[1]Result_notebook_retravaill!E354</f>
        <v>Current shares</v>
      </c>
      <c r="F354" t="str">
        <f>[1]Result_notebook_retravaill!F354</f>
        <v>Expansion Extractive</v>
      </c>
      <c r="G354">
        <f>[1]Result_notebook_retravaill!G354</f>
        <v>10755.25906669006</v>
      </c>
      <c r="H354" s="3">
        <f>IF([1]Result_notebook_retravaill!I354&gt;[1]Result_notebook_retravaill!G354,[1]Result_notebook_retravaill!I354/[1]Result_notebook_retravaill!N354,[1]Result_notebook_retravaill!H354)</f>
        <v>144335.1064821099</v>
      </c>
      <c r="I354" s="3">
        <f>[1]Result_notebook_retravaill!K354</f>
        <v>0</v>
      </c>
      <c r="J354" s="3">
        <f>MIN(G354,[1]Result_notebook_retravaill!I354)</f>
        <v>10755.25906669006</v>
      </c>
      <c r="K354" s="3">
        <f>IF([1]Result_notebook_retravaill!I354&gt;[1]Result_notebook_retravaill!G354,0,IF([1]Result_notebook_retravaill!I354+[1]Result_notebook_retravaill!J354&gt;[1]Result_notebook_retravaill!G354,[1]Result_notebook_retravaill!G354-[1]Result_notebook_retravaill!I354,[1]Result_notebook_retravaill!J354))</f>
        <v>0</v>
      </c>
      <c r="L354" s="3">
        <f>IF([1]Result_notebook_retravaill!I354&gt;[1]Result_notebook_retravaill!G354,0,IF([1]Result_notebook_retravaill!I354+[1]Result_notebook_retravaill!J354&gt;[1]Result_notebook_retravaill!G354,0,[1]Result_notebook_retravaill!M354))</f>
        <v>0</v>
      </c>
    </row>
    <row r="355" spans="1:12">
      <c r="A355">
        <f>[1]Result_notebook_retravaill!A355</f>
        <v>2028</v>
      </c>
      <c r="B355" t="str">
        <f>[1]Result_notebook_retravaill!B355</f>
        <v>Lithium</v>
      </c>
      <c r="C355" t="str">
        <f>[1]Result_notebook_retravaill!C355</f>
        <v>Current Measures</v>
      </c>
      <c r="D355" t="str">
        <f>[1]Result_notebook_retravaill!D355</f>
        <v>Production potential</v>
      </c>
      <c r="E355" t="str">
        <f>[1]Result_notebook_retravaill!E355</f>
        <v>Current shares</v>
      </c>
      <c r="F355" t="str">
        <f>[1]Result_notebook_retravaill!F355</f>
        <v>Expansion Extractive+Circularity</v>
      </c>
      <c r="G355">
        <f>[1]Result_notebook_retravaill!G355</f>
        <v>10755.25906669006</v>
      </c>
      <c r="H355" s="3">
        <f>IF([1]Result_notebook_retravaill!I355&gt;[1]Result_notebook_retravaill!G355,[1]Result_notebook_retravaill!I355/[1]Result_notebook_retravaill!N355,[1]Result_notebook_retravaill!H355)</f>
        <v>144335.1064821099</v>
      </c>
      <c r="I355" s="3">
        <f>[1]Result_notebook_retravaill!K355</f>
        <v>0</v>
      </c>
      <c r="J355" s="3">
        <f>MIN(G355,[1]Result_notebook_retravaill!I355)</f>
        <v>10755.25906669006</v>
      </c>
      <c r="K355" s="3">
        <f>IF([1]Result_notebook_retravaill!I355&gt;[1]Result_notebook_retravaill!G355,0,IF([1]Result_notebook_retravaill!I355+[1]Result_notebook_retravaill!J355&gt;[1]Result_notebook_retravaill!G355,[1]Result_notebook_retravaill!G355-[1]Result_notebook_retravaill!I355,[1]Result_notebook_retravaill!J355))</f>
        <v>0</v>
      </c>
      <c r="L355" s="3">
        <f>IF([1]Result_notebook_retravaill!I355&gt;[1]Result_notebook_retravaill!G355,0,IF([1]Result_notebook_retravaill!I355+[1]Result_notebook_retravaill!J355&gt;[1]Result_notebook_retravaill!G355,0,[1]Result_notebook_retravaill!M355))</f>
        <v>0</v>
      </c>
    </row>
    <row r="356" spans="1:12">
      <c r="A356">
        <f>[1]Result_notebook_retravaill!A356</f>
        <v>2028</v>
      </c>
      <c r="B356" t="str">
        <f>[1]Result_notebook_retravaill!B356</f>
        <v>Lithium</v>
      </c>
      <c r="C356" t="str">
        <f>[1]Result_notebook_retravaill!C356</f>
        <v>Current Measures</v>
      </c>
      <c r="D356" t="str">
        <f>[1]Result_notebook_retravaill!D356</f>
        <v>Production potential</v>
      </c>
      <c r="E356" t="str">
        <f>[1]Result_notebook_retravaill!E356</f>
        <v>100% CAN</v>
      </c>
      <c r="F356" t="str">
        <f>[1]Result_notebook_retravaill!F356</f>
        <v>Integrated</v>
      </c>
      <c r="G356">
        <f>[1]Result_notebook_retravaill!G356</f>
        <v>10755.25906669006</v>
      </c>
      <c r="H356" s="3">
        <f>IF([1]Result_notebook_retravaill!I356&gt;[1]Result_notebook_retravaill!G356,[1]Result_notebook_retravaill!I356/[1]Result_notebook_retravaill!N356,[1]Result_notebook_retravaill!H356)</f>
        <v>144335.1064821099</v>
      </c>
      <c r="I356" s="3">
        <f>[1]Result_notebook_retravaill!K356</f>
        <v>0</v>
      </c>
      <c r="J356" s="3">
        <f>MIN(G356,[1]Result_notebook_retravaill!I356)</f>
        <v>10755.25906669006</v>
      </c>
      <c r="K356" s="3">
        <f>IF([1]Result_notebook_retravaill!I356&gt;[1]Result_notebook_retravaill!G356,0,IF([1]Result_notebook_retravaill!I356+[1]Result_notebook_retravaill!J356&gt;[1]Result_notebook_retravaill!G356,[1]Result_notebook_retravaill!G356-[1]Result_notebook_retravaill!I356,[1]Result_notebook_retravaill!J356))</f>
        <v>0</v>
      </c>
      <c r="L356" s="3">
        <f>IF([1]Result_notebook_retravaill!I356&gt;[1]Result_notebook_retravaill!G356,0,IF([1]Result_notebook_retravaill!I356+[1]Result_notebook_retravaill!J356&gt;[1]Result_notebook_retravaill!G356,0,[1]Result_notebook_retravaill!M356))</f>
        <v>0</v>
      </c>
    </row>
    <row r="357" spans="1:12">
      <c r="A357">
        <f>[1]Result_notebook_retravaill!A357</f>
        <v>2028</v>
      </c>
      <c r="B357" t="str">
        <f>[1]Result_notebook_retravaill!B357</f>
        <v>Lithium</v>
      </c>
      <c r="C357" t="str">
        <f>[1]Result_notebook_retravaill!C357</f>
        <v>Global Net-zero</v>
      </c>
      <c r="D357" t="str">
        <f>[1]Result_notebook_retravaill!D357</f>
        <v>Existing production</v>
      </c>
      <c r="E357" t="str">
        <f>[1]Result_notebook_retravaill!E357</f>
        <v>Current shares</v>
      </c>
      <c r="F357" t="str">
        <f>[1]Result_notebook_retravaill!F357</f>
        <v>NIMBY</v>
      </c>
      <c r="G357">
        <f>[1]Result_notebook_retravaill!G357</f>
        <v>18320.51139623878</v>
      </c>
      <c r="H357" s="3">
        <f>IF([1]Result_notebook_retravaill!I357&gt;[1]Result_notebook_retravaill!G357,[1]Result_notebook_retravaill!I357/[1]Result_notebook_retravaill!N357,[1]Result_notebook_retravaill!H357)</f>
        <v>0</v>
      </c>
      <c r="I357" s="3">
        <f>[1]Result_notebook_retravaill!K357</f>
        <v>26172.15913748397</v>
      </c>
      <c r="J357" s="3">
        <f>MIN(G357,[1]Result_notebook_retravaill!I357)</f>
        <v>0</v>
      </c>
      <c r="K357" s="3">
        <f>IF([1]Result_notebook_retravaill!I357&gt;[1]Result_notebook_retravaill!G357,0,IF([1]Result_notebook_retravaill!I357+[1]Result_notebook_retravaill!J357&gt;[1]Result_notebook_retravaill!G357,[1]Result_notebook_retravaill!G357-[1]Result_notebook_retravaill!I357,[1]Result_notebook_retravaill!J357))</f>
        <v>0</v>
      </c>
      <c r="L357" s="3">
        <f>IF([1]Result_notebook_retravaill!I357&gt;[1]Result_notebook_retravaill!G357,0,IF([1]Result_notebook_retravaill!I357+[1]Result_notebook_retravaill!J357&gt;[1]Result_notebook_retravaill!G357,0,[1]Result_notebook_retravaill!M357))</f>
        <v>18320.51139623878</v>
      </c>
    </row>
    <row r="358" spans="1:12">
      <c r="A358">
        <f>[1]Result_notebook_retravaill!A358</f>
        <v>2028</v>
      </c>
      <c r="B358" t="str">
        <f>[1]Result_notebook_retravaill!B358</f>
        <v>Lithium</v>
      </c>
      <c r="C358" t="str">
        <f>[1]Result_notebook_retravaill!C358</f>
        <v>Global Net-zero</v>
      </c>
      <c r="D358" t="str">
        <f>[1]Result_notebook_retravaill!D358</f>
        <v>Existing production</v>
      </c>
      <c r="E358" t="str">
        <f>[1]Result_notebook_retravaill!E358</f>
        <v>Current shares</v>
      </c>
      <c r="F358" t="str">
        <f>[1]Result_notebook_retravaill!F358</f>
        <v>Status Quo</v>
      </c>
      <c r="G358">
        <f>[1]Result_notebook_retravaill!G358</f>
        <v>18320.51139623878</v>
      </c>
      <c r="H358" s="3">
        <f>IF([1]Result_notebook_retravaill!I358&gt;[1]Result_notebook_retravaill!G358,[1]Result_notebook_retravaill!I358/[1]Result_notebook_retravaill!N358,[1]Result_notebook_retravaill!H358)</f>
        <v>35770.170624963372</v>
      </c>
      <c r="I358" s="3">
        <f>[1]Result_notebook_retravaill!K358</f>
        <v>0</v>
      </c>
      <c r="J358" s="3">
        <f>MIN(G358,[1]Result_notebook_retravaill!I358)</f>
        <v>18320.51139623878</v>
      </c>
      <c r="K358" s="3">
        <f>IF([1]Result_notebook_retravaill!I358&gt;[1]Result_notebook_retravaill!G358,0,IF([1]Result_notebook_retravaill!I358+[1]Result_notebook_retravaill!J358&gt;[1]Result_notebook_retravaill!G358,[1]Result_notebook_retravaill!G358-[1]Result_notebook_retravaill!I358,[1]Result_notebook_retravaill!J358))</f>
        <v>0</v>
      </c>
      <c r="L358" s="3">
        <f>IF([1]Result_notebook_retravaill!I358&gt;[1]Result_notebook_retravaill!G358,0,IF([1]Result_notebook_retravaill!I358+[1]Result_notebook_retravaill!J358&gt;[1]Result_notebook_retravaill!G358,0,[1]Result_notebook_retravaill!M358))</f>
        <v>0</v>
      </c>
    </row>
    <row r="359" spans="1:12">
      <c r="A359">
        <f>[1]Result_notebook_retravaill!A359</f>
        <v>2028</v>
      </c>
      <c r="B359" t="str">
        <f>[1]Result_notebook_retravaill!B359</f>
        <v>Lithium</v>
      </c>
      <c r="C359" t="str">
        <f>[1]Result_notebook_retravaill!C359</f>
        <v>Global Net-zero</v>
      </c>
      <c r="D359" t="str">
        <f>[1]Result_notebook_retravaill!D359</f>
        <v>Production potential</v>
      </c>
      <c r="E359" t="str">
        <f>[1]Result_notebook_retravaill!E359</f>
        <v>Current shares</v>
      </c>
      <c r="F359" t="str">
        <f>[1]Result_notebook_retravaill!F359</f>
        <v>Expansion Extractive</v>
      </c>
      <c r="G359">
        <f>[1]Result_notebook_retravaill!G359</f>
        <v>18320.51139623878</v>
      </c>
      <c r="H359" s="3">
        <f>IF([1]Result_notebook_retravaill!I359&gt;[1]Result_notebook_retravaill!G359,[1]Result_notebook_retravaill!I359/[1]Result_notebook_retravaill!N359,[1]Result_notebook_retravaill!H359)</f>
        <v>144335.1064821099</v>
      </c>
      <c r="I359" s="3">
        <f>[1]Result_notebook_retravaill!K359</f>
        <v>0</v>
      </c>
      <c r="J359" s="3">
        <f>MIN(G359,[1]Result_notebook_retravaill!I359)</f>
        <v>18320.51139623878</v>
      </c>
      <c r="K359" s="3">
        <f>IF([1]Result_notebook_retravaill!I359&gt;[1]Result_notebook_retravaill!G359,0,IF([1]Result_notebook_retravaill!I359+[1]Result_notebook_retravaill!J359&gt;[1]Result_notebook_retravaill!G359,[1]Result_notebook_retravaill!G359-[1]Result_notebook_retravaill!I359,[1]Result_notebook_retravaill!J359))</f>
        <v>0</v>
      </c>
      <c r="L359" s="3">
        <f>IF([1]Result_notebook_retravaill!I359&gt;[1]Result_notebook_retravaill!G359,0,IF([1]Result_notebook_retravaill!I359+[1]Result_notebook_retravaill!J359&gt;[1]Result_notebook_retravaill!G359,0,[1]Result_notebook_retravaill!M359))</f>
        <v>0</v>
      </c>
    </row>
    <row r="360" spans="1:12">
      <c r="A360">
        <f>[1]Result_notebook_retravaill!A360</f>
        <v>2028</v>
      </c>
      <c r="B360" t="str">
        <f>[1]Result_notebook_retravaill!B360</f>
        <v>Lithium</v>
      </c>
      <c r="C360" t="str">
        <f>[1]Result_notebook_retravaill!C360</f>
        <v>Global Net-zero</v>
      </c>
      <c r="D360" t="str">
        <f>[1]Result_notebook_retravaill!D360</f>
        <v>Production potential</v>
      </c>
      <c r="E360" t="str">
        <f>[1]Result_notebook_retravaill!E360</f>
        <v>Current shares</v>
      </c>
      <c r="F360" t="str">
        <f>[1]Result_notebook_retravaill!F360</f>
        <v>Expansion Extractive+Circularity</v>
      </c>
      <c r="G360">
        <f>[1]Result_notebook_retravaill!G360</f>
        <v>18320.51139623878</v>
      </c>
      <c r="H360" s="3">
        <f>IF([1]Result_notebook_retravaill!I360&gt;[1]Result_notebook_retravaill!G360,[1]Result_notebook_retravaill!I360/[1]Result_notebook_retravaill!N360,[1]Result_notebook_retravaill!H360)</f>
        <v>144335.1064821099</v>
      </c>
      <c r="I360" s="3">
        <f>[1]Result_notebook_retravaill!K360</f>
        <v>0</v>
      </c>
      <c r="J360" s="3">
        <f>MIN(G360,[1]Result_notebook_retravaill!I360)</f>
        <v>18320.51139623878</v>
      </c>
      <c r="K360" s="3">
        <f>IF([1]Result_notebook_retravaill!I360&gt;[1]Result_notebook_retravaill!G360,0,IF([1]Result_notebook_retravaill!I360+[1]Result_notebook_retravaill!J360&gt;[1]Result_notebook_retravaill!G360,[1]Result_notebook_retravaill!G360-[1]Result_notebook_retravaill!I360,[1]Result_notebook_retravaill!J360))</f>
        <v>0</v>
      </c>
      <c r="L360" s="3">
        <f>IF([1]Result_notebook_retravaill!I360&gt;[1]Result_notebook_retravaill!G360,0,IF([1]Result_notebook_retravaill!I360+[1]Result_notebook_retravaill!J360&gt;[1]Result_notebook_retravaill!G360,0,[1]Result_notebook_retravaill!M360))</f>
        <v>0</v>
      </c>
    </row>
    <row r="361" spans="1:12">
      <c r="A361">
        <f>[1]Result_notebook_retravaill!A361</f>
        <v>2028</v>
      </c>
      <c r="B361" t="str">
        <f>[1]Result_notebook_retravaill!B361</f>
        <v>Lithium</v>
      </c>
      <c r="C361" t="str">
        <f>[1]Result_notebook_retravaill!C361</f>
        <v>Global Net-zero</v>
      </c>
      <c r="D361" t="str">
        <f>[1]Result_notebook_retravaill!D361</f>
        <v>Production potential</v>
      </c>
      <c r="E361" t="str">
        <f>[1]Result_notebook_retravaill!E361</f>
        <v>100% CAN</v>
      </c>
      <c r="F361" t="str">
        <f>[1]Result_notebook_retravaill!F361</f>
        <v>Integrated</v>
      </c>
      <c r="G361">
        <f>[1]Result_notebook_retravaill!G361</f>
        <v>18320.51139623878</v>
      </c>
      <c r="H361" s="3">
        <f>IF([1]Result_notebook_retravaill!I361&gt;[1]Result_notebook_retravaill!G361,[1]Result_notebook_retravaill!I361/[1]Result_notebook_retravaill!N361,[1]Result_notebook_retravaill!H361)</f>
        <v>144335.1064821099</v>
      </c>
      <c r="I361" s="3">
        <f>[1]Result_notebook_retravaill!K361</f>
        <v>0</v>
      </c>
      <c r="J361" s="3">
        <f>MIN(G361,[1]Result_notebook_retravaill!I361)</f>
        <v>18320.51139623878</v>
      </c>
      <c r="K361" s="3">
        <f>IF([1]Result_notebook_retravaill!I361&gt;[1]Result_notebook_retravaill!G361,0,IF([1]Result_notebook_retravaill!I361+[1]Result_notebook_retravaill!J361&gt;[1]Result_notebook_retravaill!G361,[1]Result_notebook_retravaill!G361-[1]Result_notebook_retravaill!I361,[1]Result_notebook_retravaill!J361))</f>
        <v>0</v>
      </c>
      <c r="L361" s="3">
        <f>IF([1]Result_notebook_retravaill!I361&gt;[1]Result_notebook_retravaill!G361,0,IF([1]Result_notebook_retravaill!I361+[1]Result_notebook_retravaill!J361&gt;[1]Result_notebook_retravaill!G361,0,[1]Result_notebook_retravaill!M361))</f>
        <v>0</v>
      </c>
    </row>
    <row r="362" spans="1:12">
      <c r="A362">
        <f>[1]Result_notebook_retravaill!A362</f>
        <v>2029</v>
      </c>
      <c r="B362" t="str">
        <f>[1]Result_notebook_retravaill!B362</f>
        <v>Cobalt</v>
      </c>
      <c r="C362" t="str">
        <f>[1]Result_notebook_retravaill!C362</f>
        <v>Canada Net-zero</v>
      </c>
      <c r="D362" t="str">
        <f>[1]Result_notebook_retravaill!D362</f>
        <v>Existing production</v>
      </c>
      <c r="E362" t="str">
        <f>[1]Result_notebook_retravaill!E362</f>
        <v>Current shares</v>
      </c>
      <c r="F362" t="str">
        <f>[1]Result_notebook_retravaill!F362</f>
        <v>NIMBY</v>
      </c>
      <c r="G362">
        <f>[1]Result_notebook_retravaill!G362</f>
        <v>45543.6522807039</v>
      </c>
      <c r="H362" s="3">
        <f>IF([1]Result_notebook_retravaill!I362&gt;[1]Result_notebook_retravaill!G362,[1]Result_notebook_retravaill!I362/[1]Result_notebook_retravaill!N362,[1]Result_notebook_retravaill!H362)</f>
        <v>0</v>
      </c>
      <c r="I362" s="3">
        <f>[1]Result_notebook_retravaill!K362</f>
        <v>103508.3006379634</v>
      </c>
      <c r="J362" s="3">
        <f>MIN(G362,[1]Result_notebook_retravaill!I362)</f>
        <v>0</v>
      </c>
      <c r="K362" s="3">
        <f>IF([1]Result_notebook_retravaill!I362&gt;[1]Result_notebook_retravaill!G362,0,IF([1]Result_notebook_retravaill!I362+[1]Result_notebook_retravaill!J362&gt;[1]Result_notebook_retravaill!G362,[1]Result_notebook_retravaill!G362-[1]Result_notebook_retravaill!I362,[1]Result_notebook_retravaill!J362))</f>
        <v>0</v>
      </c>
      <c r="L362" s="3">
        <f>IF([1]Result_notebook_retravaill!I362&gt;[1]Result_notebook_retravaill!G362,0,IF([1]Result_notebook_retravaill!I362+[1]Result_notebook_retravaill!J362&gt;[1]Result_notebook_retravaill!G362,0,[1]Result_notebook_retravaill!M362))</f>
        <v>45543.6522807039</v>
      </c>
    </row>
    <row r="363" spans="1:12">
      <c r="A363">
        <f>[1]Result_notebook_retravaill!A363</f>
        <v>2029</v>
      </c>
      <c r="B363" t="str">
        <f>[1]Result_notebook_retravaill!B363</f>
        <v>Cobalt</v>
      </c>
      <c r="C363" t="str">
        <f>[1]Result_notebook_retravaill!C363</f>
        <v>Canada Net-zero</v>
      </c>
      <c r="D363" t="str">
        <f>[1]Result_notebook_retravaill!D363</f>
        <v>Existing production</v>
      </c>
      <c r="E363" t="str">
        <f>[1]Result_notebook_retravaill!E363</f>
        <v>Current shares</v>
      </c>
      <c r="F363" t="str">
        <f>[1]Result_notebook_retravaill!F363</f>
        <v>Status Quo</v>
      </c>
      <c r="G363">
        <f>[1]Result_notebook_retravaill!G363</f>
        <v>45543.6522807039</v>
      </c>
      <c r="H363" s="3">
        <f>IF([1]Result_notebook_retravaill!I363&gt;[1]Result_notebook_retravaill!G363,[1]Result_notebook_retravaill!I363/[1]Result_notebook_retravaill!N363,[1]Result_notebook_retravaill!H363)</f>
        <v>3861</v>
      </c>
      <c r="I363" s="3">
        <f>[1]Result_notebook_retravaill!K363</f>
        <v>99647.300637963403</v>
      </c>
      <c r="J363" s="3">
        <f>MIN(G363,[1]Result_notebook_retravaill!I363)</f>
        <v>1637.7660393504759</v>
      </c>
      <c r="K363" s="3">
        <f>IF([1]Result_notebook_retravaill!I363&gt;[1]Result_notebook_retravaill!G363,0,IF([1]Result_notebook_retravaill!I363+[1]Result_notebook_retravaill!J363&gt;[1]Result_notebook_retravaill!G363,[1]Result_notebook_retravaill!G363-[1]Result_notebook_retravaill!I363,[1]Result_notebook_retravaill!J363))</f>
        <v>58.551050766946219</v>
      </c>
      <c r="L363" s="3">
        <f>IF([1]Result_notebook_retravaill!I363&gt;[1]Result_notebook_retravaill!G363,0,IF([1]Result_notebook_retravaill!I363+[1]Result_notebook_retravaill!J363&gt;[1]Result_notebook_retravaill!G363,0,[1]Result_notebook_retravaill!M363))</f>
        <v>43847.335190586477</v>
      </c>
    </row>
    <row r="364" spans="1:12">
      <c r="A364">
        <f>[1]Result_notebook_retravaill!A364</f>
        <v>2029</v>
      </c>
      <c r="B364" t="str">
        <f>[1]Result_notebook_retravaill!B364</f>
        <v>Cobalt</v>
      </c>
      <c r="C364" t="str">
        <f>[1]Result_notebook_retravaill!C364</f>
        <v>Canada Net-zero</v>
      </c>
      <c r="D364" t="str">
        <f>[1]Result_notebook_retravaill!D364</f>
        <v>Production potential</v>
      </c>
      <c r="E364" t="str">
        <f>[1]Result_notebook_retravaill!E364</f>
        <v>Current shares</v>
      </c>
      <c r="F364" t="str">
        <f>[1]Result_notebook_retravaill!F364</f>
        <v>Expansion Extractive</v>
      </c>
      <c r="G364">
        <f>[1]Result_notebook_retravaill!G364</f>
        <v>45543.6522807039</v>
      </c>
      <c r="H364" s="3">
        <f>IF([1]Result_notebook_retravaill!I364&gt;[1]Result_notebook_retravaill!G364,[1]Result_notebook_retravaill!I364/[1]Result_notebook_retravaill!N364,[1]Result_notebook_retravaill!H364)</f>
        <v>6719.1794773198644</v>
      </c>
      <c r="I364" s="3">
        <f>[1]Result_notebook_retravaill!K364</f>
        <v>96789.121160643539</v>
      </c>
      <c r="J364" s="3">
        <f>MIN(G364,[1]Result_notebook_retravaill!I364)</f>
        <v>2850.1538358599209</v>
      </c>
      <c r="K364" s="3">
        <f>IF([1]Result_notebook_retravaill!I364&gt;[1]Result_notebook_retravaill!G364,0,IF([1]Result_notebook_retravaill!I364+[1]Result_notebook_retravaill!J364&gt;[1]Result_notebook_retravaill!G364,[1]Result_notebook_retravaill!G364-[1]Result_notebook_retravaill!I364,[1]Result_notebook_retravaill!J364))</f>
        <v>101.89459173498517</v>
      </c>
      <c r="L364" s="3">
        <f>IF([1]Result_notebook_retravaill!I364&gt;[1]Result_notebook_retravaill!G364,0,IF([1]Result_notebook_retravaill!I364+[1]Result_notebook_retravaill!J364&gt;[1]Result_notebook_retravaill!G364,0,[1]Result_notebook_retravaill!M364))</f>
        <v>42591.603853108994</v>
      </c>
    </row>
    <row r="365" spans="1:12">
      <c r="A365">
        <f>[1]Result_notebook_retravaill!A365</f>
        <v>2029</v>
      </c>
      <c r="B365" t="str">
        <f>[1]Result_notebook_retravaill!B365</f>
        <v>Cobalt</v>
      </c>
      <c r="C365" t="str">
        <f>[1]Result_notebook_retravaill!C365</f>
        <v>Canada Net-zero</v>
      </c>
      <c r="D365" t="str">
        <f>[1]Result_notebook_retravaill!D365</f>
        <v>Production potential</v>
      </c>
      <c r="E365" t="str">
        <f>[1]Result_notebook_retravaill!E365</f>
        <v>Current shares</v>
      </c>
      <c r="F365" t="str">
        <f>[1]Result_notebook_retravaill!F365</f>
        <v>Expansion Extractive+Circularity</v>
      </c>
      <c r="G365">
        <f>[1]Result_notebook_retravaill!G365</f>
        <v>45543.6522807039</v>
      </c>
      <c r="H365" s="3">
        <f>IF([1]Result_notebook_retravaill!I365&gt;[1]Result_notebook_retravaill!G365,[1]Result_notebook_retravaill!I365/[1]Result_notebook_retravaill!N365,[1]Result_notebook_retravaill!H365)</f>
        <v>6719.1794773198644</v>
      </c>
      <c r="I365" s="3">
        <f>[1]Result_notebook_retravaill!K365</f>
        <v>96789.121160643539</v>
      </c>
      <c r="J365" s="3">
        <f>MIN(G365,[1]Result_notebook_retravaill!I365)</f>
        <v>2850.1538358599209</v>
      </c>
      <c r="K365" s="3">
        <f>IF([1]Result_notebook_retravaill!I365&gt;[1]Result_notebook_retravaill!G365,0,IF([1]Result_notebook_retravaill!I365+[1]Result_notebook_retravaill!J365&gt;[1]Result_notebook_retravaill!G365,[1]Result_notebook_retravaill!G365-[1]Result_notebook_retravaill!I365,[1]Result_notebook_retravaill!J365))</f>
        <v>101.89459173498517</v>
      </c>
      <c r="L365" s="3">
        <f>IF([1]Result_notebook_retravaill!I365&gt;[1]Result_notebook_retravaill!G365,0,IF([1]Result_notebook_retravaill!I365+[1]Result_notebook_retravaill!J365&gt;[1]Result_notebook_retravaill!G365,0,[1]Result_notebook_retravaill!M365))</f>
        <v>42591.603853108994</v>
      </c>
    </row>
    <row r="366" spans="1:12">
      <c r="A366">
        <f>[1]Result_notebook_retravaill!A366</f>
        <v>2029</v>
      </c>
      <c r="B366" t="str">
        <f>[1]Result_notebook_retravaill!B366</f>
        <v>Cobalt</v>
      </c>
      <c r="C366" t="str">
        <f>[1]Result_notebook_retravaill!C366</f>
        <v>Canada Net-zero</v>
      </c>
      <c r="D366" t="str">
        <f>[1]Result_notebook_retravaill!D366</f>
        <v>Production potential</v>
      </c>
      <c r="E366" t="str">
        <f>[1]Result_notebook_retravaill!E366</f>
        <v>100% CAN</v>
      </c>
      <c r="F366" t="str">
        <f>[1]Result_notebook_retravaill!F366</f>
        <v>Integrated</v>
      </c>
      <c r="G366">
        <f>[1]Result_notebook_retravaill!G366</f>
        <v>45543.6522807039</v>
      </c>
      <c r="H366" s="3">
        <f>IF([1]Result_notebook_retravaill!I366&gt;[1]Result_notebook_retravaill!G366,[1]Result_notebook_retravaill!I366/[1]Result_notebook_retravaill!N366,[1]Result_notebook_retravaill!H366)</f>
        <v>6719.1794773198644</v>
      </c>
      <c r="I366" s="3">
        <f>[1]Result_notebook_retravaill!K366</f>
        <v>96789.121160643539</v>
      </c>
      <c r="J366" s="3">
        <f>MIN(G366,[1]Result_notebook_retravaill!I366)</f>
        <v>2952.0484275949088</v>
      </c>
      <c r="K366" s="3">
        <f>IF([1]Result_notebook_retravaill!I366&gt;[1]Result_notebook_retravaill!G366,0,IF([1]Result_notebook_retravaill!I366+[1]Result_notebook_retravaill!J366&gt;[1]Result_notebook_retravaill!G366,[1]Result_notebook_retravaill!G366-[1]Result_notebook_retravaill!I366,[1]Result_notebook_retravaill!J366))</f>
        <v>0</v>
      </c>
      <c r="L366" s="3">
        <f>IF([1]Result_notebook_retravaill!I366&gt;[1]Result_notebook_retravaill!G366,0,IF([1]Result_notebook_retravaill!I366+[1]Result_notebook_retravaill!J366&gt;[1]Result_notebook_retravaill!G366,0,[1]Result_notebook_retravaill!M366))</f>
        <v>42591.603853108987</v>
      </c>
    </row>
    <row r="367" spans="1:12">
      <c r="A367">
        <f>[1]Result_notebook_retravaill!A367</f>
        <v>2029</v>
      </c>
      <c r="B367" t="str">
        <f>[1]Result_notebook_retravaill!B367</f>
        <v>Cobalt</v>
      </c>
      <c r="C367" t="str">
        <f>[1]Result_notebook_retravaill!C367</f>
        <v>Current Measures</v>
      </c>
      <c r="D367" t="str">
        <f>[1]Result_notebook_retravaill!D367</f>
        <v>Existing production</v>
      </c>
      <c r="E367" t="str">
        <f>[1]Result_notebook_retravaill!E367</f>
        <v>Current shares</v>
      </c>
      <c r="F367" t="str">
        <f>[1]Result_notebook_retravaill!F367</f>
        <v>NIMBY</v>
      </c>
      <c r="G367">
        <f>[1]Result_notebook_retravaill!G367</f>
        <v>23796.365693498821</v>
      </c>
      <c r="H367" s="3">
        <f>IF([1]Result_notebook_retravaill!I367&gt;[1]Result_notebook_retravaill!G367,[1]Result_notebook_retravaill!I367/[1]Result_notebook_retravaill!N367,[1]Result_notebook_retravaill!H367)</f>
        <v>0</v>
      </c>
      <c r="I367" s="3">
        <f>[1]Result_notebook_retravaill!K367</f>
        <v>54082.649303406411</v>
      </c>
      <c r="J367" s="3">
        <f>MIN(G367,[1]Result_notebook_retravaill!I367)</f>
        <v>0</v>
      </c>
      <c r="K367" s="3">
        <f>IF([1]Result_notebook_retravaill!I367&gt;[1]Result_notebook_retravaill!G367,0,IF([1]Result_notebook_retravaill!I367+[1]Result_notebook_retravaill!J367&gt;[1]Result_notebook_retravaill!G367,[1]Result_notebook_retravaill!G367-[1]Result_notebook_retravaill!I367,[1]Result_notebook_retravaill!J367))</f>
        <v>0</v>
      </c>
      <c r="L367" s="3">
        <f>IF([1]Result_notebook_retravaill!I367&gt;[1]Result_notebook_retravaill!G367,0,IF([1]Result_notebook_retravaill!I367+[1]Result_notebook_retravaill!J367&gt;[1]Result_notebook_retravaill!G367,0,[1]Result_notebook_retravaill!M367))</f>
        <v>23796.365693498821</v>
      </c>
    </row>
    <row r="368" spans="1:12">
      <c r="A368">
        <f>[1]Result_notebook_retravaill!A368</f>
        <v>2029</v>
      </c>
      <c r="B368" t="str">
        <f>[1]Result_notebook_retravaill!B368</f>
        <v>Cobalt</v>
      </c>
      <c r="C368" t="str">
        <f>[1]Result_notebook_retravaill!C368</f>
        <v>Current Measures</v>
      </c>
      <c r="D368" t="str">
        <f>[1]Result_notebook_retravaill!D368</f>
        <v>Existing production</v>
      </c>
      <c r="E368" t="str">
        <f>[1]Result_notebook_retravaill!E368</f>
        <v>Current shares</v>
      </c>
      <c r="F368" t="str">
        <f>[1]Result_notebook_retravaill!F368</f>
        <v>Status Quo</v>
      </c>
      <c r="G368">
        <f>[1]Result_notebook_retravaill!G368</f>
        <v>23796.365693498821</v>
      </c>
      <c r="H368" s="3">
        <f>IF([1]Result_notebook_retravaill!I368&gt;[1]Result_notebook_retravaill!G368,[1]Result_notebook_retravaill!I368/[1]Result_notebook_retravaill!N368,[1]Result_notebook_retravaill!H368)</f>
        <v>3861</v>
      </c>
      <c r="I368" s="3">
        <f>[1]Result_notebook_retravaill!K368</f>
        <v>50221.649303406411</v>
      </c>
      <c r="J368" s="3">
        <f>MIN(G368,[1]Result_notebook_retravaill!I368)</f>
        <v>1637.7660393504759</v>
      </c>
      <c r="K368" s="3">
        <f>IF([1]Result_notebook_retravaill!I368&gt;[1]Result_notebook_retravaill!G368,0,IF([1]Result_notebook_retravaill!I368+[1]Result_notebook_retravaill!J368&gt;[1]Result_notebook_retravaill!G368,[1]Result_notebook_retravaill!G368-[1]Result_notebook_retravaill!I368,[1]Result_notebook_retravaill!J368))</f>
        <v>58.551050766946219</v>
      </c>
      <c r="L368" s="3">
        <f>IF([1]Result_notebook_retravaill!I368&gt;[1]Result_notebook_retravaill!G368,0,IF([1]Result_notebook_retravaill!I368+[1]Result_notebook_retravaill!J368&gt;[1]Result_notebook_retravaill!G368,0,[1]Result_notebook_retravaill!M368))</f>
        <v>22100.048603381394</v>
      </c>
    </row>
    <row r="369" spans="1:12">
      <c r="A369">
        <f>[1]Result_notebook_retravaill!A369</f>
        <v>2029</v>
      </c>
      <c r="B369" t="str">
        <f>[1]Result_notebook_retravaill!B369</f>
        <v>Cobalt</v>
      </c>
      <c r="C369" t="str">
        <f>[1]Result_notebook_retravaill!C369</f>
        <v>Current Measures</v>
      </c>
      <c r="D369" t="str">
        <f>[1]Result_notebook_retravaill!D369</f>
        <v>Production potential</v>
      </c>
      <c r="E369" t="str">
        <f>[1]Result_notebook_retravaill!E369</f>
        <v>Current shares</v>
      </c>
      <c r="F369" t="str">
        <f>[1]Result_notebook_retravaill!F369</f>
        <v>Expansion Extractive</v>
      </c>
      <c r="G369">
        <f>[1]Result_notebook_retravaill!G369</f>
        <v>23796.365693498821</v>
      </c>
      <c r="H369" s="3">
        <f>IF([1]Result_notebook_retravaill!I369&gt;[1]Result_notebook_retravaill!G369,[1]Result_notebook_retravaill!I369/[1]Result_notebook_retravaill!N369,[1]Result_notebook_retravaill!H369)</f>
        <v>6719.1794773198644</v>
      </c>
      <c r="I369" s="3">
        <f>[1]Result_notebook_retravaill!K369</f>
        <v>47363.469826086548</v>
      </c>
      <c r="J369" s="3">
        <f>MIN(G369,[1]Result_notebook_retravaill!I369)</f>
        <v>2850.1538358599209</v>
      </c>
      <c r="K369" s="3">
        <f>IF([1]Result_notebook_retravaill!I369&gt;[1]Result_notebook_retravaill!G369,0,IF([1]Result_notebook_retravaill!I369+[1]Result_notebook_retravaill!J369&gt;[1]Result_notebook_retravaill!G369,[1]Result_notebook_retravaill!G369-[1]Result_notebook_retravaill!I369,[1]Result_notebook_retravaill!J369))</f>
        <v>101.89459173498517</v>
      </c>
      <c r="L369" s="3">
        <f>IF([1]Result_notebook_retravaill!I369&gt;[1]Result_notebook_retravaill!G369,0,IF([1]Result_notebook_retravaill!I369+[1]Result_notebook_retravaill!J369&gt;[1]Result_notebook_retravaill!G369,0,[1]Result_notebook_retravaill!M369))</f>
        <v>20844.317265903916</v>
      </c>
    </row>
    <row r="370" spans="1:12">
      <c r="A370">
        <f>[1]Result_notebook_retravaill!A370</f>
        <v>2029</v>
      </c>
      <c r="B370" t="str">
        <f>[1]Result_notebook_retravaill!B370</f>
        <v>Cobalt</v>
      </c>
      <c r="C370" t="str">
        <f>[1]Result_notebook_retravaill!C370</f>
        <v>Current Measures</v>
      </c>
      <c r="D370" t="str">
        <f>[1]Result_notebook_retravaill!D370</f>
        <v>Production potential</v>
      </c>
      <c r="E370" t="str">
        <f>[1]Result_notebook_retravaill!E370</f>
        <v>Current shares</v>
      </c>
      <c r="F370" t="str">
        <f>[1]Result_notebook_retravaill!F370</f>
        <v>Expansion Extractive+Circularity</v>
      </c>
      <c r="G370">
        <f>[1]Result_notebook_retravaill!G370</f>
        <v>23796.365693498821</v>
      </c>
      <c r="H370" s="3">
        <f>IF([1]Result_notebook_retravaill!I370&gt;[1]Result_notebook_retravaill!G370,[1]Result_notebook_retravaill!I370/[1]Result_notebook_retravaill!N370,[1]Result_notebook_retravaill!H370)</f>
        <v>6719.1794773198644</v>
      </c>
      <c r="I370" s="3">
        <f>[1]Result_notebook_retravaill!K370</f>
        <v>47363.469826086548</v>
      </c>
      <c r="J370" s="3">
        <f>MIN(G370,[1]Result_notebook_retravaill!I370)</f>
        <v>2850.1538358599209</v>
      </c>
      <c r="K370" s="3">
        <f>IF([1]Result_notebook_retravaill!I370&gt;[1]Result_notebook_retravaill!G370,0,IF([1]Result_notebook_retravaill!I370+[1]Result_notebook_retravaill!J370&gt;[1]Result_notebook_retravaill!G370,[1]Result_notebook_retravaill!G370-[1]Result_notebook_retravaill!I370,[1]Result_notebook_retravaill!J370))</f>
        <v>101.89459173498517</v>
      </c>
      <c r="L370" s="3">
        <f>IF([1]Result_notebook_retravaill!I370&gt;[1]Result_notebook_retravaill!G370,0,IF([1]Result_notebook_retravaill!I370+[1]Result_notebook_retravaill!J370&gt;[1]Result_notebook_retravaill!G370,0,[1]Result_notebook_retravaill!M370))</f>
        <v>20844.317265903916</v>
      </c>
    </row>
    <row r="371" spans="1:12">
      <c r="A371">
        <f>[1]Result_notebook_retravaill!A371</f>
        <v>2029</v>
      </c>
      <c r="B371" t="str">
        <f>[1]Result_notebook_retravaill!B371</f>
        <v>Cobalt</v>
      </c>
      <c r="C371" t="str">
        <f>[1]Result_notebook_retravaill!C371</f>
        <v>Current Measures</v>
      </c>
      <c r="D371" t="str">
        <f>[1]Result_notebook_retravaill!D371</f>
        <v>Production potential</v>
      </c>
      <c r="E371" t="str">
        <f>[1]Result_notebook_retravaill!E371</f>
        <v>100% CAN</v>
      </c>
      <c r="F371" t="str">
        <f>[1]Result_notebook_retravaill!F371</f>
        <v>Integrated</v>
      </c>
      <c r="G371">
        <f>[1]Result_notebook_retravaill!G371</f>
        <v>23796.365693498821</v>
      </c>
      <c r="H371" s="3">
        <f>IF([1]Result_notebook_retravaill!I371&gt;[1]Result_notebook_retravaill!G371,[1]Result_notebook_retravaill!I371/[1]Result_notebook_retravaill!N371,[1]Result_notebook_retravaill!H371)</f>
        <v>6719.1794773198644</v>
      </c>
      <c r="I371" s="3">
        <f>[1]Result_notebook_retravaill!K371</f>
        <v>47363.469826086548</v>
      </c>
      <c r="J371" s="3">
        <f>MIN(G371,[1]Result_notebook_retravaill!I371)</f>
        <v>2952.0484275949088</v>
      </c>
      <c r="K371" s="3">
        <f>IF([1]Result_notebook_retravaill!I371&gt;[1]Result_notebook_retravaill!G371,0,IF([1]Result_notebook_retravaill!I371+[1]Result_notebook_retravaill!J371&gt;[1]Result_notebook_retravaill!G371,[1]Result_notebook_retravaill!G371-[1]Result_notebook_retravaill!I371,[1]Result_notebook_retravaill!J371))</f>
        <v>0</v>
      </c>
      <c r="L371" s="3">
        <f>IF([1]Result_notebook_retravaill!I371&gt;[1]Result_notebook_retravaill!G371,0,IF([1]Result_notebook_retravaill!I371+[1]Result_notebook_retravaill!J371&gt;[1]Result_notebook_retravaill!G371,0,[1]Result_notebook_retravaill!M371))</f>
        <v>20844.317265903908</v>
      </c>
    </row>
    <row r="372" spans="1:12">
      <c r="A372">
        <f>[1]Result_notebook_retravaill!A372</f>
        <v>2029</v>
      </c>
      <c r="B372" t="str">
        <f>[1]Result_notebook_retravaill!B372</f>
        <v>Cobalt</v>
      </c>
      <c r="C372" t="str">
        <f>[1]Result_notebook_retravaill!C372</f>
        <v>Global Net-zero</v>
      </c>
      <c r="D372" t="str">
        <f>[1]Result_notebook_retravaill!D372</f>
        <v>Existing production</v>
      </c>
      <c r="E372" t="str">
        <f>[1]Result_notebook_retravaill!E372</f>
        <v>Current shares</v>
      </c>
      <c r="F372" t="str">
        <f>[1]Result_notebook_retravaill!F372</f>
        <v>NIMBY</v>
      </c>
      <c r="G372">
        <f>[1]Result_notebook_retravaill!G372</f>
        <v>43478.079891306123</v>
      </c>
      <c r="H372" s="3">
        <f>IF([1]Result_notebook_retravaill!I372&gt;[1]Result_notebook_retravaill!G372,[1]Result_notebook_retravaill!I372/[1]Result_notebook_retravaill!N372,[1]Result_notebook_retravaill!H372)</f>
        <v>0</v>
      </c>
      <c r="I372" s="3">
        <f>[1]Result_notebook_retravaill!K372</f>
        <v>98813.817934786639</v>
      </c>
      <c r="J372" s="3">
        <f>MIN(G372,[1]Result_notebook_retravaill!I372)</f>
        <v>0</v>
      </c>
      <c r="K372" s="3">
        <f>IF([1]Result_notebook_retravaill!I372&gt;[1]Result_notebook_retravaill!G372,0,IF([1]Result_notebook_retravaill!I372+[1]Result_notebook_retravaill!J372&gt;[1]Result_notebook_retravaill!G372,[1]Result_notebook_retravaill!G372-[1]Result_notebook_retravaill!I372,[1]Result_notebook_retravaill!J372))</f>
        <v>0</v>
      </c>
      <c r="L372" s="3">
        <f>IF([1]Result_notebook_retravaill!I372&gt;[1]Result_notebook_retravaill!G372,0,IF([1]Result_notebook_retravaill!I372+[1]Result_notebook_retravaill!J372&gt;[1]Result_notebook_retravaill!G372,0,[1]Result_notebook_retravaill!M372))</f>
        <v>43478.079891306123</v>
      </c>
    </row>
    <row r="373" spans="1:12">
      <c r="A373">
        <f>[1]Result_notebook_retravaill!A373</f>
        <v>2029</v>
      </c>
      <c r="B373" t="str">
        <f>[1]Result_notebook_retravaill!B373</f>
        <v>Cobalt</v>
      </c>
      <c r="C373" t="str">
        <f>[1]Result_notebook_retravaill!C373</f>
        <v>Global Net-zero</v>
      </c>
      <c r="D373" t="str">
        <f>[1]Result_notebook_retravaill!D373</f>
        <v>Existing production</v>
      </c>
      <c r="E373" t="str">
        <f>[1]Result_notebook_retravaill!E373</f>
        <v>Current shares</v>
      </c>
      <c r="F373" t="str">
        <f>[1]Result_notebook_retravaill!F373</f>
        <v>Status Quo</v>
      </c>
      <c r="G373">
        <f>[1]Result_notebook_retravaill!G373</f>
        <v>43478.079891306123</v>
      </c>
      <c r="H373" s="3">
        <f>IF([1]Result_notebook_retravaill!I373&gt;[1]Result_notebook_retravaill!G373,[1]Result_notebook_retravaill!I373/[1]Result_notebook_retravaill!N373,[1]Result_notebook_retravaill!H373)</f>
        <v>3861</v>
      </c>
      <c r="I373" s="3">
        <f>[1]Result_notebook_retravaill!K373</f>
        <v>94952.817934786639</v>
      </c>
      <c r="J373" s="3">
        <f>MIN(G373,[1]Result_notebook_retravaill!I373)</f>
        <v>1637.7660393504759</v>
      </c>
      <c r="K373" s="3">
        <f>IF([1]Result_notebook_retravaill!I373&gt;[1]Result_notebook_retravaill!G373,0,IF([1]Result_notebook_retravaill!I373+[1]Result_notebook_retravaill!J373&gt;[1]Result_notebook_retravaill!G373,[1]Result_notebook_retravaill!G373-[1]Result_notebook_retravaill!I373,[1]Result_notebook_retravaill!J373))</f>
        <v>58.551050766946219</v>
      </c>
      <c r="L373" s="3">
        <f>IF([1]Result_notebook_retravaill!I373&gt;[1]Result_notebook_retravaill!G373,0,IF([1]Result_notebook_retravaill!I373+[1]Result_notebook_retravaill!J373&gt;[1]Result_notebook_retravaill!G373,0,[1]Result_notebook_retravaill!M373))</f>
        <v>41781.762801188706</v>
      </c>
    </row>
    <row r="374" spans="1:12">
      <c r="A374">
        <f>[1]Result_notebook_retravaill!A374</f>
        <v>2029</v>
      </c>
      <c r="B374" t="str">
        <f>[1]Result_notebook_retravaill!B374</f>
        <v>Cobalt</v>
      </c>
      <c r="C374" t="str">
        <f>[1]Result_notebook_retravaill!C374</f>
        <v>Global Net-zero</v>
      </c>
      <c r="D374" t="str">
        <f>[1]Result_notebook_retravaill!D374</f>
        <v>Production potential</v>
      </c>
      <c r="E374" t="str">
        <f>[1]Result_notebook_retravaill!E374</f>
        <v>Current shares</v>
      </c>
      <c r="F374" t="str">
        <f>[1]Result_notebook_retravaill!F374</f>
        <v>Expansion Extractive</v>
      </c>
      <c r="G374">
        <f>[1]Result_notebook_retravaill!G374</f>
        <v>43478.079891306123</v>
      </c>
      <c r="H374" s="3">
        <f>IF([1]Result_notebook_retravaill!I374&gt;[1]Result_notebook_retravaill!G374,[1]Result_notebook_retravaill!I374/[1]Result_notebook_retravaill!N374,[1]Result_notebook_retravaill!H374)</f>
        <v>6719.1794773198644</v>
      </c>
      <c r="I374" s="3">
        <f>[1]Result_notebook_retravaill!K374</f>
        <v>92094.638457466775</v>
      </c>
      <c r="J374" s="3">
        <f>MIN(G374,[1]Result_notebook_retravaill!I374)</f>
        <v>2850.1538358599209</v>
      </c>
      <c r="K374" s="3">
        <f>IF([1]Result_notebook_retravaill!I374&gt;[1]Result_notebook_retravaill!G374,0,IF([1]Result_notebook_retravaill!I374+[1]Result_notebook_retravaill!J374&gt;[1]Result_notebook_retravaill!G374,[1]Result_notebook_retravaill!G374-[1]Result_notebook_retravaill!I374,[1]Result_notebook_retravaill!J374))</f>
        <v>101.89459173498517</v>
      </c>
      <c r="L374" s="3">
        <f>IF([1]Result_notebook_retravaill!I374&gt;[1]Result_notebook_retravaill!G374,0,IF([1]Result_notebook_retravaill!I374+[1]Result_notebook_retravaill!J374&gt;[1]Result_notebook_retravaill!G374,0,[1]Result_notebook_retravaill!M374))</f>
        <v>40526.031463711217</v>
      </c>
    </row>
    <row r="375" spans="1:12">
      <c r="A375">
        <f>[1]Result_notebook_retravaill!A375</f>
        <v>2029</v>
      </c>
      <c r="B375" t="str">
        <f>[1]Result_notebook_retravaill!B375</f>
        <v>Cobalt</v>
      </c>
      <c r="C375" t="str">
        <f>[1]Result_notebook_retravaill!C375</f>
        <v>Global Net-zero</v>
      </c>
      <c r="D375" t="str">
        <f>[1]Result_notebook_retravaill!D375</f>
        <v>Production potential</v>
      </c>
      <c r="E375" t="str">
        <f>[1]Result_notebook_retravaill!E375</f>
        <v>Current shares</v>
      </c>
      <c r="F375" t="str">
        <f>[1]Result_notebook_retravaill!F375</f>
        <v>Expansion Extractive+Circularity</v>
      </c>
      <c r="G375">
        <f>[1]Result_notebook_retravaill!G375</f>
        <v>43478.079891306123</v>
      </c>
      <c r="H375" s="3">
        <f>IF([1]Result_notebook_retravaill!I375&gt;[1]Result_notebook_retravaill!G375,[1]Result_notebook_retravaill!I375/[1]Result_notebook_retravaill!N375,[1]Result_notebook_retravaill!H375)</f>
        <v>6719.1794773198644</v>
      </c>
      <c r="I375" s="3">
        <f>[1]Result_notebook_retravaill!K375</f>
        <v>92094.638457466775</v>
      </c>
      <c r="J375" s="3">
        <f>MIN(G375,[1]Result_notebook_retravaill!I375)</f>
        <v>2850.1538358599209</v>
      </c>
      <c r="K375" s="3">
        <f>IF([1]Result_notebook_retravaill!I375&gt;[1]Result_notebook_retravaill!G375,0,IF([1]Result_notebook_retravaill!I375+[1]Result_notebook_retravaill!J375&gt;[1]Result_notebook_retravaill!G375,[1]Result_notebook_retravaill!G375-[1]Result_notebook_retravaill!I375,[1]Result_notebook_retravaill!J375))</f>
        <v>101.89459173498517</v>
      </c>
      <c r="L375" s="3">
        <f>IF([1]Result_notebook_retravaill!I375&gt;[1]Result_notebook_retravaill!G375,0,IF([1]Result_notebook_retravaill!I375+[1]Result_notebook_retravaill!J375&gt;[1]Result_notebook_retravaill!G375,0,[1]Result_notebook_retravaill!M375))</f>
        <v>40526.031463711217</v>
      </c>
    </row>
    <row r="376" spans="1:12">
      <c r="A376">
        <f>[1]Result_notebook_retravaill!A376</f>
        <v>2029</v>
      </c>
      <c r="B376" t="str">
        <f>[1]Result_notebook_retravaill!B376</f>
        <v>Cobalt</v>
      </c>
      <c r="C376" t="str">
        <f>[1]Result_notebook_retravaill!C376</f>
        <v>Global Net-zero</v>
      </c>
      <c r="D376" t="str">
        <f>[1]Result_notebook_retravaill!D376</f>
        <v>Production potential</v>
      </c>
      <c r="E376" t="str">
        <f>[1]Result_notebook_retravaill!E376</f>
        <v>100% CAN</v>
      </c>
      <c r="F376" t="str">
        <f>[1]Result_notebook_retravaill!F376</f>
        <v>Integrated</v>
      </c>
      <c r="G376">
        <f>[1]Result_notebook_retravaill!G376</f>
        <v>43478.079891306123</v>
      </c>
      <c r="H376" s="3">
        <f>IF([1]Result_notebook_retravaill!I376&gt;[1]Result_notebook_retravaill!G376,[1]Result_notebook_retravaill!I376/[1]Result_notebook_retravaill!N376,[1]Result_notebook_retravaill!H376)</f>
        <v>6719.1794773198644</v>
      </c>
      <c r="I376" s="3">
        <f>[1]Result_notebook_retravaill!K376</f>
        <v>92094.638457466775</v>
      </c>
      <c r="J376" s="3">
        <f>MIN(G376,[1]Result_notebook_retravaill!I376)</f>
        <v>2952.0484275949088</v>
      </c>
      <c r="K376" s="3">
        <f>IF([1]Result_notebook_retravaill!I376&gt;[1]Result_notebook_retravaill!G376,0,IF([1]Result_notebook_retravaill!I376+[1]Result_notebook_retravaill!J376&gt;[1]Result_notebook_retravaill!G376,[1]Result_notebook_retravaill!G376-[1]Result_notebook_retravaill!I376,[1]Result_notebook_retravaill!J376))</f>
        <v>0</v>
      </c>
      <c r="L376" s="3">
        <f>IF([1]Result_notebook_retravaill!I376&gt;[1]Result_notebook_retravaill!G376,0,IF([1]Result_notebook_retravaill!I376+[1]Result_notebook_retravaill!J376&gt;[1]Result_notebook_retravaill!G376,0,[1]Result_notebook_retravaill!M376))</f>
        <v>40526.031463711217</v>
      </c>
    </row>
    <row r="377" spans="1:12">
      <c r="A377">
        <f>[1]Result_notebook_retravaill!A377</f>
        <v>2029</v>
      </c>
      <c r="B377" t="str">
        <f>[1]Result_notebook_retravaill!B377</f>
        <v>Copper</v>
      </c>
      <c r="C377" t="str">
        <f>[1]Result_notebook_retravaill!C377</f>
        <v>Canada Net-zero</v>
      </c>
      <c r="D377" t="str">
        <f>[1]Result_notebook_retravaill!D377</f>
        <v>Existing production</v>
      </c>
      <c r="E377" t="str">
        <f>[1]Result_notebook_retravaill!E377</f>
        <v>Current shares</v>
      </c>
      <c r="F377" t="str">
        <f>[1]Result_notebook_retravaill!F377</f>
        <v>NIMBY</v>
      </c>
      <c r="G377">
        <f>[1]Result_notebook_retravaill!G377</f>
        <v>955177.18715425662</v>
      </c>
      <c r="H377" s="3">
        <f>IF([1]Result_notebook_retravaill!I377&gt;[1]Result_notebook_retravaill!G377,[1]Result_notebook_retravaill!I377/[1]Result_notebook_retravaill!N377,[1]Result_notebook_retravaill!H377)</f>
        <v>0</v>
      </c>
      <c r="I377" s="3">
        <f>[1]Result_notebook_retravaill!K377</f>
        <v>1150815.8881376591</v>
      </c>
      <c r="J377" s="3">
        <f>MIN(G377,[1]Result_notebook_retravaill!I377)</f>
        <v>0</v>
      </c>
      <c r="K377" s="3">
        <f>IF([1]Result_notebook_retravaill!I377&gt;[1]Result_notebook_retravaill!G377,0,IF([1]Result_notebook_retravaill!I377+[1]Result_notebook_retravaill!J377&gt;[1]Result_notebook_retravaill!G377,[1]Result_notebook_retravaill!G377-[1]Result_notebook_retravaill!I377,[1]Result_notebook_retravaill!J377))</f>
        <v>0</v>
      </c>
      <c r="L377" s="3">
        <f>IF([1]Result_notebook_retravaill!I377&gt;[1]Result_notebook_retravaill!G377,0,IF([1]Result_notebook_retravaill!I377+[1]Result_notebook_retravaill!J377&gt;[1]Result_notebook_retravaill!G377,0,[1]Result_notebook_retravaill!M377))</f>
        <v>955177.18715425662</v>
      </c>
    </row>
    <row r="378" spans="1:12">
      <c r="A378">
        <f>[1]Result_notebook_retravaill!A378</f>
        <v>2029</v>
      </c>
      <c r="B378" t="str">
        <f>[1]Result_notebook_retravaill!B378</f>
        <v>Copper</v>
      </c>
      <c r="C378" t="str">
        <f>[1]Result_notebook_retravaill!C378</f>
        <v>Canada Net-zero</v>
      </c>
      <c r="D378" t="str">
        <f>[1]Result_notebook_retravaill!D378</f>
        <v>Existing production</v>
      </c>
      <c r="E378" t="str">
        <f>[1]Result_notebook_retravaill!E378</f>
        <v>Current shares</v>
      </c>
      <c r="F378" t="str">
        <f>[1]Result_notebook_retravaill!F378</f>
        <v>Status Quo</v>
      </c>
      <c r="G378">
        <f>[1]Result_notebook_retravaill!G378</f>
        <v>955177.18715425662</v>
      </c>
      <c r="H378" s="3">
        <f>IF([1]Result_notebook_retravaill!I378&gt;[1]Result_notebook_retravaill!G378,[1]Result_notebook_retravaill!I378/[1]Result_notebook_retravaill!N378,[1]Result_notebook_retravaill!H378)</f>
        <v>348255</v>
      </c>
      <c r="I378" s="3">
        <f>[1]Result_notebook_retravaill!K378</f>
        <v>802560.88813765859</v>
      </c>
      <c r="J378" s="3">
        <f>MIN(G378,[1]Result_notebook_retravaill!I378)</f>
        <v>183045.85345911881</v>
      </c>
      <c r="K378" s="3">
        <f>IF([1]Result_notebook_retravaill!I378&gt;[1]Result_notebook_retravaill!G378,0,IF([1]Result_notebook_retravaill!I378+[1]Result_notebook_retravaill!J378&gt;[1]Result_notebook_retravaill!G378,[1]Result_notebook_retravaill!G378-[1]Result_notebook_retravaill!I378,[1]Result_notebook_retravaill!J378))</f>
        <v>107658.53213410138</v>
      </c>
      <c r="L378" s="3">
        <f>IF([1]Result_notebook_retravaill!I378&gt;[1]Result_notebook_retravaill!G378,0,IF([1]Result_notebook_retravaill!I378+[1]Result_notebook_retravaill!J378&gt;[1]Result_notebook_retravaill!G378,0,[1]Result_notebook_retravaill!M378))</f>
        <v>664472.8015610365</v>
      </c>
    </row>
    <row r="379" spans="1:12">
      <c r="A379">
        <f>[1]Result_notebook_retravaill!A379</f>
        <v>2029</v>
      </c>
      <c r="B379" t="str">
        <f>[1]Result_notebook_retravaill!B379</f>
        <v>Copper</v>
      </c>
      <c r="C379" t="str">
        <f>[1]Result_notebook_retravaill!C379</f>
        <v>Canada Net-zero</v>
      </c>
      <c r="D379" t="str">
        <f>[1]Result_notebook_retravaill!D379</f>
        <v>Production potential</v>
      </c>
      <c r="E379" t="str">
        <f>[1]Result_notebook_retravaill!E379</f>
        <v>Current shares</v>
      </c>
      <c r="F379" t="str">
        <f>[1]Result_notebook_retravaill!F379</f>
        <v>Expansion Extractive</v>
      </c>
      <c r="G379">
        <f>[1]Result_notebook_retravaill!G379</f>
        <v>955177.18715425662</v>
      </c>
      <c r="H379" s="3">
        <f>IF([1]Result_notebook_retravaill!I379&gt;[1]Result_notebook_retravaill!G379,[1]Result_notebook_retravaill!I379/[1]Result_notebook_retravaill!N379,[1]Result_notebook_retravaill!H379)</f>
        <v>652859.49048100598</v>
      </c>
      <c r="I379" s="3">
        <f>[1]Result_notebook_retravaill!K379</f>
        <v>497956.39765665261</v>
      </c>
      <c r="J379" s="3">
        <f>MIN(G379,[1]Result_notebook_retravaill!I379)</f>
        <v>343148.61990202928</v>
      </c>
      <c r="K379" s="3">
        <f>IF([1]Result_notebook_retravaill!I379&gt;[1]Result_notebook_retravaill!G379,0,IF([1]Result_notebook_retravaill!I379+[1]Result_notebook_retravaill!J379&gt;[1]Result_notebook_retravaill!G379,[1]Result_notebook_retravaill!G379-[1]Result_notebook_retravaill!I379,[1]Result_notebook_retravaill!J379))</f>
        <v>201823.07342321693</v>
      </c>
      <c r="L379" s="3">
        <f>IF([1]Result_notebook_retravaill!I379&gt;[1]Result_notebook_retravaill!G379,0,IF([1]Result_notebook_retravaill!I379+[1]Result_notebook_retravaill!J379&gt;[1]Result_notebook_retravaill!G379,0,[1]Result_notebook_retravaill!M379))</f>
        <v>410205.4938290104</v>
      </c>
    </row>
    <row r="380" spans="1:12">
      <c r="A380">
        <f>[1]Result_notebook_retravaill!A380</f>
        <v>2029</v>
      </c>
      <c r="B380" t="str">
        <f>[1]Result_notebook_retravaill!B380</f>
        <v>Copper</v>
      </c>
      <c r="C380" t="str">
        <f>[1]Result_notebook_retravaill!C380</f>
        <v>Canada Net-zero</v>
      </c>
      <c r="D380" t="str">
        <f>[1]Result_notebook_retravaill!D380</f>
        <v>Production potential</v>
      </c>
      <c r="E380" t="str">
        <f>[1]Result_notebook_retravaill!E380</f>
        <v>Current shares</v>
      </c>
      <c r="F380" t="str">
        <f>[1]Result_notebook_retravaill!F380</f>
        <v>Expansion Extractive+Circularity</v>
      </c>
      <c r="G380">
        <f>[1]Result_notebook_retravaill!G380</f>
        <v>955177.18715425662</v>
      </c>
      <c r="H380" s="3">
        <f>IF([1]Result_notebook_retravaill!I380&gt;[1]Result_notebook_retravaill!G380,[1]Result_notebook_retravaill!I380/[1]Result_notebook_retravaill!N380,[1]Result_notebook_retravaill!H380)</f>
        <v>652859.49048100598</v>
      </c>
      <c r="I380" s="3">
        <f>[1]Result_notebook_retravaill!K380</f>
        <v>497956.39765665261</v>
      </c>
      <c r="J380" s="3">
        <f>MIN(G380,[1]Result_notebook_retravaill!I380)</f>
        <v>343148.61990202928</v>
      </c>
      <c r="K380" s="3">
        <f>IF([1]Result_notebook_retravaill!I380&gt;[1]Result_notebook_retravaill!G380,0,IF([1]Result_notebook_retravaill!I380+[1]Result_notebook_retravaill!J380&gt;[1]Result_notebook_retravaill!G380,[1]Result_notebook_retravaill!G380-[1]Result_notebook_retravaill!I380,[1]Result_notebook_retravaill!J380))</f>
        <v>201823.07342321693</v>
      </c>
      <c r="L380" s="3">
        <f>IF([1]Result_notebook_retravaill!I380&gt;[1]Result_notebook_retravaill!G380,0,IF([1]Result_notebook_retravaill!I380+[1]Result_notebook_retravaill!J380&gt;[1]Result_notebook_retravaill!G380,0,[1]Result_notebook_retravaill!M380))</f>
        <v>410205.4938290104</v>
      </c>
    </row>
    <row r="381" spans="1:12">
      <c r="A381">
        <f>[1]Result_notebook_retravaill!A381</f>
        <v>2029</v>
      </c>
      <c r="B381" t="str">
        <f>[1]Result_notebook_retravaill!B381</f>
        <v>Copper</v>
      </c>
      <c r="C381" t="str">
        <f>[1]Result_notebook_retravaill!C381</f>
        <v>Canada Net-zero</v>
      </c>
      <c r="D381" t="str">
        <f>[1]Result_notebook_retravaill!D381</f>
        <v>Production potential</v>
      </c>
      <c r="E381" t="str">
        <f>[1]Result_notebook_retravaill!E381</f>
        <v>100% CAN</v>
      </c>
      <c r="F381" t="str">
        <f>[1]Result_notebook_retravaill!F381</f>
        <v>Integrated</v>
      </c>
      <c r="G381">
        <f>[1]Result_notebook_retravaill!G381</f>
        <v>955177.18715425662</v>
      </c>
      <c r="H381" s="3">
        <f>IF([1]Result_notebook_retravaill!I381&gt;[1]Result_notebook_retravaill!G381,[1]Result_notebook_retravaill!I381/[1]Result_notebook_retravaill!N381,[1]Result_notebook_retravaill!H381)</f>
        <v>652859.49048100598</v>
      </c>
      <c r="I381" s="3">
        <f>[1]Result_notebook_retravaill!K381</f>
        <v>497956.39765665261</v>
      </c>
      <c r="J381" s="3">
        <f>MIN(G381,[1]Result_notebook_retravaill!I381)</f>
        <v>544971.69332524657</v>
      </c>
      <c r="K381" s="3">
        <f>IF([1]Result_notebook_retravaill!I381&gt;[1]Result_notebook_retravaill!G381,0,IF([1]Result_notebook_retravaill!I381+[1]Result_notebook_retravaill!J381&gt;[1]Result_notebook_retravaill!G381,[1]Result_notebook_retravaill!G381-[1]Result_notebook_retravaill!I381,[1]Result_notebook_retravaill!J381))</f>
        <v>0</v>
      </c>
      <c r="L381" s="3">
        <f>IF([1]Result_notebook_retravaill!I381&gt;[1]Result_notebook_retravaill!G381,0,IF([1]Result_notebook_retravaill!I381+[1]Result_notebook_retravaill!J381&gt;[1]Result_notebook_retravaill!G381,0,[1]Result_notebook_retravaill!M381))</f>
        <v>410205.49382901011</v>
      </c>
    </row>
    <row r="382" spans="1:12">
      <c r="A382">
        <f>[1]Result_notebook_retravaill!A382</f>
        <v>2029</v>
      </c>
      <c r="B382" t="str">
        <f>[1]Result_notebook_retravaill!B382</f>
        <v>Copper</v>
      </c>
      <c r="C382" t="str">
        <f>[1]Result_notebook_retravaill!C382</f>
        <v>Current Measures</v>
      </c>
      <c r="D382" t="str">
        <f>[1]Result_notebook_retravaill!D382</f>
        <v>Existing production</v>
      </c>
      <c r="E382" t="str">
        <f>[1]Result_notebook_retravaill!E382</f>
        <v>Current shares</v>
      </c>
      <c r="F382" t="str">
        <f>[1]Result_notebook_retravaill!F382</f>
        <v>NIMBY</v>
      </c>
      <c r="G382">
        <f>[1]Result_notebook_retravaill!G382</f>
        <v>914284.5211047167</v>
      </c>
      <c r="H382" s="3">
        <f>IF([1]Result_notebook_retravaill!I382&gt;[1]Result_notebook_retravaill!G382,[1]Result_notebook_retravaill!I382/[1]Result_notebook_retravaill!N382,[1]Result_notebook_retravaill!H382)</f>
        <v>0</v>
      </c>
      <c r="I382" s="3">
        <f>[1]Result_notebook_retravaill!K382</f>
        <v>1101547.6157888151</v>
      </c>
      <c r="J382" s="3">
        <f>MIN(G382,[1]Result_notebook_retravaill!I382)</f>
        <v>0</v>
      </c>
      <c r="K382" s="3">
        <f>IF([1]Result_notebook_retravaill!I382&gt;[1]Result_notebook_retravaill!G382,0,IF([1]Result_notebook_retravaill!I382+[1]Result_notebook_retravaill!J382&gt;[1]Result_notebook_retravaill!G382,[1]Result_notebook_retravaill!G382-[1]Result_notebook_retravaill!I382,[1]Result_notebook_retravaill!J382))</f>
        <v>0</v>
      </c>
      <c r="L382" s="3">
        <f>IF([1]Result_notebook_retravaill!I382&gt;[1]Result_notebook_retravaill!G382,0,IF([1]Result_notebook_retravaill!I382+[1]Result_notebook_retravaill!J382&gt;[1]Result_notebook_retravaill!G382,0,[1]Result_notebook_retravaill!M382))</f>
        <v>914284.5211047167</v>
      </c>
    </row>
    <row r="383" spans="1:12">
      <c r="A383">
        <f>[1]Result_notebook_retravaill!A383</f>
        <v>2029</v>
      </c>
      <c r="B383" t="str">
        <f>[1]Result_notebook_retravaill!B383</f>
        <v>Copper</v>
      </c>
      <c r="C383" t="str">
        <f>[1]Result_notebook_retravaill!C383</f>
        <v>Current Measures</v>
      </c>
      <c r="D383" t="str">
        <f>[1]Result_notebook_retravaill!D383</f>
        <v>Existing production</v>
      </c>
      <c r="E383" t="str">
        <f>[1]Result_notebook_retravaill!E383</f>
        <v>Current shares</v>
      </c>
      <c r="F383" t="str">
        <f>[1]Result_notebook_retravaill!F383</f>
        <v>Status Quo</v>
      </c>
      <c r="G383">
        <f>[1]Result_notebook_retravaill!G383</f>
        <v>914284.5211047167</v>
      </c>
      <c r="H383" s="3">
        <f>IF([1]Result_notebook_retravaill!I383&gt;[1]Result_notebook_retravaill!G383,[1]Result_notebook_retravaill!I383/[1]Result_notebook_retravaill!N383,[1]Result_notebook_retravaill!H383)</f>
        <v>348255</v>
      </c>
      <c r="I383" s="3">
        <f>[1]Result_notebook_retravaill!K383</f>
        <v>753292.61578881531</v>
      </c>
      <c r="J383" s="3">
        <f>MIN(G383,[1]Result_notebook_retravaill!I383)</f>
        <v>183045.85345911881</v>
      </c>
      <c r="K383" s="3">
        <f>IF([1]Result_notebook_retravaill!I383&gt;[1]Result_notebook_retravaill!G383,0,IF([1]Result_notebook_retravaill!I383+[1]Result_notebook_retravaill!J383&gt;[1]Result_notebook_retravaill!G383,[1]Result_notebook_retravaill!G383-[1]Result_notebook_retravaill!I383,[1]Result_notebook_retravaill!J383))</f>
        <v>107658.53213410138</v>
      </c>
      <c r="L383" s="3">
        <f>IF([1]Result_notebook_retravaill!I383&gt;[1]Result_notebook_retravaill!G383,0,IF([1]Result_notebook_retravaill!I383+[1]Result_notebook_retravaill!J383&gt;[1]Result_notebook_retravaill!G383,0,[1]Result_notebook_retravaill!M383))</f>
        <v>623580.13551149645</v>
      </c>
    </row>
    <row r="384" spans="1:12">
      <c r="A384">
        <f>[1]Result_notebook_retravaill!A384</f>
        <v>2029</v>
      </c>
      <c r="B384" t="str">
        <f>[1]Result_notebook_retravaill!B384</f>
        <v>Copper</v>
      </c>
      <c r="C384" t="str">
        <f>[1]Result_notebook_retravaill!C384</f>
        <v>Current Measures</v>
      </c>
      <c r="D384" t="str">
        <f>[1]Result_notebook_retravaill!D384</f>
        <v>Production potential</v>
      </c>
      <c r="E384" t="str">
        <f>[1]Result_notebook_retravaill!E384</f>
        <v>Current shares</v>
      </c>
      <c r="F384" t="str">
        <f>[1]Result_notebook_retravaill!F384</f>
        <v>Expansion Extractive</v>
      </c>
      <c r="G384">
        <f>[1]Result_notebook_retravaill!G384</f>
        <v>914284.5211047167</v>
      </c>
      <c r="H384" s="3">
        <f>IF([1]Result_notebook_retravaill!I384&gt;[1]Result_notebook_retravaill!G384,[1]Result_notebook_retravaill!I384/[1]Result_notebook_retravaill!N384,[1]Result_notebook_retravaill!H384)</f>
        <v>652859.49048100598</v>
      </c>
      <c r="I384" s="3">
        <f>[1]Result_notebook_retravaill!K384</f>
        <v>448688.12530780933</v>
      </c>
      <c r="J384" s="3">
        <f>MIN(G384,[1]Result_notebook_retravaill!I384)</f>
        <v>343148.61990202928</v>
      </c>
      <c r="K384" s="3">
        <f>IF([1]Result_notebook_retravaill!I384&gt;[1]Result_notebook_retravaill!G384,0,IF([1]Result_notebook_retravaill!I384+[1]Result_notebook_retravaill!J384&gt;[1]Result_notebook_retravaill!G384,[1]Result_notebook_retravaill!G384-[1]Result_notebook_retravaill!I384,[1]Result_notebook_retravaill!J384))</f>
        <v>201823.07342321693</v>
      </c>
      <c r="L384" s="3">
        <f>IF([1]Result_notebook_retravaill!I384&gt;[1]Result_notebook_retravaill!G384,0,IF([1]Result_notebook_retravaill!I384+[1]Result_notebook_retravaill!J384&gt;[1]Result_notebook_retravaill!G384,0,[1]Result_notebook_retravaill!M384))</f>
        <v>369312.82777947048</v>
      </c>
    </row>
    <row r="385" spans="1:12">
      <c r="A385">
        <f>[1]Result_notebook_retravaill!A385</f>
        <v>2029</v>
      </c>
      <c r="B385" t="str">
        <f>[1]Result_notebook_retravaill!B385</f>
        <v>Copper</v>
      </c>
      <c r="C385" t="str">
        <f>[1]Result_notebook_retravaill!C385</f>
        <v>Current Measures</v>
      </c>
      <c r="D385" t="str">
        <f>[1]Result_notebook_retravaill!D385</f>
        <v>Production potential</v>
      </c>
      <c r="E385" t="str">
        <f>[1]Result_notebook_retravaill!E385</f>
        <v>Current shares</v>
      </c>
      <c r="F385" t="str">
        <f>[1]Result_notebook_retravaill!F385</f>
        <v>Expansion Extractive+Circularity</v>
      </c>
      <c r="G385">
        <f>[1]Result_notebook_retravaill!G385</f>
        <v>914284.5211047167</v>
      </c>
      <c r="H385" s="3">
        <f>IF([1]Result_notebook_retravaill!I385&gt;[1]Result_notebook_retravaill!G385,[1]Result_notebook_retravaill!I385/[1]Result_notebook_retravaill!N385,[1]Result_notebook_retravaill!H385)</f>
        <v>652859.49048100598</v>
      </c>
      <c r="I385" s="3">
        <f>[1]Result_notebook_retravaill!K385</f>
        <v>448688.12530780933</v>
      </c>
      <c r="J385" s="3">
        <f>MIN(G385,[1]Result_notebook_retravaill!I385)</f>
        <v>343148.61990202928</v>
      </c>
      <c r="K385" s="3">
        <f>IF([1]Result_notebook_retravaill!I385&gt;[1]Result_notebook_retravaill!G385,0,IF([1]Result_notebook_retravaill!I385+[1]Result_notebook_retravaill!J385&gt;[1]Result_notebook_retravaill!G385,[1]Result_notebook_retravaill!G385-[1]Result_notebook_retravaill!I385,[1]Result_notebook_retravaill!J385))</f>
        <v>201823.07342321693</v>
      </c>
      <c r="L385" s="3">
        <f>IF([1]Result_notebook_retravaill!I385&gt;[1]Result_notebook_retravaill!G385,0,IF([1]Result_notebook_retravaill!I385+[1]Result_notebook_retravaill!J385&gt;[1]Result_notebook_retravaill!G385,0,[1]Result_notebook_retravaill!M385))</f>
        <v>369312.82777947048</v>
      </c>
    </row>
    <row r="386" spans="1:12">
      <c r="A386">
        <f>[1]Result_notebook_retravaill!A386</f>
        <v>2029</v>
      </c>
      <c r="B386" t="str">
        <f>[1]Result_notebook_retravaill!B386</f>
        <v>Copper</v>
      </c>
      <c r="C386" t="str">
        <f>[1]Result_notebook_retravaill!C386</f>
        <v>Current Measures</v>
      </c>
      <c r="D386" t="str">
        <f>[1]Result_notebook_retravaill!D386</f>
        <v>Production potential</v>
      </c>
      <c r="E386" t="str">
        <f>[1]Result_notebook_retravaill!E386</f>
        <v>100% CAN</v>
      </c>
      <c r="F386" t="str">
        <f>[1]Result_notebook_retravaill!F386</f>
        <v>Integrated</v>
      </c>
      <c r="G386">
        <f>[1]Result_notebook_retravaill!G386</f>
        <v>914284.5211047167</v>
      </c>
      <c r="H386" s="3">
        <f>IF([1]Result_notebook_retravaill!I386&gt;[1]Result_notebook_retravaill!G386,[1]Result_notebook_retravaill!I386/[1]Result_notebook_retravaill!N386,[1]Result_notebook_retravaill!H386)</f>
        <v>652859.49048100598</v>
      </c>
      <c r="I386" s="3">
        <f>[1]Result_notebook_retravaill!K386</f>
        <v>448688.12530780933</v>
      </c>
      <c r="J386" s="3">
        <f>MIN(G386,[1]Result_notebook_retravaill!I386)</f>
        <v>544971.69332524657</v>
      </c>
      <c r="K386" s="3">
        <f>IF([1]Result_notebook_retravaill!I386&gt;[1]Result_notebook_retravaill!G386,0,IF([1]Result_notebook_retravaill!I386+[1]Result_notebook_retravaill!J386&gt;[1]Result_notebook_retravaill!G386,[1]Result_notebook_retravaill!G386-[1]Result_notebook_retravaill!I386,[1]Result_notebook_retravaill!J386))</f>
        <v>0</v>
      </c>
      <c r="L386" s="3">
        <f>IF([1]Result_notebook_retravaill!I386&gt;[1]Result_notebook_retravaill!G386,0,IF([1]Result_notebook_retravaill!I386+[1]Result_notebook_retravaill!J386&gt;[1]Result_notebook_retravaill!G386,0,[1]Result_notebook_retravaill!M386))</f>
        <v>369312.82777947013</v>
      </c>
    </row>
    <row r="387" spans="1:12">
      <c r="A387">
        <f>[1]Result_notebook_retravaill!A387</f>
        <v>2029</v>
      </c>
      <c r="B387" t="str">
        <f>[1]Result_notebook_retravaill!B387</f>
        <v>Copper</v>
      </c>
      <c r="C387" t="str">
        <f>[1]Result_notebook_retravaill!C387</f>
        <v>Global Net-zero</v>
      </c>
      <c r="D387" t="str">
        <f>[1]Result_notebook_retravaill!D387</f>
        <v>Existing production</v>
      </c>
      <c r="E387" t="str">
        <f>[1]Result_notebook_retravaill!E387</f>
        <v>Current shares</v>
      </c>
      <c r="F387" t="str">
        <f>[1]Result_notebook_retravaill!F387</f>
        <v>NIMBY</v>
      </c>
      <c r="G387">
        <f>[1]Result_notebook_retravaill!G387</f>
        <v>930438.48177642538</v>
      </c>
      <c r="H387" s="3">
        <f>IF([1]Result_notebook_retravaill!I387&gt;[1]Result_notebook_retravaill!G387,[1]Result_notebook_retravaill!I387/[1]Result_notebook_retravaill!N387,[1]Result_notebook_retravaill!H387)</f>
        <v>0</v>
      </c>
      <c r="I387" s="3">
        <f>[1]Result_notebook_retravaill!K387</f>
        <v>1121010.219007741</v>
      </c>
      <c r="J387" s="3">
        <f>MIN(G387,[1]Result_notebook_retravaill!I387)</f>
        <v>0</v>
      </c>
      <c r="K387" s="3">
        <f>IF([1]Result_notebook_retravaill!I387&gt;[1]Result_notebook_retravaill!G387,0,IF([1]Result_notebook_retravaill!I387+[1]Result_notebook_retravaill!J387&gt;[1]Result_notebook_retravaill!G387,[1]Result_notebook_retravaill!G387-[1]Result_notebook_retravaill!I387,[1]Result_notebook_retravaill!J387))</f>
        <v>0</v>
      </c>
      <c r="L387" s="3">
        <f>IF([1]Result_notebook_retravaill!I387&gt;[1]Result_notebook_retravaill!G387,0,IF([1]Result_notebook_retravaill!I387+[1]Result_notebook_retravaill!J387&gt;[1]Result_notebook_retravaill!G387,0,[1]Result_notebook_retravaill!M387))</f>
        <v>930438.48177642538</v>
      </c>
    </row>
    <row r="388" spans="1:12">
      <c r="A388">
        <f>[1]Result_notebook_retravaill!A388</f>
        <v>2029</v>
      </c>
      <c r="B388" t="str">
        <f>[1]Result_notebook_retravaill!B388</f>
        <v>Copper</v>
      </c>
      <c r="C388" t="str">
        <f>[1]Result_notebook_retravaill!C388</f>
        <v>Global Net-zero</v>
      </c>
      <c r="D388" t="str">
        <f>[1]Result_notebook_retravaill!D388</f>
        <v>Existing production</v>
      </c>
      <c r="E388" t="str">
        <f>[1]Result_notebook_retravaill!E388</f>
        <v>Current shares</v>
      </c>
      <c r="F388" t="str">
        <f>[1]Result_notebook_retravaill!F388</f>
        <v>Status Quo</v>
      </c>
      <c r="G388">
        <f>[1]Result_notebook_retravaill!G388</f>
        <v>930438.48177642538</v>
      </c>
      <c r="H388" s="3">
        <f>IF([1]Result_notebook_retravaill!I388&gt;[1]Result_notebook_retravaill!G388,[1]Result_notebook_retravaill!I388/[1]Result_notebook_retravaill!N388,[1]Result_notebook_retravaill!H388)</f>
        <v>348255</v>
      </c>
      <c r="I388" s="3">
        <f>[1]Result_notebook_retravaill!K388</f>
        <v>772755.21900774143</v>
      </c>
      <c r="J388" s="3">
        <f>MIN(G388,[1]Result_notebook_retravaill!I388)</f>
        <v>183045.85345911881</v>
      </c>
      <c r="K388" s="3">
        <f>IF([1]Result_notebook_retravaill!I388&gt;[1]Result_notebook_retravaill!G388,0,IF([1]Result_notebook_retravaill!I388+[1]Result_notebook_retravaill!J388&gt;[1]Result_notebook_retravaill!G388,[1]Result_notebook_retravaill!G388-[1]Result_notebook_retravaill!I388,[1]Result_notebook_retravaill!J388))</f>
        <v>107658.53213410138</v>
      </c>
      <c r="L388" s="3">
        <f>IF([1]Result_notebook_retravaill!I388&gt;[1]Result_notebook_retravaill!G388,0,IF([1]Result_notebook_retravaill!I388+[1]Result_notebook_retravaill!J388&gt;[1]Result_notebook_retravaill!G388,0,[1]Result_notebook_retravaill!M388))</f>
        <v>639734.09618320514</v>
      </c>
    </row>
    <row r="389" spans="1:12">
      <c r="A389">
        <f>[1]Result_notebook_retravaill!A389</f>
        <v>2029</v>
      </c>
      <c r="B389" t="str">
        <f>[1]Result_notebook_retravaill!B389</f>
        <v>Copper</v>
      </c>
      <c r="C389" t="str">
        <f>[1]Result_notebook_retravaill!C389</f>
        <v>Global Net-zero</v>
      </c>
      <c r="D389" t="str">
        <f>[1]Result_notebook_retravaill!D389</f>
        <v>Production potential</v>
      </c>
      <c r="E389" t="str">
        <f>[1]Result_notebook_retravaill!E389</f>
        <v>Current shares</v>
      </c>
      <c r="F389" t="str">
        <f>[1]Result_notebook_retravaill!F389</f>
        <v>Expansion Extractive</v>
      </c>
      <c r="G389">
        <f>[1]Result_notebook_retravaill!G389</f>
        <v>930438.48177642538</v>
      </c>
      <c r="H389" s="3">
        <f>IF([1]Result_notebook_retravaill!I389&gt;[1]Result_notebook_retravaill!G389,[1]Result_notebook_retravaill!I389/[1]Result_notebook_retravaill!N389,[1]Result_notebook_retravaill!H389)</f>
        <v>652859.49048100598</v>
      </c>
      <c r="I389" s="3">
        <f>[1]Result_notebook_retravaill!K389</f>
        <v>468150.72852673539</v>
      </c>
      <c r="J389" s="3">
        <f>MIN(G389,[1]Result_notebook_retravaill!I389)</f>
        <v>343148.61990202928</v>
      </c>
      <c r="K389" s="3">
        <f>IF([1]Result_notebook_retravaill!I389&gt;[1]Result_notebook_retravaill!G389,0,IF([1]Result_notebook_retravaill!I389+[1]Result_notebook_retravaill!J389&gt;[1]Result_notebook_retravaill!G389,[1]Result_notebook_retravaill!G389-[1]Result_notebook_retravaill!I389,[1]Result_notebook_retravaill!J389))</f>
        <v>201823.07342321693</v>
      </c>
      <c r="L389" s="3">
        <f>IF([1]Result_notebook_retravaill!I389&gt;[1]Result_notebook_retravaill!G389,0,IF([1]Result_notebook_retravaill!I389+[1]Result_notebook_retravaill!J389&gt;[1]Result_notebook_retravaill!G389,0,[1]Result_notebook_retravaill!M389))</f>
        <v>385466.78845117916</v>
      </c>
    </row>
    <row r="390" spans="1:12">
      <c r="A390">
        <f>[1]Result_notebook_retravaill!A390</f>
        <v>2029</v>
      </c>
      <c r="B390" t="str">
        <f>[1]Result_notebook_retravaill!B390</f>
        <v>Copper</v>
      </c>
      <c r="C390" t="str">
        <f>[1]Result_notebook_retravaill!C390</f>
        <v>Global Net-zero</v>
      </c>
      <c r="D390" t="str">
        <f>[1]Result_notebook_retravaill!D390</f>
        <v>Production potential</v>
      </c>
      <c r="E390" t="str">
        <f>[1]Result_notebook_retravaill!E390</f>
        <v>Current shares</v>
      </c>
      <c r="F390" t="str">
        <f>[1]Result_notebook_retravaill!F390</f>
        <v>Expansion Extractive+Circularity</v>
      </c>
      <c r="G390">
        <f>[1]Result_notebook_retravaill!G390</f>
        <v>930438.48177642538</v>
      </c>
      <c r="H390" s="3">
        <f>IF([1]Result_notebook_retravaill!I390&gt;[1]Result_notebook_retravaill!G390,[1]Result_notebook_retravaill!I390/[1]Result_notebook_retravaill!N390,[1]Result_notebook_retravaill!H390)</f>
        <v>652859.49048100598</v>
      </c>
      <c r="I390" s="3">
        <f>[1]Result_notebook_retravaill!K390</f>
        <v>468150.72852673539</v>
      </c>
      <c r="J390" s="3">
        <f>MIN(G390,[1]Result_notebook_retravaill!I390)</f>
        <v>343148.61990202928</v>
      </c>
      <c r="K390" s="3">
        <f>IF([1]Result_notebook_retravaill!I390&gt;[1]Result_notebook_retravaill!G390,0,IF([1]Result_notebook_retravaill!I390+[1]Result_notebook_retravaill!J390&gt;[1]Result_notebook_retravaill!G390,[1]Result_notebook_retravaill!G390-[1]Result_notebook_retravaill!I390,[1]Result_notebook_retravaill!J390))</f>
        <v>201823.07342321693</v>
      </c>
      <c r="L390" s="3">
        <f>IF([1]Result_notebook_retravaill!I390&gt;[1]Result_notebook_retravaill!G390,0,IF([1]Result_notebook_retravaill!I390+[1]Result_notebook_retravaill!J390&gt;[1]Result_notebook_retravaill!G390,0,[1]Result_notebook_retravaill!M390))</f>
        <v>385466.78845117916</v>
      </c>
    </row>
    <row r="391" spans="1:12">
      <c r="A391">
        <f>[1]Result_notebook_retravaill!A391</f>
        <v>2029</v>
      </c>
      <c r="B391" t="str">
        <f>[1]Result_notebook_retravaill!B391</f>
        <v>Copper</v>
      </c>
      <c r="C391" t="str">
        <f>[1]Result_notebook_retravaill!C391</f>
        <v>Global Net-zero</v>
      </c>
      <c r="D391" t="str">
        <f>[1]Result_notebook_retravaill!D391</f>
        <v>Production potential</v>
      </c>
      <c r="E391" t="str">
        <f>[1]Result_notebook_retravaill!E391</f>
        <v>100% CAN</v>
      </c>
      <c r="F391" t="str">
        <f>[1]Result_notebook_retravaill!F391</f>
        <v>Integrated</v>
      </c>
      <c r="G391">
        <f>[1]Result_notebook_retravaill!G391</f>
        <v>930438.48177642538</v>
      </c>
      <c r="H391" s="3">
        <f>IF([1]Result_notebook_retravaill!I391&gt;[1]Result_notebook_retravaill!G391,[1]Result_notebook_retravaill!I391/[1]Result_notebook_retravaill!N391,[1]Result_notebook_retravaill!H391)</f>
        <v>652859.49048100598</v>
      </c>
      <c r="I391" s="3">
        <f>[1]Result_notebook_retravaill!K391</f>
        <v>468150.72852673539</v>
      </c>
      <c r="J391" s="3">
        <f>MIN(G391,[1]Result_notebook_retravaill!I391)</f>
        <v>544971.69332524657</v>
      </c>
      <c r="K391" s="3">
        <f>IF([1]Result_notebook_retravaill!I391&gt;[1]Result_notebook_retravaill!G391,0,IF([1]Result_notebook_retravaill!I391+[1]Result_notebook_retravaill!J391&gt;[1]Result_notebook_retravaill!G391,[1]Result_notebook_retravaill!G391-[1]Result_notebook_retravaill!I391,[1]Result_notebook_retravaill!J391))</f>
        <v>0</v>
      </c>
      <c r="L391" s="3">
        <f>IF([1]Result_notebook_retravaill!I391&gt;[1]Result_notebook_retravaill!G391,0,IF([1]Result_notebook_retravaill!I391+[1]Result_notebook_retravaill!J391&gt;[1]Result_notebook_retravaill!G391,0,[1]Result_notebook_retravaill!M391))</f>
        <v>385466.78845117881</v>
      </c>
    </row>
    <row r="392" spans="1:12">
      <c r="A392">
        <f>[1]Result_notebook_retravaill!A392</f>
        <v>2029</v>
      </c>
      <c r="B392" t="str">
        <f>[1]Result_notebook_retravaill!B392</f>
        <v>Neodymium</v>
      </c>
      <c r="C392" t="str">
        <f>[1]Result_notebook_retravaill!C392</f>
        <v>Canada Net-zero</v>
      </c>
      <c r="D392" t="str">
        <f>[1]Result_notebook_retravaill!D392</f>
        <v>Existing production</v>
      </c>
      <c r="E392" t="str">
        <f>[1]Result_notebook_retravaill!E392</f>
        <v>Current shares</v>
      </c>
      <c r="F392" t="str">
        <f>[1]Result_notebook_retravaill!F392</f>
        <v>NIMBY</v>
      </c>
      <c r="G392">
        <f>[1]Result_notebook_retravaill!G392</f>
        <v>1697.8123851929049</v>
      </c>
      <c r="H392" s="3">
        <f>IF([1]Result_notebook_retravaill!I392&gt;[1]Result_notebook_retravaill!G392,[1]Result_notebook_retravaill!I392/[1]Result_notebook_retravaill!N392,[1]Result_notebook_retravaill!H392)</f>
        <v>0</v>
      </c>
      <c r="I392" s="3">
        <f>[1]Result_notebook_retravaill!K392</f>
        <v>2829.6873086548421</v>
      </c>
      <c r="J392" s="3">
        <f>MIN(G392,[1]Result_notebook_retravaill!I392)</f>
        <v>0</v>
      </c>
      <c r="K392" s="3">
        <f>IF([1]Result_notebook_retravaill!I392&gt;[1]Result_notebook_retravaill!G392,0,IF([1]Result_notebook_retravaill!I392+[1]Result_notebook_retravaill!J392&gt;[1]Result_notebook_retravaill!G392,[1]Result_notebook_retravaill!G392-[1]Result_notebook_retravaill!I392,[1]Result_notebook_retravaill!J392))</f>
        <v>0</v>
      </c>
      <c r="L392" s="3">
        <f>IF([1]Result_notebook_retravaill!I392&gt;[1]Result_notebook_retravaill!G392,0,IF([1]Result_notebook_retravaill!I392+[1]Result_notebook_retravaill!J392&gt;[1]Result_notebook_retravaill!G392,0,[1]Result_notebook_retravaill!M392))</f>
        <v>1697.8123851929049</v>
      </c>
    </row>
    <row r="393" spans="1:12">
      <c r="A393">
        <f>[1]Result_notebook_retravaill!A393</f>
        <v>2029</v>
      </c>
      <c r="B393" t="str">
        <f>[1]Result_notebook_retravaill!B393</f>
        <v>Neodymium</v>
      </c>
      <c r="C393" t="str">
        <f>[1]Result_notebook_retravaill!C393</f>
        <v>Canada Net-zero</v>
      </c>
      <c r="D393" t="str">
        <f>[1]Result_notebook_retravaill!D393</f>
        <v>Existing production</v>
      </c>
      <c r="E393" t="str">
        <f>[1]Result_notebook_retravaill!E393</f>
        <v>Current shares</v>
      </c>
      <c r="F393" t="str">
        <f>[1]Result_notebook_retravaill!F393</f>
        <v>Status Quo</v>
      </c>
      <c r="G393">
        <f>[1]Result_notebook_retravaill!G393</f>
        <v>1697.8123851929049</v>
      </c>
      <c r="H393" s="3">
        <f>IF([1]Result_notebook_retravaill!I393&gt;[1]Result_notebook_retravaill!G393,[1]Result_notebook_retravaill!I393/[1]Result_notebook_retravaill!N393,[1]Result_notebook_retravaill!H393)</f>
        <v>0</v>
      </c>
      <c r="I393" s="3">
        <f>[1]Result_notebook_retravaill!K393</f>
        <v>2829.6873086548421</v>
      </c>
      <c r="J393" s="3">
        <f>MIN(G393,[1]Result_notebook_retravaill!I393)</f>
        <v>0</v>
      </c>
      <c r="K393" s="3">
        <f>IF([1]Result_notebook_retravaill!I393&gt;[1]Result_notebook_retravaill!G393,0,IF([1]Result_notebook_retravaill!I393+[1]Result_notebook_retravaill!J393&gt;[1]Result_notebook_retravaill!G393,[1]Result_notebook_retravaill!G393-[1]Result_notebook_retravaill!I393,[1]Result_notebook_retravaill!J393))</f>
        <v>0</v>
      </c>
      <c r="L393" s="3">
        <f>IF([1]Result_notebook_retravaill!I393&gt;[1]Result_notebook_retravaill!G393,0,IF([1]Result_notebook_retravaill!I393+[1]Result_notebook_retravaill!J393&gt;[1]Result_notebook_retravaill!G393,0,[1]Result_notebook_retravaill!M393))</f>
        <v>1697.8123851929049</v>
      </c>
    </row>
    <row r="394" spans="1:12">
      <c r="A394">
        <f>[1]Result_notebook_retravaill!A394</f>
        <v>2029</v>
      </c>
      <c r="B394" t="str">
        <f>[1]Result_notebook_retravaill!B394</f>
        <v>Neodymium</v>
      </c>
      <c r="C394" t="str">
        <f>[1]Result_notebook_retravaill!C394</f>
        <v>Canada Net-zero</v>
      </c>
      <c r="D394" t="str">
        <f>[1]Result_notebook_retravaill!D394</f>
        <v>Production potential</v>
      </c>
      <c r="E394" t="str">
        <f>[1]Result_notebook_retravaill!E394</f>
        <v>Current shares</v>
      </c>
      <c r="F394" t="str">
        <f>[1]Result_notebook_retravaill!F394</f>
        <v>Expansion Extractive</v>
      </c>
      <c r="G394">
        <f>[1]Result_notebook_retravaill!G394</f>
        <v>1697.8123851929049</v>
      </c>
      <c r="H394" s="3">
        <f>IF([1]Result_notebook_retravaill!I394&gt;[1]Result_notebook_retravaill!G394,[1]Result_notebook_retravaill!I394/[1]Result_notebook_retravaill!N394,[1]Result_notebook_retravaill!H394)</f>
        <v>10.588294957512471</v>
      </c>
      <c r="I394" s="3">
        <f>[1]Result_notebook_retravaill!K394</f>
        <v>2819.0990136973292</v>
      </c>
      <c r="J394" s="3">
        <f>MIN(G394,[1]Result_notebook_retravaill!I394)</f>
        <v>6.3375595063497547</v>
      </c>
      <c r="K394" s="3">
        <f>IF([1]Result_notebook_retravaill!I394&gt;[1]Result_notebook_retravaill!G394,0,IF([1]Result_notebook_retravaill!I394+[1]Result_notebook_retravaill!J394&gt;[1]Result_notebook_retravaill!G394,[1]Result_notebook_retravaill!G394-[1]Result_notebook_retravaill!I394,[1]Result_notebook_retravaill!J394))</f>
        <v>4.2507354511627158</v>
      </c>
      <c r="L394" s="3">
        <f>IF([1]Result_notebook_retravaill!I394&gt;[1]Result_notebook_retravaill!G394,0,IF([1]Result_notebook_retravaill!I394+[1]Result_notebook_retravaill!J394&gt;[1]Result_notebook_retravaill!G394,0,[1]Result_notebook_retravaill!M394))</f>
        <v>1687.2240902353924</v>
      </c>
    </row>
    <row r="395" spans="1:12">
      <c r="A395">
        <f>[1]Result_notebook_retravaill!A395</f>
        <v>2029</v>
      </c>
      <c r="B395" t="str">
        <f>[1]Result_notebook_retravaill!B395</f>
        <v>Neodymium</v>
      </c>
      <c r="C395" t="str">
        <f>[1]Result_notebook_retravaill!C395</f>
        <v>Canada Net-zero</v>
      </c>
      <c r="D395" t="str">
        <f>[1]Result_notebook_retravaill!D395</f>
        <v>Production potential</v>
      </c>
      <c r="E395" t="str">
        <f>[1]Result_notebook_retravaill!E395</f>
        <v>Current shares</v>
      </c>
      <c r="F395" t="str">
        <f>[1]Result_notebook_retravaill!F395</f>
        <v>Expansion Extractive+Circularity</v>
      </c>
      <c r="G395">
        <f>[1]Result_notebook_retravaill!G395</f>
        <v>1697.8123851929049</v>
      </c>
      <c r="H395" s="3">
        <f>IF([1]Result_notebook_retravaill!I395&gt;[1]Result_notebook_retravaill!G395,[1]Result_notebook_retravaill!I395/[1]Result_notebook_retravaill!N395,[1]Result_notebook_retravaill!H395)</f>
        <v>10.588294957512471</v>
      </c>
      <c r="I395" s="3">
        <f>[1]Result_notebook_retravaill!K395</f>
        <v>2819.0990136973292</v>
      </c>
      <c r="J395" s="3">
        <f>MIN(G395,[1]Result_notebook_retravaill!I395)</f>
        <v>6.3375595063497547</v>
      </c>
      <c r="K395" s="3">
        <f>IF([1]Result_notebook_retravaill!I395&gt;[1]Result_notebook_retravaill!G395,0,IF([1]Result_notebook_retravaill!I395+[1]Result_notebook_retravaill!J395&gt;[1]Result_notebook_retravaill!G395,[1]Result_notebook_retravaill!G395-[1]Result_notebook_retravaill!I395,[1]Result_notebook_retravaill!J395))</f>
        <v>4.2507354511627158</v>
      </c>
      <c r="L395" s="3">
        <f>IF([1]Result_notebook_retravaill!I395&gt;[1]Result_notebook_retravaill!G395,0,IF([1]Result_notebook_retravaill!I395+[1]Result_notebook_retravaill!J395&gt;[1]Result_notebook_retravaill!G395,0,[1]Result_notebook_retravaill!M395))</f>
        <v>1687.2240902353924</v>
      </c>
    </row>
    <row r="396" spans="1:12">
      <c r="A396">
        <f>[1]Result_notebook_retravaill!A396</f>
        <v>2029</v>
      </c>
      <c r="B396" t="str">
        <f>[1]Result_notebook_retravaill!B396</f>
        <v>Neodymium</v>
      </c>
      <c r="C396" t="str">
        <f>[1]Result_notebook_retravaill!C396</f>
        <v>Canada Net-zero</v>
      </c>
      <c r="D396" t="str">
        <f>[1]Result_notebook_retravaill!D396</f>
        <v>Production potential</v>
      </c>
      <c r="E396" t="str">
        <f>[1]Result_notebook_retravaill!E396</f>
        <v>100% CAN</v>
      </c>
      <c r="F396" t="str">
        <f>[1]Result_notebook_retravaill!F396</f>
        <v>Integrated</v>
      </c>
      <c r="G396">
        <f>[1]Result_notebook_retravaill!G396</f>
        <v>1697.8123851929049</v>
      </c>
      <c r="H396" s="3">
        <f>IF([1]Result_notebook_retravaill!I396&gt;[1]Result_notebook_retravaill!G396,[1]Result_notebook_retravaill!I396/[1]Result_notebook_retravaill!N396,[1]Result_notebook_retravaill!H396)</f>
        <v>10.588294957512471</v>
      </c>
      <c r="I396" s="3">
        <f>[1]Result_notebook_retravaill!K396</f>
        <v>2819.0990136973292</v>
      </c>
      <c r="J396" s="3">
        <f>MIN(G396,[1]Result_notebook_retravaill!I396)</f>
        <v>6.3375595063497547</v>
      </c>
      <c r="K396" s="3">
        <f>IF([1]Result_notebook_retravaill!I396&gt;[1]Result_notebook_retravaill!G396,0,IF([1]Result_notebook_retravaill!I396+[1]Result_notebook_retravaill!J396&gt;[1]Result_notebook_retravaill!G396,[1]Result_notebook_retravaill!G396-[1]Result_notebook_retravaill!I396,[1]Result_notebook_retravaill!J396))</f>
        <v>4.2507354511627158</v>
      </c>
      <c r="L396" s="3">
        <f>IF([1]Result_notebook_retravaill!I396&gt;[1]Result_notebook_retravaill!G396,0,IF([1]Result_notebook_retravaill!I396+[1]Result_notebook_retravaill!J396&gt;[1]Result_notebook_retravaill!G396,0,[1]Result_notebook_retravaill!M396))</f>
        <v>1687.2240902353924</v>
      </c>
    </row>
    <row r="397" spans="1:12">
      <c r="A397">
        <f>[1]Result_notebook_retravaill!A397</f>
        <v>2029</v>
      </c>
      <c r="B397" t="str">
        <f>[1]Result_notebook_retravaill!B397</f>
        <v>Neodymium</v>
      </c>
      <c r="C397" t="str">
        <f>[1]Result_notebook_retravaill!C397</f>
        <v>Current Measures</v>
      </c>
      <c r="D397" t="str">
        <f>[1]Result_notebook_retravaill!D397</f>
        <v>Existing production</v>
      </c>
      <c r="E397" t="str">
        <f>[1]Result_notebook_retravaill!E397</f>
        <v>Current shares</v>
      </c>
      <c r="F397" t="str">
        <f>[1]Result_notebook_retravaill!F397</f>
        <v>NIMBY</v>
      </c>
      <c r="G397">
        <f>[1]Result_notebook_retravaill!G397</f>
        <v>741.81027247215718</v>
      </c>
      <c r="H397" s="3">
        <f>IF([1]Result_notebook_retravaill!I397&gt;[1]Result_notebook_retravaill!G397,[1]Result_notebook_retravaill!I397/[1]Result_notebook_retravaill!N397,[1]Result_notebook_retravaill!H397)</f>
        <v>0</v>
      </c>
      <c r="I397" s="3">
        <f>[1]Result_notebook_retravaill!K397</f>
        <v>1236.3504541202619</v>
      </c>
      <c r="J397" s="3">
        <f>MIN(G397,[1]Result_notebook_retravaill!I397)</f>
        <v>0</v>
      </c>
      <c r="K397" s="3">
        <f>IF([1]Result_notebook_retravaill!I397&gt;[1]Result_notebook_retravaill!G397,0,IF([1]Result_notebook_retravaill!I397+[1]Result_notebook_retravaill!J397&gt;[1]Result_notebook_retravaill!G397,[1]Result_notebook_retravaill!G397-[1]Result_notebook_retravaill!I397,[1]Result_notebook_retravaill!J397))</f>
        <v>0</v>
      </c>
      <c r="L397" s="3">
        <f>IF([1]Result_notebook_retravaill!I397&gt;[1]Result_notebook_retravaill!G397,0,IF([1]Result_notebook_retravaill!I397+[1]Result_notebook_retravaill!J397&gt;[1]Result_notebook_retravaill!G397,0,[1]Result_notebook_retravaill!M397))</f>
        <v>741.81027247215718</v>
      </c>
    </row>
    <row r="398" spans="1:12">
      <c r="A398">
        <f>[1]Result_notebook_retravaill!A398</f>
        <v>2029</v>
      </c>
      <c r="B398" t="str">
        <f>[1]Result_notebook_retravaill!B398</f>
        <v>Neodymium</v>
      </c>
      <c r="C398" t="str">
        <f>[1]Result_notebook_retravaill!C398</f>
        <v>Current Measures</v>
      </c>
      <c r="D398" t="str">
        <f>[1]Result_notebook_retravaill!D398</f>
        <v>Existing production</v>
      </c>
      <c r="E398" t="str">
        <f>[1]Result_notebook_retravaill!E398</f>
        <v>Current shares</v>
      </c>
      <c r="F398" t="str">
        <f>[1]Result_notebook_retravaill!F398</f>
        <v>Status Quo</v>
      </c>
      <c r="G398">
        <f>[1]Result_notebook_retravaill!G398</f>
        <v>741.81027247215718</v>
      </c>
      <c r="H398" s="3">
        <f>IF([1]Result_notebook_retravaill!I398&gt;[1]Result_notebook_retravaill!G398,[1]Result_notebook_retravaill!I398/[1]Result_notebook_retravaill!N398,[1]Result_notebook_retravaill!H398)</f>
        <v>0</v>
      </c>
      <c r="I398" s="3">
        <f>[1]Result_notebook_retravaill!K398</f>
        <v>1236.3504541202619</v>
      </c>
      <c r="J398" s="3">
        <f>MIN(G398,[1]Result_notebook_retravaill!I398)</f>
        <v>0</v>
      </c>
      <c r="K398" s="3">
        <f>IF([1]Result_notebook_retravaill!I398&gt;[1]Result_notebook_retravaill!G398,0,IF([1]Result_notebook_retravaill!I398+[1]Result_notebook_retravaill!J398&gt;[1]Result_notebook_retravaill!G398,[1]Result_notebook_retravaill!G398-[1]Result_notebook_retravaill!I398,[1]Result_notebook_retravaill!J398))</f>
        <v>0</v>
      </c>
      <c r="L398" s="3">
        <f>IF([1]Result_notebook_retravaill!I398&gt;[1]Result_notebook_retravaill!G398,0,IF([1]Result_notebook_retravaill!I398+[1]Result_notebook_retravaill!J398&gt;[1]Result_notebook_retravaill!G398,0,[1]Result_notebook_retravaill!M398))</f>
        <v>741.81027247215718</v>
      </c>
    </row>
    <row r="399" spans="1:12">
      <c r="A399">
        <f>[1]Result_notebook_retravaill!A399</f>
        <v>2029</v>
      </c>
      <c r="B399" t="str">
        <f>[1]Result_notebook_retravaill!B399</f>
        <v>Neodymium</v>
      </c>
      <c r="C399" t="str">
        <f>[1]Result_notebook_retravaill!C399</f>
        <v>Current Measures</v>
      </c>
      <c r="D399" t="str">
        <f>[1]Result_notebook_retravaill!D399</f>
        <v>Production potential</v>
      </c>
      <c r="E399" t="str">
        <f>[1]Result_notebook_retravaill!E399</f>
        <v>Current shares</v>
      </c>
      <c r="F399" t="str">
        <f>[1]Result_notebook_retravaill!F399</f>
        <v>Expansion Extractive</v>
      </c>
      <c r="G399">
        <f>[1]Result_notebook_retravaill!G399</f>
        <v>741.81027247215718</v>
      </c>
      <c r="H399" s="3">
        <f>IF([1]Result_notebook_retravaill!I399&gt;[1]Result_notebook_retravaill!G399,[1]Result_notebook_retravaill!I399/[1]Result_notebook_retravaill!N399,[1]Result_notebook_retravaill!H399)</f>
        <v>10.588294957512471</v>
      </c>
      <c r="I399" s="3">
        <f>[1]Result_notebook_retravaill!K399</f>
        <v>1225.762159162749</v>
      </c>
      <c r="J399" s="3">
        <f>MIN(G399,[1]Result_notebook_retravaill!I399)</f>
        <v>6.3375595063497547</v>
      </c>
      <c r="K399" s="3">
        <f>IF([1]Result_notebook_retravaill!I399&gt;[1]Result_notebook_retravaill!G399,0,IF([1]Result_notebook_retravaill!I399+[1]Result_notebook_retravaill!J399&gt;[1]Result_notebook_retravaill!G399,[1]Result_notebook_retravaill!G399-[1]Result_notebook_retravaill!I399,[1]Result_notebook_retravaill!J399))</f>
        <v>4.2507354511627158</v>
      </c>
      <c r="L399" s="3">
        <f>IF([1]Result_notebook_retravaill!I399&gt;[1]Result_notebook_retravaill!G399,0,IF([1]Result_notebook_retravaill!I399+[1]Result_notebook_retravaill!J399&gt;[1]Result_notebook_retravaill!G399,0,[1]Result_notebook_retravaill!M399))</f>
        <v>731.22197751464466</v>
      </c>
    </row>
    <row r="400" spans="1:12">
      <c r="A400">
        <f>[1]Result_notebook_retravaill!A400</f>
        <v>2029</v>
      </c>
      <c r="B400" t="str">
        <f>[1]Result_notebook_retravaill!B400</f>
        <v>Neodymium</v>
      </c>
      <c r="C400" t="str">
        <f>[1]Result_notebook_retravaill!C400</f>
        <v>Current Measures</v>
      </c>
      <c r="D400" t="str">
        <f>[1]Result_notebook_retravaill!D400</f>
        <v>Production potential</v>
      </c>
      <c r="E400" t="str">
        <f>[1]Result_notebook_retravaill!E400</f>
        <v>Current shares</v>
      </c>
      <c r="F400" t="str">
        <f>[1]Result_notebook_retravaill!F400</f>
        <v>Expansion Extractive+Circularity</v>
      </c>
      <c r="G400">
        <f>[1]Result_notebook_retravaill!G400</f>
        <v>741.81027247215718</v>
      </c>
      <c r="H400" s="3">
        <f>IF([1]Result_notebook_retravaill!I400&gt;[1]Result_notebook_retravaill!G400,[1]Result_notebook_retravaill!I400/[1]Result_notebook_retravaill!N400,[1]Result_notebook_retravaill!H400)</f>
        <v>10.588294957512471</v>
      </c>
      <c r="I400" s="3">
        <f>[1]Result_notebook_retravaill!K400</f>
        <v>1225.762159162749</v>
      </c>
      <c r="J400" s="3">
        <f>MIN(G400,[1]Result_notebook_retravaill!I400)</f>
        <v>6.3375595063497547</v>
      </c>
      <c r="K400" s="3">
        <f>IF([1]Result_notebook_retravaill!I400&gt;[1]Result_notebook_retravaill!G400,0,IF([1]Result_notebook_retravaill!I400+[1]Result_notebook_retravaill!J400&gt;[1]Result_notebook_retravaill!G400,[1]Result_notebook_retravaill!G400-[1]Result_notebook_retravaill!I400,[1]Result_notebook_retravaill!J400))</f>
        <v>4.2507354511627158</v>
      </c>
      <c r="L400" s="3">
        <f>IF([1]Result_notebook_retravaill!I400&gt;[1]Result_notebook_retravaill!G400,0,IF([1]Result_notebook_retravaill!I400+[1]Result_notebook_retravaill!J400&gt;[1]Result_notebook_retravaill!G400,0,[1]Result_notebook_retravaill!M400))</f>
        <v>731.22197751464466</v>
      </c>
    </row>
    <row r="401" spans="1:12">
      <c r="A401">
        <f>[1]Result_notebook_retravaill!A401</f>
        <v>2029</v>
      </c>
      <c r="B401" t="str">
        <f>[1]Result_notebook_retravaill!B401</f>
        <v>Neodymium</v>
      </c>
      <c r="C401" t="str">
        <f>[1]Result_notebook_retravaill!C401</f>
        <v>Current Measures</v>
      </c>
      <c r="D401" t="str">
        <f>[1]Result_notebook_retravaill!D401</f>
        <v>Production potential</v>
      </c>
      <c r="E401" t="str">
        <f>[1]Result_notebook_retravaill!E401</f>
        <v>100% CAN</v>
      </c>
      <c r="F401" t="str">
        <f>[1]Result_notebook_retravaill!F401</f>
        <v>Integrated</v>
      </c>
      <c r="G401">
        <f>[1]Result_notebook_retravaill!G401</f>
        <v>741.81027247215718</v>
      </c>
      <c r="H401" s="3">
        <f>IF([1]Result_notebook_retravaill!I401&gt;[1]Result_notebook_retravaill!G401,[1]Result_notebook_retravaill!I401/[1]Result_notebook_retravaill!N401,[1]Result_notebook_retravaill!H401)</f>
        <v>10.588294957512471</v>
      </c>
      <c r="I401" s="3">
        <f>[1]Result_notebook_retravaill!K401</f>
        <v>1225.762159162749</v>
      </c>
      <c r="J401" s="3">
        <f>MIN(G401,[1]Result_notebook_retravaill!I401)</f>
        <v>6.3375595063497547</v>
      </c>
      <c r="K401" s="3">
        <f>IF([1]Result_notebook_retravaill!I401&gt;[1]Result_notebook_retravaill!G401,0,IF([1]Result_notebook_retravaill!I401+[1]Result_notebook_retravaill!J401&gt;[1]Result_notebook_retravaill!G401,[1]Result_notebook_retravaill!G401-[1]Result_notebook_retravaill!I401,[1]Result_notebook_retravaill!J401))</f>
        <v>4.2507354511627158</v>
      </c>
      <c r="L401" s="3">
        <f>IF([1]Result_notebook_retravaill!I401&gt;[1]Result_notebook_retravaill!G401,0,IF([1]Result_notebook_retravaill!I401+[1]Result_notebook_retravaill!J401&gt;[1]Result_notebook_retravaill!G401,0,[1]Result_notebook_retravaill!M401))</f>
        <v>731.22197751464466</v>
      </c>
    </row>
    <row r="402" spans="1:12">
      <c r="A402">
        <f>[1]Result_notebook_retravaill!A402</f>
        <v>2029</v>
      </c>
      <c r="B402" t="str">
        <f>[1]Result_notebook_retravaill!B402</f>
        <v>Neodymium</v>
      </c>
      <c r="C402" t="str">
        <f>[1]Result_notebook_retravaill!C402</f>
        <v>Global Net-zero</v>
      </c>
      <c r="D402" t="str">
        <f>[1]Result_notebook_retravaill!D402</f>
        <v>Existing production</v>
      </c>
      <c r="E402" t="str">
        <f>[1]Result_notebook_retravaill!E402</f>
        <v>Current shares</v>
      </c>
      <c r="F402" t="str">
        <f>[1]Result_notebook_retravaill!F402</f>
        <v>NIMBY</v>
      </c>
      <c r="G402">
        <f>[1]Result_notebook_retravaill!G402</f>
        <v>1635.953671845974</v>
      </c>
      <c r="H402" s="3">
        <f>IF([1]Result_notebook_retravaill!I402&gt;[1]Result_notebook_retravaill!G402,[1]Result_notebook_retravaill!I402/[1]Result_notebook_retravaill!N402,[1]Result_notebook_retravaill!H402)</f>
        <v>0</v>
      </c>
      <c r="I402" s="3">
        <f>[1]Result_notebook_retravaill!K402</f>
        <v>2726.5894530766241</v>
      </c>
      <c r="J402" s="3">
        <f>MIN(G402,[1]Result_notebook_retravaill!I402)</f>
        <v>0</v>
      </c>
      <c r="K402" s="3">
        <f>IF([1]Result_notebook_retravaill!I402&gt;[1]Result_notebook_retravaill!G402,0,IF([1]Result_notebook_retravaill!I402+[1]Result_notebook_retravaill!J402&gt;[1]Result_notebook_retravaill!G402,[1]Result_notebook_retravaill!G402-[1]Result_notebook_retravaill!I402,[1]Result_notebook_retravaill!J402))</f>
        <v>0</v>
      </c>
      <c r="L402" s="3">
        <f>IF([1]Result_notebook_retravaill!I402&gt;[1]Result_notebook_retravaill!G402,0,IF([1]Result_notebook_retravaill!I402+[1]Result_notebook_retravaill!J402&gt;[1]Result_notebook_retravaill!G402,0,[1]Result_notebook_retravaill!M402))</f>
        <v>1635.953671845974</v>
      </c>
    </row>
    <row r="403" spans="1:12">
      <c r="A403">
        <f>[1]Result_notebook_retravaill!A403</f>
        <v>2029</v>
      </c>
      <c r="B403" t="str">
        <f>[1]Result_notebook_retravaill!B403</f>
        <v>Neodymium</v>
      </c>
      <c r="C403" t="str">
        <f>[1]Result_notebook_retravaill!C403</f>
        <v>Global Net-zero</v>
      </c>
      <c r="D403" t="str">
        <f>[1]Result_notebook_retravaill!D403</f>
        <v>Existing production</v>
      </c>
      <c r="E403" t="str">
        <f>[1]Result_notebook_retravaill!E403</f>
        <v>Current shares</v>
      </c>
      <c r="F403" t="str">
        <f>[1]Result_notebook_retravaill!F403</f>
        <v>Status Quo</v>
      </c>
      <c r="G403">
        <f>[1]Result_notebook_retravaill!G403</f>
        <v>1635.953671845974</v>
      </c>
      <c r="H403" s="3">
        <f>IF([1]Result_notebook_retravaill!I403&gt;[1]Result_notebook_retravaill!G403,[1]Result_notebook_retravaill!I403/[1]Result_notebook_retravaill!N403,[1]Result_notebook_retravaill!H403)</f>
        <v>0</v>
      </c>
      <c r="I403" s="3">
        <f>[1]Result_notebook_retravaill!K403</f>
        <v>2726.5894530766241</v>
      </c>
      <c r="J403" s="3">
        <f>MIN(G403,[1]Result_notebook_retravaill!I403)</f>
        <v>0</v>
      </c>
      <c r="K403" s="3">
        <f>IF([1]Result_notebook_retravaill!I403&gt;[1]Result_notebook_retravaill!G403,0,IF([1]Result_notebook_retravaill!I403+[1]Result_notebook_retravaill!J403&gt;[1]Result_notebook_retravaill!G403,[1]Result_notebook_retravaill!G403-[1]Result_notebook_retravaill!I403,[1]Result_notebook_retravaill!J403))</f>
        <v>0</v>
      </c>
      <c r="L403" s="3">
        <f>IF([1]Result_notebook_retravaill!I403&gt;[1]Result_notebook_retravaill!G403,0,IF([1]Result_notebook_retravaill!I403+[1]Result_notebook_retravaill!J403&gt;[1]Result_notebook_retravaill!G403,0,[1]Result_notebook_retravaill!M403))</f>
        <v>1635.953671845974</v>
      </c>
    </row>
    <row r="404" spans="1:12">
      <c r="A404">
        <f>[1]Result_notebook_retravaill!A404</f>
        <v>2029</v>
      </c>
      <c r="B404" t="str">
        <f>[1]Result_notebook_retravaill!B404</f>
        <v>Neodymium</v>
      </c>
      <c r="C404" t="str">
        <f>[1]Result_notebook_retravaill!C404</f>
        <v>Global Net-zero</v>
      </c>
      <c r="D404" t="str">
        <f>[1]Result_notebook_retravaill!D404</f>
        <v>Production potential</v>
      </c>
      <c r="E404" t="str">
        <f>[1]Result_notebook_retravaill!E404</f>
        <v>Current shares</v>
      </c>
      <c r="F404" t="str">
        <f>[1]Result_notebook_retravaill!F404</f>
        <v>Expansion Extractive</v>
      </c>
      <c r="G404">
        <f>[1]Result_notebook_retravaill!G404</f>
        <v>1635.953671845974</v>
      </c>
      <c r="H404" s="3">
        <f>IF([1]Result_notebook_retravaill!I404&gt;[1]Result_notebook_retravaill!G404,[1]Result_notebook_retravaill!I404/[1]Result_notebook_retravaill!N404,[1]Result_notebook_retravaill!H404)</f>
        <v>10.588294957512471</v>
      </c>
      <c r="I404" s="3">
        <f>[1]Result_notebook_retravaill!K404</f>
        <v>2716.0011581191111</v>
      </c>
      <c r="J404" s="3">
        <f>MIN(G404,[1]Result_notebook_retravaill!I404)</f>
        <v>6.3375595063497547</v>
      </c>
      <c r="K404" s="3">
        <f>IF([1]Result_notebook_retravaill!I404&gt;[1]Result_notebook_retravaill!G404,0,IF([1]Result_notebook_retravaill!I404+[1]Result_notebook_retravaill!J404&gt;[1]Result_notebook_retravaill!G404,[1]Result_notebook_retravaill!G404-[1]Result_notebook_retravaill!I404,[1]Result_notebook_retravaill!J404))</f>
        <v>4.2507354511627158</v>
      </c>
      <c r="L404" s="3">
        <f>IF([1]Result_notebook_retravaill!I404&gt;[1]Result_notebook_retravaill!G404,0,IF([1]Result_notebook_retravaill!I404+[1]Result_notebook_retravaill!J404&gt;[1]Result_notebook_retravaill!G404,0,[1]Result_notebook_retravaill!M404))</f>
        <v>1625.3653768884612</v>
      </c>
    </row>
    <row r="405" spans="1:12">
      <c r="A405">
        <f>[1]Result_notebook_retravaill!A405</f>
        <v>2029</v>
      </c>
      <c r="B405" t="str">
        <f>[1]Result_notebook_retravaill!B405</f>
        <v>Neodymium</v>
      </c>
      <c r="C405" t="str">
        <f>[1]Result_notebook_retravaill!C405</f>
        <v>Global Net-zero</v>
      </c>
      <c r="D405" t="str">
        <f>[1]Result_notebook_retravaill!D405</f>
        <v>Production potential</v>
      </c>
      <c r="E405" t="str">
        <f>[1]Result_notebook_retravaill!E405</f>
        <v>Current shares</v>
      </c>
      <c r="F405" t="str">
        <f>[1]Result_notebook_retravaill!F405</f>
        <v>Expansion Extractive+Circularity</v>
      </c>
      <c r="G405">
        <f>[1]Result_notebook_retravaill!G405</f>
        <v>1635.953671845974</v>
      </c>
      <c r="H405" s="3">
        <f>IF([1]Result_notebook_retravaill!I405&gt;[1]Result_notebook_retravaill!G405,[1]Result_notebook_retravaill!I405/[1]Result_notebook_retravaill!N405,[1]Result_notebook_retravaill!H405)</f>
        <v>10.588294957512471</v>
      </c>
      <c r="I405" s="3">
        <f>[1]Result_notebook_retravaill!K405</f>
        <v>2716.0011581191111</v>
      </c>
      <c r="J405" s="3">
        <f>MIN(G405,[1]Result_notebook_retravaill!I405)</f>
        <v>6.3375595063497547</v>
      </c>
      <c r="K405" s="3">
        <f>IF([1]Result_notebook_retravaill!I405&gt;[1]Result_notebook_retravaill!G405,0,IF([1]Result_notebook_retravaill!I405+[1]Result_notebook_retravaill!J405&gt;[1]Result_notebook_retravaill!G405,[1]Result_notebook_retravaill!G405-[1]Result_notebook_retravaill!I405,[1]Result_notebook_retravaill!J405))</f>
        <v>4.2507354511627158</v>
      </c>
      <c r="L405" s="3">
        <f>IF([1]Result_notebook_retravaill!I405&gt;[1]Result_notebook_retravaill!G405,0,IF([1]Result_notebook_retravaill!I405+[1]Result_notebook_retravaill!J405&gt;[1]Result_notebook_retravaill!G405,0,[1]Result_notebook_retravaill!M405))</f>
        <v>1625.3653768884612</v>
      </c>
    </row>
    <row r="406" spans="1:12">
      <c r="A406">
        <f>[1]Result_notebook_retravaill!A406</f>
        <v>2029</v>
      </c>
      <c r="B406" t="str">
        <f>[1]Result_notebook_retravaill!B406</f>
        <v>Neodymium</v>
      </c>
      <c r="C406" t="str">
        <f>[1]Result_notebook_retravaill!C406</f>
        <v>Global Net-zero</v>
      </c>
      <c r="D406" t="str">
        <f>[1]Result_notebook_retravaill!D406</f>
        <v>Production potential</v>
      </c>
      <c r="E406" t="str">
        <f>[1]Result_notebook_retravaill!E406</f>
        <v>100% CAN</v>
      </c>
      <c r="F406" t="str">
        <f>[1]Result_notebook_retravaill!F406</f>
        <v>Integrated</v>
      </c>
      <c r="G406">
        <f>[1]Result_notebook_retravaill!G406</f>
        <v>1635.953671845974</v>
      </c>
      <c r="H406" s="3">
        <f>IF([1]Result_notebook_retravaill!I406&gt;[1]Result_notebook_retravaill!G406,[1]Result_notebook_retravaill!I406/[1]Result_notebook_retravaill!N406,[1]Result_notebook_retravaill!H406)</f>
        <v>10.588294957512471</v>
      </c>
      <c r="I406" s="3">
        <f>[1]Result_notebook_retravaill!K406</f>
        <v>2716.0011581191111</v>
      </c>
      <c r="J406" s="3">
        <f>MIN(G406,[1]Result_notebook_retravaill!I406)</f>
        <v>6.3375595063497547</v>
      </c>
      <c r="K406" s="3">
        <f>IF([1]Result_notebook_retravaill!I406&gt;[1]Result_notebook_retravaill!G406,0,IF([1]Result_notebook_retravaill!I406+[1]Result_notebook_retravaill!J406&gt;[1]Result_notebook_retravaill!G406,[1]Result_notebook_retravaill!G406-[1]Result_notebook_retravaill!I406,[1]Result_notebook_retravaill!J406))</f>
        <v>4.2507354511627158</v>
      </c>
      <c r="L406" s="3">
        <f>IF([1]Result_notebook_retravaill!I406&gt;[1]Result_notebook_retravaill!G406,0,IF([1]Result_notebook_retravaill!I406+[1]Result_notebook_retravaill!J406&gt;[1]Result_notebook_retravaill!G406,0,[1]Result_notebook_retravaill!M406))</f>
        <v>1625.3653768884612</v>
      </c>
    </row>
    <row r="407" spans="1:12">
      <c r="A407">
        <f>[1]Result_notebook_retravaill!A407</f>
        <v>2029</v>
      </c>
      <c r="B407" t="str">
        <f>[1]Result_notebook_retravaill!B407</f>
        <v>Nickel</v>
      </c>
      <c r="C407" t="str">
        <f>[1]Result_notebook_retravaill!C407</f>
        <v>Canada Net-zero</v>
      </c>
      <c r="D407" t="str">
        <f>[1]Result_notebook_retravaill!D407</f>
        <v>Existing production</v>
      </c>
      <c r="E407" t="str">
        <f>[1]Result_notebook_retravaill!E407</f>
        <v>Current shares</v>
      </c>
      <c r="F407" t="str">
        <f>[1]Result_notebook_retravaill!F407</f>
        <v>NIMBY</v>
      </c>
      <c r="G407">
        <f>[1]Result_notebook_retravaill!G407</f>
        <v>64370.502916696467</v>
      </c>
      <c r="H407" s="3">
        <f>IF([1]Result_notebook_retravaill!I407&gt;[1]Result_notebook_retravaill!G407,[1]Result_notebook_retravaill!I407/[1]Result_notebook_retravaill!N407,[1]Result_notebook_retravaill!H407)</f>
        <v>0</v>
      </c>
      <c r="I407" s="3">
        <f>[1]Result_notebook_retravaill!K407</f>
        <v>81481.649261641098</v>
      </c>
      <c r="J407" s="3">
        <f>MIN(G407,[1]Result_notebook_retravaill!I407)</f>
        <v>0</v>
      </c>
      <c r="K407" s="3">
        <f>IF([1]Result_notebook_retravaill!I407&gt;[1]Result_notebook_retravaill!G407,0,IF([1]Result_notebook_retravaill!I407+[1]Result_notebook_retravaill!J407&gt;[1]Result_notebook_retravaill!G407,[1]Result_notebook_retravaill!G407-[1]Result_notebook_retravaill!I407,[1]Result_notebook_retravaill!J407))</f>
        <v>0</v>
      </c>
      <c r="L407" s="3">
        <f>IF([1]Result_notebook_retravaill!I407&gt;[1]Result_notebook_retravaill!G407,0,IF([1]Result_notebook_retravaill!I407+[1]Result_notebook_retravaill!J407&gt;[1]Result_notebook_retravaill!G407,0,[1]Result_notebook_retravaill!M407))</f>
        <v>64370.502916696467</v>
      </c>
    </row>
    <row r="408" spans="1:12">
      <c r="A408">
        <f>[1]Result_notebook_retravaill!A408</f>
        <v>2029</v>
      </c>
      <c r="B408" t="str">
        <f>[1]Result_notebook_retravaill!B408</f>
        <v>Nickel</v>
      </c>
      <c r="C408" t="str">
        <f>[1]Result_notebook_retravaill!C408</f>
        <v>Canada Net-zero</v>
      </c>
      <c r="D408" t="str">
        <f>[1]Result_notebook_retravaill!D408</f>
        <v>Existing production</v>
      </c>
      <c r="E408" t="str">
        <f>[1]Result_notebook_retravaill!E408</f>
        <v>Current shares</v>
      </c>
      <c r="F408" t="str">
        <f>[1]Result_notebook_retravaill!F408</f>
        <v>Status Quo</v>
      </c>
      <c r="G408">
        <f>[1]Result_notebook_retravaill!G408</f>
        <v>64370.502916696467</v>
      </c>
      <c r="H408" s="3">
        <f>IF([1]Result_notebook_retravaill!I408&gt;[1]Result_notebook_retravaill!G408,[1]Result_notebook_retravaill!I408/[1]Result_notebook_retravaill!N408,[1]Result_notebook_retravaill!H408)</f>
        <v>121994.95715313317</v>
      </c>
      <c r="I408" s="3">
        <f>[1]Result_notebook_retravaill!K408</f>
        <v>0</v>
      </c>
      <c r="J408" s="3">
        <f>MIN(G408,[1]Result_notebook_retravaill!I408)</f>
        <v>64370.502916696467</v>
      </c>
      <c r="K408" s="3">
        <f>IF([1]Result_notebook_retravaill!I408&gt;[1]Result_notebook_retravaill!G408,0,IF([1]Result_notebook_retravaill!I408+[1]Result_notebook_retravaill!J408&gt;[1]Result_notebook_retravaill!G408,[1]Result_notebook_retravaill!G408-[1]Result_notebook_retravaill!I408,[1]Result_notebook_retravaill!J408))</f>
        <v>0</v>
      </c>
      <c r="L408" s="3">
        <f>IF([1]Result_notebook_retravaill!I408&gt;[1]Result_notebook_retravaill!G408,0,IF([1]Result_notebook_retravaill!I408+[1]Result_notebook_retravaill!J408&gt;[1]Result_notebook_retravaill!G408,0,[1]Result_notebook_retravaill!M408))</f>
        <v>0</v>
      </c>
    </row>
    <row r="409" spans="1:12">
      <c r="A409">
        <f>[1]Result_notebook_retravaill!A409</f>
        <v>2029</v>
      </c>
      <c r="B409" t="str">
        <f>[1]Result_notebook_retravaill!B409</f>
        <v>Nickel</v>
      </c>
      <c r="C409" t="str">
        <f>[1]Result_notebook_retravaill!C409</f>
        <v>Canada Net-zero</v>
      </c>
      <c r="D409" t="str">
        <f>[1]Result_notebook_retravaill!D409</f>
        <v>Production potential</v>
      </c>
      <c r="E409" t="str">
        <f>[1]Result_notebook_retravaill!E409</f>
        <v>Current shares</v>
      </c>
      <c r="F409" t="str">
        <f>[1]Result_notebook_retravaill!F409</f>
        <v>Expansion Extractive</v>
      </c>
      <c r="G409">
        <f>[1]Result_notebook_retravaill!G409</f>
        <v>64370.502916696467</v>
      </c>
      <c r="H409" s="3">
        <f>IF([1]Result_notebook_retravaill!I409&gt;[1]Result_notebook_retravaill!G409,[1]Result_notebook_retravaill!I409/[1]Result_notebook_retravaill!N409,[1]Result_notebook_retravaill!H409)</f>
        <v>153000.29070106777</v>
      </c>
      <c r="I409" s="3">
        <f>[1]Result_notebook_retravaill!K409</f>
        <v>0</v>
      </c>
      <c r="J409" s="3">
        <f>MIN(G409,[1]Result_notebook_retravaill!I409)</f>
        <v>64370.502916696467</v>
      </c>
      <c r="K409" s="3">
        <f>IF([1]Result_notebook_retravaill!I409&gt;[1]Result_notebook_retravaill!G409,0,IF([1]Result_notebook_retravaill!I409+[1]Result_notebook_retravaill!J409&gt;[1]Result_notebook_retravaill!G409,[1]Result_notebook_retravaill!G409-[1]Result_notebook_retravaill!I409,[1]Result_notebook_retravaill!J409))</f>
        <v>0</v>
      </c>
      <c r="L409" s="3">
        <f>IF([1]Result_notebook_retravaill!I409&gt;[1]Result_notebook_retravaill!G409,0,IF([1]Result_notebook_retravaill!I409+[1]Result_notebook_retravaill!J409&gt;[1]Result_notebook_retravaill!G409,0,[1]Result_notebook_retravaill!M409))</f>
        <v>0</v>
      </c>
    </row>
    <row r="410" spans="1:12">
      <c r="A410">
        <f>[1]Result_notebook_retravaill!A410</f>
        <v>2029</v>
      </c>
      <c r="B410" t="str">
        <f>[1]Result_notebook_retravaill!B410</f>
        <v>Nickel</v>
      </c>
      <c r="C410" t="str">
        <f>[1]Result_notebook_retravaill!C410</f>
        <v>Canada Net-zero</v>
      </c>
      <c r="D410" t="str">
        <f>[1]Result_notebook_retravaill!D410</f>
        <v>Production potential</v>
      </c>
      <c r="E410" t="str">
        <f>[1]Result_notebook_retravaill!E410</f>
        <v>Current shares</v>
      </c>
      <c r="F410" t="str">
        <f>[1]Result_notebook_retravaill!F410</f>
        <v>Expansion Extractive+Circularity</v>
      </c>
      <c r="G410">
        <f>[1]Result_notebook_retravaill!G410</f>
        <v>64370.502916696467</v>
      </c>
      <c r="H410" s="3">
        <f>IF([1]Result_notebook_retravaill!I410&gt;[1]Result_notebook_retravaill!G410,[1]Result_notebook_retravaill!I410/[1]Result_notebook_retravaill!N410,[1]Result_notebook_retravaill!H410)</f>
        <v>153000.29070106777</v>
      </c>
      <c r="I410" s="3">
        <f>[1]Result_notebook_retravaill!K410</f>
        <v>0</v>
      </c>
      <c r="J410" s="3">
        <f>MIN(G410,[1]Result_notebook_retravaill!I410)</f>
        <v>64370.502916696467</v>
      </c>
      <c r="K410" s="3">
        <f>IF([1]Result_notebook_retravaill!I410&gt;[1]Result_notebook_retravaill!G410,0,IF([1]Result_notebook_retravaill!I410+[1]Result_notebook_retravaill!J410&gt;[1]Result_notebook_retravaill!G410,[1]Result_notebook_retravaill!G410-[1]Result_notebook_retravaill!I410,[1]Result_notebook_retravaill!J410))</f>
        <v>0</v>
      </c>
      <c r="L410" s="3">
        <f>IF([1]Result_notebook_retravaill!I410&gt;[1]Result_notebook_retravaill!G410,0,IF([1]Result_notebook_retravaill!I410+[1]Result_notebook_retravaill!J410&gt;[1]Result_notebook_retravaill!G410,0,[1]Result_notebook_retravaill!M410))</f>
        <v>0</v>
      </c>
    </row>
    <row r="411" spans="1:12">
      <c r="A411">
        <f>[1]Result_notebook_retravaill!A411</f>
        <v>2029</v>
      </c>
      <c r="B411" t="str">
        <f>[1]Result_notebook_retravaill!B411</f>
        <v>Nickel</v>
      </c>
      <c r="C411" t="str">
        <f>[1]Result_notebook_retravaill!C411</f>
        <v>Canada Net-zero</v>
      </c>
      <c r="D411" t="str">
        <f>[1]Result_notebook_retravaill!D411</f>
        <v>Production potential</v>
      </c>
      <c r="E411" t="str">
        <f>[1]Result_notebook_retravaill!E411</f>
        <v>100% CAN</v>
      </c>
      <c r="F411" t="str">
        <f>[1]Result_notebook_retravaill!F411</f>
        <v>Integrated</v>
      </c>
      <c r="G411">
        <f>[1]Result_notebook_retravaill!G411</f>
        <v>64370.502916696467</v>
      </c>
      <c r="H411" s="3">
        <f>IF([1]Result_notebook_retravaill!I411&gt;[1]Result_notebook_retravaill!G411,[1]Result_notebook_retravaill!I411/[1]Result_notebook_retravaill!N411,[1]Result_notebook_retravaill!H411)</f>
        <v>214834.07190227447</v>
      </c>
      <c r="I411" s="3">
        <f>[1]Result_notebook_retravaill!K411</f>
        <v>0</v>
      </c>
      <c r="J411" s="3">
        <f>MIN(G411,[1]Result_notebook_retravaill!I411)</f>
        <v>64370.502916696467</v>
      </c>
      <c r="K411" s="3">
        <f>IF([1]Result_notebook_retravaill!I411&gt;[1]Result_notebook_retravaill!G411,0,IF([1]Result_notebook_retravaill!I411+[1]Result_notebook_retravaill!J411&gt;[1]Result_notebook_retravaill!G411,[1]Result_notebook_retravaill!G411-[1]Result_notebook_retravaill!I411,[1]Result_notebook_retravaill!J411))</f>
        <v>0</v>
      </c>
      <c r="L411" s="3">
        <f>IF([1]Result_notebook_retravaill!I411&gt;[1]Result_notebook_retravaill!G411,0,IF([1]Result_notebook_retravaill!I411+[1]Result_notebook_retravaill!J411&gt;[1]Result_notebook_retravaill!G411,0,[1]Result_notebook_retravaill!M411))</f>
        <v>0</v>
      </c>
    </row>
    <row r="412" spans="1:12">
      <c r="A412">
        <f>[1]Result_notebook_retravaill!A412</f>
        <v>2029</v>
      </c>
      <c r="B412" t="str">
        <f>[1]Result_notebook_retravaill!B412</f>
        <v>Nickel</v>
      </c>
      <c r="C412" t="str">
        <f>[1]Result_notebook_retravaill!C412</f>
        <v>Current Measures</v>
      </c>
      <c r="D412" t="str">
        <f>[1]Result_notebook_retravaill!D412</f>
        <v>Existing production</v>
      </c>
      <c r="E412" t="str">
        <f>[1]Result_notebook_retravaill!E412</f>
        <v>Current shares</v>
      </c>
      <c r="F412" t="str">
        <f>[1]Result_notebook_retravaill!F412</f>
        <v>NIMBY</v>
      </c>
      <c r="G412">
        <f>[1]Result_notebook_retravaill!G412</f>
        <v>37163.881136711549</v>
      </c>
      <c r="H412" s="3">
        <f>IF([1]Result_notebook_retravaill!I412&gt;[1]Result_notebook_retravaill!G412,[1]Result_notebook_retravaill!I412/[1]Result_notebook_retravaill!N412,[1]Result_notebook_retravaill!H412)</f>
        <v>0</v>
      </c>
      <c r="I412" s="3">
        <f>[1]Result_notebook_retravaill!K412</f>
        <v>47042.887514824753</v>
      </c>
      <c r="J412" s="3">
        <f>MIN(G412,[1]Result_notebook_retravaill!I412)</f>
        <v>0</v>
      </c>
      <c r="K412" s="3">
        <f>IF([1]Result_notebook_retravaill!I412&gt;[1]Result_notebook_retravaill!G412,0,IF([1]Result_notebook_retravaill!I412+[1]Result_notebook_retravaill!J412&gt;[1]Result_notebook_retravaill!G412,[1]Result_notebook_retravaill!G412-[1]Result_notebook_retravaill!I412,[1]Result_notebook_retravaill!J412))</f>
        <v>0</v>
      </c>
      <c r="L412" s="3">
        <f>IF([1]Result_notebook_retravaill!I412&gt;[1]Result_notebook_retravaill!G412,0,IF([1]Result_notebook_retravaill!I412+[1]Result_notebook_retravaill!J412&gt;[1]Result_notebook_retravaill!G412,0,[1]Result_notebook_retravaill!M412))</f>
        <v>37163.881136711549</v>
      </c>
    </row>
    <row r="413" spans="1:12">
      <c r="A413">
        <f>[1]Result_notebook_retravaill!A413</f>
        <v>2029</v>
      </c>
      <c r="B413" t="str">
        <f>[1]Result_notebook_retravaill!B413</f>
        <v>Nickel</v>
      </c>
      <c r="C413" t="str">
        <f>[1]Result_notebook_retravaill!C413</f>
        <v>Current Measures</v>
      </c>
      <c r="D413" t="str">
        <f>[1]Result_notebook_retravaill!D413</f>
        <v>Existing production</v>
      </c>
      <c r="E413" t="str">
        <f>[1]Result_notebook_retravaill!E413</f>
        <v>Current shares</v>
      </c>
      <c r="F413" t="str">
        <f>[1]Result_notebook_retravaill!F413</f>
        <v>Status Quo</v>
      </c>
      <c r="G413">
        <f>[1]Result_notebook_retravaill!G413</f>
        <v>37163.881136711549</v>
      </c>
      <c r="H413" s="3">
        <f>IF([1]Result_notebook_retravaill!I413&gt;[1]Result_notebook_retravaill!G413,[1]Result_notebook_retravaill!I413/[1]Result_notebook_retravaill!N413,[1]Result_notebook_retravaill!H413)</f>
        <v>121994.95715313317</v>
      </c>
      <c r="I413" s="3">
        <f>[1]Result_notebook_retravaill!K413</f>
        <v>0</v>
      </c>
      <c r="J413" s="3">
        <f>MIN(G413,[1]Result_notebook_retravaill!I413)</f>
        <v>37163.881136711549</v>
      </c>
      <c r="K413" s="3">
        <f>IF([1]Result_notebook_retravaill!I413&gt;[1]Result_notebook_retravaill!G413,0,IF([1]Result_notebook_retravaill!I413+[1]Result_notebook_retravaill!J413&gt;[1]Result_notebook_retravaill!G413,[1]Result_notebook_retravaill!G413-[1]Result_notebook_retravaill!I413,[1]Result_notebook_retravaill!J413))</f>
        <v>0</v>
      </c>
      <c r="L413" s="3">
        <f>IF([1]Result_notebook_retravaill!I413&gt;[1]Result_notebook_retravaill!G413,0,IF([1]Result_notebook_retravaill!I413+[1]Result_notebook_retravaill!J413&gt;[1]Result_notebook_retravaill!G413,0,[1]Result_notebook_retravaill!M413))</f>
        <v>0</v>
      </c>
    </row>
    <row r="414" spans="1:12">
      <c r="A414">
        <f>[1]Result_notebook_retravaill!A414</f>
        <v>2029</v>
      </c>
      <c r="B414" t="str">
        <f>[1]Result_notebook_retravaill!B414</f>
        <v>Nickel</v>
      </c>
      <c r="C414" t="str">
        <f>[1]Result_notebook_retravaill!C414</f>
        <v>Current Measures</v>
      </c>
      <c r="D414" t="str">
        <f>[1]Result_notebook_retravaill!D414</f>
        <v>Production potential</v>
      </c>
      <c r="E414" t="str">
        <f>[1]Result_notebook_retravaill!E414</f>
        <v>Current shares</v>
      </c>
      <c r="F414" t="str">
        <f>[1]Result_notebook_retravaill!F414</f>
        <v>Expansion Extractive</v>
      </c>
      <c r="G414">
        <f>[1]Result_notebook_retravaill!G414</f>
        <v>37163.881136711549</v>
      </c>
      <c r="H414" s="3">
        <f>IF([1]Result_notebook_retravaill!I414&gt;[1]Result_notebook_retravaill!G414,[1]Result_notebook_retravaill!I414/[1]Result_notebook_retravaill!N414,[1]Result_notebook_retravaill!H414)</f>
        <v>153000.29070106777</v>
      </c>
      <c r="I414" s="3">
        <f>[1]Result_notebook_retravaill!K414</f>
        <v>0</v>
      </c>
      <c r="J414" s="3">
        <f>MIN(G414,[1]Result_notebook_retravaill!I414)</f>
        <v>37163.881136711549</v>
      </c>
      <c r="K414" s="3">
        <f>IF([1]Result_notebook_retravaill!I414&gt;[1]Result_notebook_retravaill!G414,0,IF([1]Result_notebook_retravaill!I414+[1]Result_notebook_retravaill!J414&gt;[1]Result_notebook_retravaill!G414,[1]Result_notebook_retravaill!G414-[1]Result_notebook_retravaill!I414,[1]Result_notebook_retravaill!J414))</f>
        <v>0</v>
      </c>
      <c r="L414" s="3">
        <f>IF([1]Result_notebook_retravaill!I414&gt;[1]Result_notebook_retravaill!G414,0,IF([1]Result_notebook_retravaill!I414+[1]Result_notebook_retravaill!J414&gt;[1]Result_notebook_retravaill!G414,0,[1]Result_notebook_retravaill!M414))</f>
        <v>0</v>
      </c>
    </row>
    <row r="415" spans="1:12">
      <c r="A415">
        <f>[1]Result_notebook_retravaill!A415</f>
        <v>2029</v>
      </c>
      <c r="B415" t="str">
        <f>[1]Result_notebook_retravaill!B415</f>
        <v>Nickel</v>
      </c>
      <c r="C415" t="str">
        <f>[1]Result_notebook_retravaill!C415</f>
        <v>Current Measures</v>
      </c>
      <c r="D415" t="str">
        <f>[1]Result_notebook_retravaill!D415</f>
        <v>Production potential</v>
      </c>
      <c r="E415" t="str">
        <f>[1]Result_notebook_retravaill!E415</f>
        <v>Current shares</v>
      </c>
      <c r="F415" t="str">
        <f>[1]Result_notebook_retravaill!F415</f>
        <v>Expansion Extractive+Circularity</v>
      </c>
      <c r="G415">
        <f>[1]Result_notebook_retravaill!G415</f>
        <v>37163.881136711549</v>
      </c>
      <c r="H415" s="3">
        <f>IF([1]Result_notebook_retravaill!I415&gt;[1]Result_notebook_retravaill!G415,[1]Result_notebook_retravaill!I415/[1]Result_notebook_retravaill!N415,[1]Result_notebook_retravaill!H415)</f>
        <v>153000.29070106777</v>
      </c>
      <c r="I415" s="3">
        <f>[1]Result_notebook_retravaill!K415</f>
        <v>0</v>
      </c>
      <c r="J415" s="3">
        <f>MIN(G415,[1]Result_notebook_retravaill!I415)</f>
        <v>37163.881136711549</v>
      </c>
      <c r="K415" s="3">
        <f>IF([1]Result_notebook_retravaill!I415&gt;[1]Result_notebook_retravaill!G415,0,IF([1]Result_notebook_retravaill!I415+[1]Result_notebook_retravaill!J415&gt;[1]Result_notebook_retravaill!G415,[1]Result_notebook_retravaill!G415-[1]Result_notebook_retravaill!I415,[1]Result_notebook_retravaill!J415))</f>
        <v>0</v>
      </c>
      <c r="L415" s="3">
        <f>IF([1]Result_notebook_retravaill!I415&gt;[1]Result_notebook_retravaill!G415,0,IF([1]Result_notebook_retravaill!I415+[1]Result_notebook_retravaill!J415&gt;[1]Result_notebook_retravaill!G415,0,[1]Result_notebook_retravaill!M415))</f>
        <v>0</v>
      </c>
    </row>
    <row r="416" spans="1:12">
      <c r="A416">
        <f>[1]Result_notebook_retravaill!A416</f>
        <v>2029</v>
      </c>
      <c r="B416" t="str">
        <f>[1]Result_notebook_retravaill!B416</f>
        <v>Nickel</v>
      </c>
      <c r="C416" t="str">
        <f>[1]Result_notebook_retravaill!C416</f>
        <v>Current Measures</v>
      </c>
      <c r="D416" t="str">
        <f>[1]Result_notebook_retravaill!D416</f>
        <v>Production potential</v>
      </c>
      <c r="E416" t="str">
        <f>[1]Result_notebook_retravaill!E416</f>
        <v>100% CAN</v>
      </c>
      <c r="F416" t="str">
        <f>[1]Result_notebook_retravaill!F416</f>
        <v>Integrated</v>
      </c>
      <c r="G416">
        <f>[1]Result_notebook_retravaill!G416</f>
        <v>37163.881136711549</v>
      </c>
      <c r="H416" s="3">
        <f>IF([1]Result_notebook_retravaill!I416&gt;[1]Result_notebook_retravaill!G416,[1]Result_notebook_retravaill!I416/[1]Result_notebook_retravaill!N416,[1]Result_notebook_retravaill!H416)</f>
        <v>214834.07190227447</v>
      </c>
      <c r="I416" s="3">
        <f>[1]Result_notebook_retravaill!K416</f>
        <v>0</v>
      </c>
      <c r="J416" s="3">
        <f>MIN(G416,[1]Result_notebook_retravaill!I416)</f>
        <v>37163.881136711549</v>
      </c>
      <c r="K416" s="3">
        <f>IF([1]Result_notebook_retravaill!I416&gt;[1]Result_notebook_retravaill!G416,0,IF([1]Result_notebook_retravaill!I416+[1]Result_notebook_retravaill!J416&gt;[1]Result_notebook_retravaill!G416,[1]Result_notebook_retravaill!G416-[1]Result_notebook_retravaill!I416,[1]Result_notebook_retravaill!J416))</f>
        <v>0</v>
      </c>
      <c r="L416" s="3">
        <f>IF([1]Result_notebook_retravaill!I416&gt;[1]Result_notebook_retravaill!G416,0,IF([1]Result_notebook_retravaill!I416+[1]Result_notebook_retravaill!J416&gt;[1]Result_notebook_retravaill!G416,0,[1]Result_notebook_retravaill!M416))</f>
        <v>0</v>
      </c>
    </row>
    <row r="417" spans="1:12">
      <c r="A417">
        <f>[1]Result_notebook_retravaill!A417</f>
        <v>2029</v>
      </c>
      <c r="B417" t="str">
        <f>[1]Result_notebook_retravaill!B417</f>
        <v>Nickel</v>
      </c>
      <c r="C417" t="str">
        <f>[1]Result_notebook_retravaill!C417</f>
        <v>Global Net-zero</v>
      </c>
      <c r="D417" t="str">
        <f>[1]Result_notebook_retravaill!D417</f>
        <v>Existing production</v>
      </c>
      <c r="E417" t="str">
        <f>[1]Result_notebook_retravaill!E417</f>
        <v>Current shares</v>
      </c>
      <c r="F417" t="str">
        <f>[1]Result_notebook_retravaill!F417</f>
        <v>NIMBY</v>
      </c>
      <c r="G417">
        <f>[1]Result_notebook_retravaill!G417</f>
        <v>61092.529648571137</v>
      </c>
      <c r="H417" s="3">
        <f>IF([1]Result_notebook_retravaill!I417&gt;[1]Result_notebook_retravaill!G417,[1]Result_notebook_retravaill!I417/[1]Result_notebook_retravaill!N417,[1]Result_notebook_retravaill!H417)</f>
        <v>0</v>
      </c>
      <c r="I417" s="3">
        <f>[1]Result_notebook_retravaill!K417</f>
        <v>77332.316010849536</v>
      </c>
      <c r="J417" s="3">
        <f>MIN(G417,[1]Result_notebook_retravaill!I417)</f>
        <v>0</v>
      </c>
      <c r="K417" s="3">
        <f>IF([1]Result_notebook_retravaill!I417&gt;[1]Result_notebook_retravaill!G417,0,IF([1]Result_notebook_retravaill!I417+[1]Result_notebook_retravaill!J417&gt;[1]Result_notebook_retravaill!G417,[1]Result_notebook_retravaill!G417-[1]Result_notebook_retravaill!I417,[1]Result_notebook_retravaill!J417))</f>
        <v>0</v>
      </c>
      <c r="L417" s="3">
        <f>IF([1]Result_notebook_retravaill!I417&gt;[1]Result_notebook_retravaill!G417,0,IF([1]Result_notebook_retravaill!I417+[1]Result_notebook_retravaill!J417&gt;[1]Result_notebook_retravaill!G417,0,[1]Result_notebook_retravaill!M417))</f>
        <v>61092.529648571137</v>
      </c>
    </row>
    <row r="418" spans="1:12">
      <c r="A418">
        <f>[1]Result_notebook_retravaill!A418</f>
        <v>2029</v>
      </c>
      <c r="B418" t="str">
        <f>[1]Result_notebook_retravaill!B418</f>
        <v>Nickel</v>
      </c>
      <c r="C418" t="str">
        <f>[1]Result_notebook_retravaill!C418</f>
        <v>Global Net-zero</v>
      </c>
      <c r="D418" t="str">
        <f>[1]Result_notebook_retravaill!D418</f>
        <v>Existing production</v>
      </c>
      <c r="E418" t="str">
        <f>[1]Result_notebook_retravaill!E418</f>
        <v>Current shares</v>
      </c>
      <c r="F418" t="str">
        <f>[1]Result_notebook_retravaill!F418</f>
        <v>Status Quo</v>
      </c>
      <c r="G418">
        <f>[1]Result_notebook_retravaill!G418</f>
        <v>61092.529648571137</v>
      </c>
      <c r="H418" s="3">
        <f>IF([1]Result_notebook_retravaill!I418&gt;[1]Result_notebook_retravaill!G418,[1]Result_notebook_retravaill!I418/[1]Result_notebook_retravaill!N418,[1]Result_notebook_retravaill!H418)</f>
        <v>121994.95715313317</v>
      </c>
      <c r="I418" s="3">
        <f>[1]Result_notebook_retravaill!K418</f>
        <v>0</v>
      </c>
      <c r="J418" s="3">
        <f>MIN(G418,[1]Result_notebook_retravaill!I418)</f>
        <v>61092.529648571137</v>
      </c>
      <c r="K418" s="3">
        <f>IF([1]Result_notebook_retravaill!I418&gt;[1]Result_notebook_retravaill!G418,0,IF([1]Result_notebook_retravaill!I418+[1]Result_notebook_retravaill!J418&gt;[1]Result_notebook_retravaill!G418,[1]Result_notebook_retravaill!G418-[1]Result_notebook_retravaill!I418,[1]Result_notebook_retravaill!J418))</f>
        <v>0</v>
      </c>
      <c r="L418" s="3">
        <f>IF([1]Result_notebook_retravaill!I418&gt;[1]Result_notebook_retravaill!G418,0,IF([1]Result_notebook_retravaill!I418+[1]Result_notebook_retravaill!J418&gt;[1]Result_notebook_retravaill!G418,0,[1]Result_notebook_retravaill!M418))</f>
        <v>0</v>
      </c>
    </row>
    <row r="419" spans="1:12">
      <c r="A419">
        <f>[1]Result_notebook_retravaill!A419</f>
        <v>2029</v>
      </c>
      <c r="B419" t="str">
        <f>[1]Result_notebook_retravaill!B419</f>
        <v>Nickel</v>
      </c>
      <c r="C419" t="str">
        <f>[1]Result_notebook_retravaill!C419</f>
        <v>Global Net-zero</v>
      </c>
      <c r="D419" t="str">
        <f>[1]Result_notebook_retravaill!D419</f>
        <v>Production potential</v>
      </c>
      <c r="E419" t="str">
        <f>[1]Result_notebook_retravaill!E419</f>
        <v>Current shares</v>
      </c>
      <c r="F419" t="str">
        <f>[1]Result_notebook_retravaill!F419</f>
        <v>Expansion Extractive</v>
      </c>
      <c r="G419">
        <f>[1]Result_notebook_retravaill!G419</f>
        <v>61092.529648571137</v>
      </c>
      <c r="H419" s="3">
        <f>IF([1]Result_notebook_retravaill!I419&gt;[1]Result_notebook_retravaill!G419,[1]Result_notebook_retravaill!I419/[1]Result_notebook_retravaill!N419,[1]Result_notebook_retravaill!H419)</f>
        <v>153000.29070106777</v>
      </c>
      <c r="I419" s="3">
        <f>[1]Result_notebook_retravaill!K419</f>
        <v>0</v>
      </c>
      <c r="J419" s="3">
        <f>MIN(G419,[1]Result_notebook_retravaill!I419)</f>
        <v>61092.529648571137</v>
      </c>
      <c r="K419" s="3">
        <f>IF([1]Result_notebook_retravaill!I419&gt;[1]Result_notebook_retravaill!G419,0,IF([1]Result_notebook_retravaill!I419+[1]Result_notebook_retravaill!J419&gt;[1]Result_notebook_retravaill!G419,[1]Result_notebook_retravaill!G419-[1]Result_notebook_retravaill!I419,[1]Result_notebook_retravaill!J419))</f>
        <v>0</v>
      </c>
      <c r="L419" s="3">
        <f>IF([1]Result_notebook_retravaill!I419&gt;[1]Result_notebook_retravaill!G419,0,IF([1]Result_notebook_retravaill!I419+[1]Result_notebook_retravaill!J419&gt;[1]Result_notebook_retravaill!G419,0,[1]Result_notebook_retravaill!M419))</f>
        <v>0</v>
      </c>
    </row>
    <row r="420" spans="1:12">
      <c r="A420">
        <f>[1]Result_notebook_retravaill!A420</f>
        <v>2029</v>
      </c>
      <c r="B420" t="str">
        <f>[1]Result_notebook_retravaill!B420</f>
        <v>Nickel</v>
      </c>
      <c r="C420" t="str">
        <f>[1]Result_notebook_retravaill!C420</f>
        <v>Global Net-zero</v>
      </c>
      <c r="D420" t="str">
        <f>[1]Result_notebook_retravaill!D420</f>
        <v>Production potential</v>
      </c>
      <c r="E420" t="str">
        <f>[1]Result_notebook_retravaill!E420</f>
        <v>Current shares</v>
      </c>
      <c r="F420" t="str">
        <f>[1]Result_notebook_retravaill!F420</f>
        <v>Expansion Extractive+Circularity</v>
      </c>
      <c r="G420">
        <f>[1]Result_notebook_retravaill!G420</f>
        <v>61092.529648571137</v>
      </c>
      <c r="H420" s="3">
        <f>IF([1]Result_notebook_retravaill!I420&gt;[1]Result_notebook_retravaill!G420,[1]Result_notebook_retravaill!I420/[1]Result_notebook_retravaill!N420,[1]Result_notebook_retravaill!H420)</f>
        <v>153000.29070106777</v>
      </c>
      <c r="I420" s="3">
        <f>[1]Result_notebook_retravaill!K420</f>
        <v>0</v>
      </c>
      <c r="J420" s="3">
        <f>MIN(G420,[1]Result_notebook_retravaill!I420)</f>
        <v>61092.529648571137</v>
      </c>
      <c r="K420" s="3">
        <f>IF([1]Result_notebook_retravaill!I420&gt;[1]Result_notebook_retravaill!G420,0,IF([1]Result_notebook_retravaill!I420+[1]Result_notebook_retravaill!J420&gt;[1]Result_notebook_retravaill!G420,[1]Result_notebook_retravaill!G420-[1]Result_notebook_retravaill!I420,[1]Result_notebook_retravaill!J420))</f>
        <v>0</v>
      </c>
      <c r="L420" s="3">
        <f>IF([1]Result_notebook_retravaill!I420&gt;[1]Result_notebook_retravaill!G420,0,IF([1]Result_notebook_retravaill!I420+[1]Result_notebook_retravaill!J420&gt;[1]Result_notebook_retravaill!G420,0,[1]Result_notebook_retravaill!M420))</f>
        <v>0</v>
      </c>
    </row>
    <row r="421" spans="1:12">
      <c r="A421">
        <f>[1]Result_notebook_retravaill!A421</f>
        <v>2029</v>
      </c>
      <c r="B421" t="str">
        <f>[1]Result_notebook_retravaill!B421</f>
        <v>Nickel</v>
      </c>
      <c r="C421" t="str">
        <f>[1]Result_notebook_retravaill!C421</f>
        <v>Global Net-zero</v>
      </c>
      <c r="D421" t="str">
        <f>[1]Result_notebook_retravaill!D421</f>
        <v>Production potential</v>
      </c>
      <c r="E421" t="str">
        <f>[1]Result_notebook_retravaill!E421</f>
        <v>100% CAN</v>
      </c>
      <c r="F421" t="str">
        <f>[1]Result_notebook_retravaill!F421</f>
        <v>Integrated</v>
      </c>
      <c r="G421">
        <f>[1]Result_notebook_retravaill!G421</f>
        <v>61092.529648571137</v>
      </c>
      <c r="H421" s="3">
        <f>IF([1]Result_notebook_retravaill!I421&gt;[1]Result_notebook_retravaill!G421,[1]Result_notebook_retravaill!I421/[1]Result_notebook_retravaill!N421,[1]Result_notebook_retravaill!H421)</f>
        <v>214834.07190227447</v>
      </c>
      <c r="I421" s="3">
        <f>[1]Result_notebook_retravaill!K421</f>
        <v>0</v>
      </c>
      <c r="J421" s="3">
        <f>MIN(G421,[1]Result_notebook_retravaill!I421)</f>
        <v>61092.529648571137</v>
      </c>
      <c r="K421" s="3">
        <f>IF([1]Result_notebook_retravaill!I421&gt;[1]Result_notebook_retravaill!G421,0,IF([1]Result_notebook_retravaill!I421+[1]Result_notebook_retravaill!J421&gt;[1]Result_notebook_retravaill!G421,[1]Result_notebook_retravaill!G421-[1]Result_notebook_retravaill!I421,[1]Result_notebook_retravaill!J421))</f>
        <v>0</v>
      </c>
      <c r="L421" s="3">
        <f>IF([1]Result_notebook_retravaill!I421&gt;[1]Result_notebook_retravaill!G421,0,IF([1]Result_notebook_retravaill!I421+[1]Result_notebook_retravaill!J421&gt;[1]Result_notebook_retravaill!G421,0,[1]Result_notebook_retravaill!M421))</f>
        <v>0</v>
      </c>
    </row>
    <row r="422" spans="1:12">
      <c r="A422">
        <f>[1]Result_notebook_retravaill!A422</f>
        <v>2029</v>
      </c>
      <c r="B422" t="str">
        <f>[1]Result_notebook_retravaill!B422</f>
        <v>Graphite</v>
      </c>
      <c r="C422" t="str">
        <f>[1]Result_notebook_retravaill!C422</f>
        <v>Canada Net-zero</v>
      </c>
      <c r="D422" t="str">
        <f>[1]Result_notebook_retravaill!D422</f>
        <v>Existing production</v>
      </c>
      <c r="E422" t="str">
        <f>[1]Result_notebook_retravaill!E422</f>
        <v>Current shares</v>
      </c>
      <c r="F422" t="str">
        <f>[1]Result_notebook_retravaill!F422</f>
        <v>NIMBY</v>
      </c>
      <c r="G422">
        <f>[1]Result_notebook_retravaill!G422</f>
        <v>1524.695210353849</v>
      </c>
      <c r="H422" s="3">
        <f>IF([1]Result_notebook_retravaill!I422&gt;[1]Result_notebook_retravaill!G422,[1]Result_notebook_retravaill!I422/[1]Result_notebook_retravaill!N422,[1]Result_notebook_retravaill!H422)</f>
        <v>0</v>
      </c>
      <c r="I422" s="3">
        <f>[1]Result_notebook_retravaill!K422</f>
        <v>1524.695210353849</v>
      </c>
      <c r="J422" s="3">
        <f>MIN(G422,[1]Result_notebook_retravaill!I422)</f>
        <v>0</v>
      </c>
      <c r="K422" s="3">
        <f>IF([1]Result_notebook_retravaill!I422&gt;[1]Result_notebook_retravaill!G422,0,IF([1]Result_notebook_retravaill!I422+[1]Result_notebook_retravaill!J422&gt;[1]Result_notebook_retravaill!G422,[1]Result_notebook_retravaill!G422-[1]Result_notebook_retravaill!I422,[1]Result_notebook_retravaill!J422))</f>
        <v>0</v>
      </c>
      <c r="L422" s="3">
        <f>IF([1]Result_notebook_retravaill!I422&gt;[1]Result_notebook_retravaill!G422,0,IF([1]Result_notebook_retravaill!I422+[1]Result_notebook_retravaill!J422&gt;[1]Result_notebook_retravaill!G422,0,[1]Result_notebook_retravaill!M422))</f>
        <v>1524.695210353849</v>
      </c>
    </row>
    <row r="423" spans="1:12">
      <c r="A423">
        <f>[1]Result_notebook_retravaill!A423</f>
        <v>2029</v>
      </c>
      <c r="B423" t="str">
        <f>[1]Result_notebook_retravaill!B423</f>
        <v>Graphite</v>
      </c>
      <c r="C423" t="str">
        <f>[1]Result_notebook_retravaill!C423</f>
        <v>Canada Net-zero</v>
      </c>
      <c r="D423" t="str">
        <f>[1]Result_notebook_retravaill!D423</f>
        <v>Existing production</v>
      </c>
      <c r="E423" t="str">
        <f>[1]Result_notebook_retravaill!E423</f>
        <v>Current shares</v>
      </c>
      <c r="F423" t="str">
        <f>[1]Result_notebook_retravaill!F423</f>
        <v>Status Quo</v>
      </c>
      <c r="G423">
        <f>[1]Result_notebook_retravaill!G423</f>
        <v>1524.695210353849</v>
      </c>
      <c r="H423" s="3">
        <f>IF([1]Result_notebook_retravaill!I423&gt;[1]Result_notebook_retravaill!G423,[1]Result_notebook_retravaill!I423/[1]Result_notebook_retravaill!N423,[1]Result_notebook_retravaill!H423)</f>
        <v>0</v>
      </c>
      <c r="I423" s="3">
        <f>[1]Result_notebook_retravaill!K423</f>
        <v>1524.695210353849</v>
      </c>
      <c r="J423" s="3">
        <f>MIN(G423,[1]Result_notebook_retravaill!I423)</f>
        <v>0</v>
      </c>
      <c r="K423" s="3">
        <f>IF([1]Result_notebook_retravaill!I423&gt;[1]Result_notebook_retravaill!G423,0,IF([1]Result_notebook_retravaill!I423+[1]Result_notebook_retravaill!J423&gt;[1]Result_notebook_retravaill!G423,[1]Result_notebook_retravaill!G423-[1]Result_notebook_retravaill!I423,[1]Result_notebook_retravaill!J423))</f>
        <v>0</v>
      </c>
      <c r="L423" s="3">
        <f>IF([1]Result_notebook_retravaill!I423&gt;[1]Result_notebook_retravaill!G423,0,IF([1]Result_notebook_retravaill!I423+[1]Result_notebook_retravaill!J423&gt;[1]Result_notebook_retravaill!G423,0,[1]Result_notebook_retravaill!M423))</f>
        <v>1524.695210353849</v>
      </c>
    </row>
    <row r="424" spans="1:12">
      <c r="A424">
        <f>[1]Result_notebook_retravaill!A424</f>
        <v>2029</v>
      </c>
      <c r="B424" t="str">
        <f>[1]Result_notebook_retravaill!B424</f>
        <v>Graphite</v>
      </c>
      <c r="C424" t="str">
        <f>[1]Result_notebook_retravaill!C424</f>
        <v>Canada Net-zero</v>
      </c>
      <c r="D424" t="str">
        <f>[1]Result_notebook_retravaill!D424</f>
        <v>Production potential</v>
      </c>
      <c r="E424" t="str">
        <f>[1]Result_notebook_retravaill!E424</f>
        <v>Current shares</v>
      </c>
      <c r="F424" t="str">
        <f>[1]Result_notebook_retravaill!F424</f>
        <v>Expansion Extractive</v>
      </c>
      <c r="G424">
        <f>[1]Result_notebook_retravaill!G424</f>
        <v>1524.695210353849</v>
      </c>
      <c r="H424" s="3">
        <f>IF([1]Result_notebook_retravaill!I424&gt;[1]Result_notebook_retravaill!G424,[1]Result_notebook_retravaill!I424/[1]Result_notebook_retravaill!N424,[1]Result_notebook_retravaill!H424)</f>
        <v>54865.848991909421</v>
      </c>
      <c r="I424" s="3">
        <f>[1]Result_notebook_retravaill!K424</f>
        <v>0</v>
      </c>
      <c r="J424" s="3">
        <f>MIN(G424,[1]Result_notebook_retravaill!I424)</f>
        <v>1524.695210353849</v>
      </c>
      <c r="K424" s="3">
        <f>IF([1]Result_notebook_retravaill!I424&gt;[1]Result_notebook_retravaill!G424,0,IF([1]Result_notebook_retravaill!I424+[1]Result_notebook_retravaill!J424&gt;[1]Result_notebook_retravaill!G424,[1]Result_notebook_retravaill!G424-[1]Result_notebook_retravaill!I424,[1]Result_notebook_retravaill!J424))</f>
        <v>0</v>
      </c>
      <c r="L424" s="3">
        <f>IF([1]Result_notebook_retravaill!I424&gt;[1]Result_notebook_retravaill!G424,0,IF([1]Result_notebook_retravaill!I424+[1]Result_notebook_retravaill!J424&gt;[1]Result_notebook_retravaill!G424,0,[1]Result_notebook_retravaill!M424))</f>
        <v>0</v>
      </c>
    </row>
    <row r="425" spans="1:12">
      <c r="A425">
        <f>[1]Result_notebook_retravaill!A425</f>
        <v>2029</v>
      </c>
      <c r="B425" t="str">
        <f>[1]Result_notebook_retravaill!B425</f>
        <v>Graphite</v>
      </c>
      <c r="C425" t="str">
        <f>[1]Result_notebook_retravaill!C425</f>
        <v>Canada Net-zero</v>
      </c>
      <c r="D425" t="str">
        <f>[1]Result_notebook_retravaill!D425</f>
        <v>Production potential</v>
      </c>
      <c r="E425" t="str">
        <f>[1]Result_notebook_retravaill!E425</f>
        <v>Current shares</v>
      </c>
      <c r="F425" t="str">
        <f>[1]Result_notebook_retravaill!F425</f>
        <v>Expansion Extractive+Circularity</v>
      </c>
      <c r="G425">
        <f>[1]Result_notebook_retravaill!G425</f>
        <v>1524.695210353849</v>
      </c>
      <c r="H425" s="3">
        <f>IF([1]Result_notebook_retravaill!I425&gt;[1]Result_notebook_retravaill!G425,[1]Result_notebook_retravaill!I425/[1]Result_notebook_retravaill!N425,[1]Result_notebook_retravaill!H425)</f>
        <v>54865.848991909421</v>
      </c>
      <c r="I425" s="3">
        <f>[1]Result_notebook_retravaill!K425</f>
        <v>0</v>
      </c>
      <c r="J425" s="3">
        <f>MIN(G425,[1]Result_notebook_retravaill!I425)</f>
        <v>1524.695210353849</v>
      </c>
      <c r="K425" s="3">
        <f>IF([1]Result_notebook_retravaill!I425&gt;[1]Result_notebook_retravaill!G425,0,IF([1]Result_notebook_retravaill!I425+[1]Result_notebook_retravaill!J425&gt;[1]Result_notebook_retravaill!G425,[1]Result_notebook_retravaill!G425-[1]Result_notebook_retravaill!I425,[1]Result_notebook_retravaill!J425))</f>
        <v>0</v>
      </c>
      <c r="L425" s="3">
        <f>IF([1]Result_notebook_retravaill!I425&gt;[1]Result_notebook_retravaill!G425,0,IF([1]Result_notebook_retravaill!I425+[1]Result_notebook_retravaill!J425&gt;[1]Result_notebook_retravaill!G425,0,[1]Result_notebook_retravaill!M425))</f>
        <v>0</v>
      </c>
    </row>
    <row r="426" spans="1:12">
      <c r="A426">
        <f>[1]Result_notebook_retravaill!A426</f>
        <v>2029</v>
      </c>
      <c r="B426" t="str">
        <f>[1]Result_notebook_retravaill!B426</f>
        <v>Graphite</v>
      </c>
      <c r="C426" t="str">
        <f>[1]Result_notebook_retravaill!C426</f>
        <v>Canada Net-zero</v>
      </c>
      <c r="D426" t="str">
        <f>[1]Result_notebook_retravaill!D426</f>
        <v>Production potential</v>
      </c>
      <c r="E426" t="str">
        <f>[1]Result_notebook_retravaill!E426</f>
        <v>100% CAN</v>
      </c>
      <c r="F426" t="str">
        <f>[1]Result_notebook_retravaill!F426</f>
        <v>Integrated</v>
      </c>
      <c r="G426">
        <f>[1]Result_notebook_retravaill!G426</f>
        <v>1524.695210353849</v>
      </c>
      <c r="H426" s="3">
        <f>IF([1]Result_notebook_retravaill!I426&gt;[1]Result_notebook_retravaill!G426,[1]Result_notebook_retravaill!I426/[1]Result_notebook_retravaill!N426,[1]Result_notebook_retravaill!H426)</f>
        <v>54865.848991909421</v>
      </c>
      <c r="I426" s="3">
        <f>[1]Result_notebook_retravaill!K426</f>
        <v>0</v>
      </c>
      <c r="J426" s="3">
        <f>MIN(G426,[1]Result_notebook_retravaill!I426)</f>
        <v>1524.695210353849</v>
      </c>
      <c r="K426" s="3">
        <f>IF([1]Result_notebook_retravaill!I426&gt;[1]Result_notebook_retravaill!G426,0,IF([1]Result_notebook_retravaill!I426+[1]Result_notebook_retravaill!J426&gt;[1]Result_notebook_retravaill!G426,[1]Result_notebook_retravaill!G426-[1]Result_notebook_retravaill!I426,[1]Result_notebook_retravaill!J426))</f>
        <v>0</v>
      </c>
      <c r="L426" s="3">
        <f>IF([1]Result_notebook_retravaill!I426&gt;[1]Result_notebook_retravaill!G426,0,IF([1]Result_notebook_retravaill!I426+[1]Result_notebook_retravaill!J426&gt;[1]Result_notebook_retravaill!G426,0,[1]Result_notebook_retravaill!M426))</f>
        <v>0</v>
      </c>
    </row>
    <row r="427" spans="1:12">
      <c r="A427">
        <f>[1]Result_notebook_retravaill!A427</f>
        <v>2029</v>
      </c>
      <c r="B427" t="str">
        <f>[1]Result_notebook_retravaill!B427</f>
        <v>Graphite</v>
      </c>
      <c r="C427" t="str">
        <f>[1]Result_notebook_retravaill!C427</f>
        <v>Current Measures</v>
      </c>
      <c r="D427" t="str">
        <f>[1]Result_notebook_retravaill!D427</f>
        <v>Existing production</v>
      </c>
      <c r="E427" t="str">
        <f>[1]Result_notebook_retravaill!E427</f>
        <v>Current shares</v>
      </c>
      <c r="F427" t="str">
        <f>[1]Result_notebook_retravaill!F427</f>
        <v>NIMBY</v>
      </c>
      <c r="G427">
        <f>[1]Result_notebook_retravaill!G427</f>
        <v>774.14440896765586</v>
      </c>
      <c r="H427" s="3">
        <f>IF([1]Result_notebook_retravaill!I427&gt;[1]Result_notebook_retravaill!G427,[1]Result_notebook_retravaill!I427/[1]Result_notebook_retravaill!N427,[1]Result_notebook_retravaill!H427)</f>
        <v>0</v>
      </c>
      <c r="I427" s="3">
        <f>[1]Result_notebook_retravaill!K427</f>
        <v>774.14440896765586</v>
      </c>
      <c r="J427" s="3">
        <f>MIN(G427,[1]Result_notebook_retravaill!I427)</f>
        <v>0</v>
      </c>
      <c r="K427" s="3">
        <f>IF([1]Result_notebook_retravaill!I427&gt;[1]Result_notebook_retravaill!G427,0,IF([1]Result_notebook_retravaill!I427+[1]Result_notebook_retravaill!J427&gt;[1]Result_notebook_retravaill!G427,[1]Result_notebook_retravaill!G427-[1]Result_notebook_retravaill!I427,[1]Result_notebook_retravaill!J427))</f>
        <v>0</v>
      </c>
      <c r="L427" s="3">
        <f>IF([1]Result_notebook_retravaill!I427&gt;[1]Result_notebook_retravaill!G427,0,IF([1]Result_notebook_retravaill!I427+[1]Result_notebook_retravaill!J427&gt;[1]Result_notebook_retravaill!G427,0,[1]Result_notebook_retravaill!M427))</f>
        <v>774.14440896765586</v>
      </c>
    </row>
    <row r="428" spans="1:12">
      <c r="A428">
        <f>[1]Result_notebook_retravaill!A428</f>
        <v>2029</v>
      </c>
      <c r="B428" t="str">
        <f>[1]Result_notebook_retravaill!B428</f>
        <v>Graphite</v>
      </c>
      <c r="C428" t="str">
        <f>[1]Result_notebook_retravaill!C428</f>
        <v>Current Measures</v>
      </c>
      <c r="D428" t="str">
        <f>[1]Result_notebook_retravaill!D428</f>
        <v>Existing production</v>
      </c>
      <c r="E428" t="str">
        <f>[1]Result_notebook_retravaill!E428</f>
        <v>Current shares</v>
      </c>
      <c r="F428" t="str">
        <f>[1]Result_notebook_retravaill!F428</f>
        <v>Status Quo</v>
      </c>
      <c r="G428">
        <f>[1]Result_notebook_retravaill!G428</f>
        <v>774.14440896765586</v>
      </c>
      <c r="H428" s="3">
        <f>IF([1]Result_notebook_retravaill!I428&gt;[1]Result_notebook_retravaill!G428,[1]Result_notebook_retravaill!I428/[1]Result_notebook_retravaill!N428,[1]Result_notebook_retravaill!H428)</f>
        <v>0</v>
      </c>
      <c r="I428" s="3">
        <f>[1]Result_notebook_retravaill!K428</f>
        <v>774.14440896765586</v>
      </c>
      <c r="J428" s="3">
        <f>MIN(G428,[1]Result_notebook_retravaill!I428)</f>
        <v>0</v>
      </c>
      <c r="K428" s="3">
        <f>IF([1]Result_notebook_retravaill!I428&gt;[1]Result_notebook_retravaill!G428,0,IF([1]Result_notebook_retravaill!I428+[1]Result_notebook_retravaill!J428&gt;[1]Result_notebook_retravaill!G428,[1]Result_notebook_retravaill!G428-[1]Result_notebook_retravaill!I428,[1]Result_notebook_retravaill!J428))</f>
        <v>0</v>
      </c>
      <c r="L428" s="3">
        <f>IF([1]Result_notebook_retravaill!I428&gt;[1]Result_notebook_retravaill!G428,0,IF([1]Result_notebook_retravaill!I428+[1]Result_notebook_retravaill!J428&gt;[1]Result_notebook_retravaill!G428,0,[1]Result_notebook_retravaill!M428))</f>
        <v>774.14440896765586</v>
      </c>
    </row>
    <row r="429" spans="1:12">
      <c r="A429">
        <f>[1]Result_notebook_retravaill!A429</f>
        <v>2029</v>
      </c>
      <c r="B429" t="str">
        <f>[1]Result_notebook_retravaill!B429</f>
        <v>Graphite</v>
      </c>
      <c r="C429" t="str">
        <f>[1]Result_notebook_retravaill!C429</f>
        <v>Current Measures</v>
      </c>
      <c r="D429" t="str">
        <f>[1]Result_notebook_retravaill!D429</f>
        <v>Production potential</v>
      </c>
      <c r="E429" t="str">
        <f>[1]Result_notebook_retravaill!E429</f>
        <v>Current shares</v>
      </c>
      <c r="F429" t="str">
        <f>[1]Result_notebook_retravaill!F429</f>
        <v>Expansion Extractive</v>
      </c>
      <c r="G429">
        <f>[1]Result_notebook_retravaill!G429</f>
        <v>774.14440896765586</v>
      </c>
      <c r="H429" s="3">
        <f>IF([1]Result_notebook_retravaill!I429&gt;[1]Result_notebook_retravaill!G429,[1]Result_notebook_retravaill!I429/[1]Result_notebook_retravaill!N429,[1]Result_notebook_retravaill!H429)</f>
        <v>54865.848991909421</v>
      </c>
      <c r="I429" s="3">
        <f>[1]Result_notebook_retravaill!K429</f>
        <v>0</v>
      </c>
      <c r="J429" s="3">
        <f>MIN(G429,[1]Result_notebook_retravaill!I429)</f>
        <v>774.14440896765586</v>
      </c>
      <c r="K429" s="3">
        <f>IF([1]Result_notebook_retravaill!I429&gt;[1]Result_notebook_retravaill!G429,0,IF([1]Result_notebook_retravaill!I429+[1]Result_notebook_retravaill!J429&gt;[1]Result_notebook_retravaill!G429,[1]Result_notebook_retravaill!G429-[1]Result_notebook_retravaill!I429,[1]Result_notebook_retravaill!J429))</f>
        <v>0</v>
      </c>
      <c r="L429" s="3">
        <f>IF([1]Result_notebook_retravaill!I429&gt;[1]Result_notebook_retravaill!G429,0,IF([1]Result_notebook_retravaill!I429+[1]Result_notebook_retravaill!J429&gt;[1]Result_notebook_retravaill!G429,0,[1]Result_notebook_retravaill!M429))</f>
        <v>0</v>
      </c>
    </row>
    <row r="430" spans="1:12">
      <c r="A430">
        <f>[1]Result_notebook_retravaill!A430</f>
        <v>2029</v>
      </c>
      <c r="B430" t="str">
        <f>[1]Result_notebook_retravaill!B430</f>
        <v>Graphite</v>
      </c>
      <c r="C430" t="str">
        <f>[1]Result_notebook_retravaill!C430</f>
        <v>Current Measures</v>
      </c>
      <c r="D430" t="str">
        <f>[1]Result_notebook_retravaill!D430</f>
        <v>Production potential</v>
      </c>
      <c r="E430" t="str">
        <f>[1]Result_notebook_retravaill!E430</f>
        <v>Current shares</v>
      </c>
      <c r="F430" t="str">
        <f>[1]Result_notebook_retravaill!F430</f>
        <v>Expansion Extractive+Circularity</v>
      </c>
      <c r="G430">
        <f>[1]Result_notebook_retravaill!G430</f>
        <v>774.14440896765586</v>
      </c>
      <c r="H430" s="3">
        <f>IF([1]Result_notebook_retravaill!I430&gt;[1]Result_notebook_retravaill!G430,[1]Result_notebook_retravaill!I430/[1]Result_notebook_retravaill!N430,[1]Result_notebook_retravaill!H430)</f>
        <v>54865.848991909421</v>
      </c>
      <c r="I430" s="3">
        <f>[1]Result_notebook_retravaill!K430</f>
        <v>0</v>
      </c>
      <c r="J430" s="3">
        <f>MIN(G430,[1]Result_notebook_retravaill!I430)</f>
        <v>774.14440896765586</v>
      </c>
      <c r="K430" s="3">
        <f>IF([1]Result_notebook_retravaill!I430&gt;[1]Result_notebook_retravaill!G430,0,IF([1]Result_notebook_retravaill!I430+[1]Result_notebook_retravaill!J430&gt;[1]Result_notebook_retravaill!G430,[1]Result_notebook_retravaill!G430-[1]Result_notebook_retravaill!I430,[1]Result_notebook_retravaill!J430))</f>
        <v>0</v>
      </c>
      <c r="L430" s="3">
        <f>IF([1]Result_notebook_retravaill!I430&gt;[1]Result_notebook_retravaill!G430,0,IF([1]Result_notebook_retravaill!I430+[1]Result_notebook_retravaill!J430&gt;[1]Result_notebook_retravaill!G430,0,[1]Result_notebook_retravaill!M430))</f>
        <v>0</v>
      </c>
    </row>
    <row r="431" spans="1:12">
      <c r="A431">
        <f>[1]Result_notebook_retravaill!A431</f>
        <v>2029</v>
      </c>
      <c r="B431" t="str">
        <f>[1]Result_notebook_retravaill!B431</f>
        <v>Graphite</v>
      </c>
      <c r="C431" t="str">
        <f>[1]Result_notebook_retravaill!C431</f>
        <v>Current Measures</v>
      </c>
      <c r="D431" t="str">
        <f>[1]Result_notebook_retravaill!D431</f>
        <v>Production potential</v>
      </c>
      <c r="E431" t="str">
        <f>[1]Result_notebook_retravaill!E431</f>
        <v>100% CAN</v>
      </c>
      <c r="F431" t="str">
        <f>[1]Result_notebook_retravaill!F431</f>
        <v>Integrated</v>
      </c>
      <c r="G431">
        <f>[1]Result_notebook_retravaill!G431</f>
        <v>774.14440896765586</v>
      </c>
      <c r="H431" s="3">
        <f>IF([1]Result_notebook_retravaill!I431&gt;[1]Result_notebook_retravaill!G431,[1]Result_notebook_retravaill!I431/[1]Result_notebook_retravaill!N431,[1]Result_notebook_retravaill!H431)</f>
        <v>54865.848991909421</v>
      </c>
      <c r="I431" s="3">
        <f>[1]Result_notebook_retravaill!K431</f>
        <v>0</v>
      </c>
      <c r="J431" s="3">
        <f>MIN(G431,[1]Result_notebook_retravaill!I431)</f>
        <v>774.14440896765586</v>
      </c>
      <c r="K431" s="3">
        <f>IF([1]Result_notebook_retravaill!I431&gt;[1]Result_notebook_retravaill!G431,0,IF([1]Result_notebook_retravaill!I431+[1]Result_notebook_retravaill!J431&gt;[1]Result_notebook_retravaill!G431,[1]Result_notebook_retravaill!G431-[1]Result_notebook_retravaill!I431,[1]Result_notebook_retravaill!J431))</f>
        <v>0</v>
      </c>
      <c r="L431" s="3">
        <f>IF([1]Result_notebook_retravaill!I431&gt;[1]Result_notebook_retravaill!G431,0,IF([1]Result_notebook_retravaill!I431+[1]Result_notebook_retravaill!J431&gt;[1]Result_notebook_retravaill!G431,0,[1]Result_notebook_retravaill!M431))</f>
        <v>0</v>
      </c>
    </row>
    <row r="432" spans="1:12">
      <c r="A432">
        <f>[1]Result_notebook_retravaill!A432</f>
        <v>2029</v>
      </c>
      <c r="B432" t="str">
        <f>[1]Result_notebook_retravaill!B432</f>
        <v>Graphite</v>
      </c>
      <c r="C432" t="str">
        <f>[1]Result_notebook_retravaill!C432</f>
        <v>Global Net-zero</v>
      </c>
      <c r="D432" t="str">
        <f>[1]Result_notebook_retravaill!D432</f>
        <v>Existing production</v>
      </c>
      <c r="E432" t="str">
        <f>[1]Result_notebook_retravaill!E432</f>
        <v>Current shares</v>
      </c>
      <c r="F432" t="str">
        <f>[1]Result_notebook_retravaill!F432</f>
        <v>NIMBY</v>
      </c>
      <c r="G432">
        <f>[1]Result_notebook_retravaill!G432</f>
        <v>1460.140190208509</v>
      </c>
      <c r="H432" s="3">
        <f>IF([1]Result_notebook_retravaill!I432&gt;[1]Result_notebook_retravaill!G432,[1]Result_notebook_retravaill!I432/[1]Result_notebook_retravaill!N432,[1]Result_notebook_retravaill!H432)</f>
        <v>0</v>
      </c>
      <c r="I432" s="3">
        <f>[1]Result_notebook_retravaill!K432</f>
        <v>1460.140190208509</v>
      </c>
      <c r="J432" s="3">
        <f>MIN(G432,[1]Result_notebook_retravaill!I432)</f>
        <v>0</v>
      </c>
      <c r="K432" s="3">
        <f>IF([1]Result_notebook_retravaill!I432&gt;[1]Result_notebook_retravaill!G432,0,IF([1]Result_notebook_retravaill!I432+[1]Result_notebook_retravaill!J432&gt;[1]Result_notebook_retravaill!G432,[1]Result_notebook_retravaill!G432-[1]Result_notebook_retravaill!I432,[1]Result_notebook_retravaill!J432))</f>
        <v>0</v>
      </c>
      <c r="L432" s="3">
        <f>IF([1]Result_notebook_retravaill!I432&gt;[1]Result_notebook_retravaill!G432,0,IF([1]Result_notebook_retravaill!I432+[1]Result_notebook_retravaill!J432&gt;[1]Result_notebook_retravaill!G432,0,[1]Result_notebook_retravaill!M432))</f>
        <v>1460.140190208509</v>
      </c>
    </row>
    <row r="433" spans="1:12">
      <c r="A433">
        <f>[1]Result_notebook_retravaill!A433</f>
        <v>2029</v>
      </c>
      <c r="B433" t="str">
        <f>[1]Result_notebook_retravaill!B433</f>
        <v>Graphite</v>
      </c>
      <c r="C433" t="str">
        <f>[1]Result_notebook_retravaill!C433</f>
        <v>Global Net-zero</v>
      </c>
      <c r="D433" t="str">
        <f>[1]Result_notebook_retravaill!D433</f>
        <v>Existing production</v>
      </c>
      <c r="E433" t="str">
        <f>[1]Result_notebook_retravaill!E433</f>
        <v>Current shares</v>
      </c>
      <c r="F433" t="str">
        <f>[1]Result_notebook_retravaill!F433</f>
        <v>Status Quo</v>
      </c>
      <c r="G433">
        <f>[1]Result_notebook_retravaill!G433</f>
        <v>1460.140190208509</v>
      </c>
      <c r="H433" s="3">
        <f>IF([1]Result_notebook_retravaill!I433&gt;[1]Result_notebook_retravaill!G433,[1]Result_notebook_retravaill!I433/[1]Result_notebook_retravaill!N433,[1]Result_notebook_retravaill!H433)</f>
        <v>0</v>
      </c>
      <c r="I433" s="3">
        <f>[1]Result_notebook_retravaill!K433</f>
        <v>1460.140190208509</v>
      </c>
      <c r="J433" s="3">
        <f>MIN(G433,[1]Result_notebook_retravaill!I433)</f>
        <v>0</v>
      </c>
      <c r="K433" s="3">
        <f>IF([1]Result_notebook_retravaill!I433&gt;[1]Result_notebook_retravaill!G433,0,IF([1]Result_notebook_retravaill!I433+[1]Result_notebook_retravaill!J433&gt;[1]Result_notebook_retravaill!G433,[1]Result_notebook_retravaill!G433-[1]Result_notebook_retravaill!I433,[1]Result_notebook_retravaill!J433))</f>
        <v>0</v>
      </c>
      <c r="L433" s="3">
        <f>IF([1]Result_notebook_retravaill!I433&gt;[1]Result_notebook_retravaill!G433,0,IF([1]Result_notebook_retravaill!I433+[1]Result_notebook_retravaill!J433&gt;[1]Result_notebook_retravaill!G433,0,[1]Result_notebook_retravaill!M433))</f>
        <v>1460.140190208509</v>
      </c>
    </row>
    <row r="434" spans="1:12">
      <c r="A434">
        <f>[1]Result_notebook_retravaill!A434</f>
        <v>2029</v>
      </c>
      <c r="B434" t="str">
        <f>[1]Result_notebook_retravaill!B434</f>
        <v>Graphite</v>
      </c>
      <c r="C434" t="str">
        <f>[1]Result_notebook_retravaill!C434</f>
        <v>Global Net-zero</v>
      </c>
      <c r="D434" t="str">
        <f>[1]Result_notebook_retravaill!D434</f>
        <v>Production potential</v>
      </c>
      <c r="E434" t="str">
        <f>[1]Result_notebook_retravaill!E434</f>
        <v>Current shares</v>
      </c>
      <c r="F434" t="str">
        <f>[1]Result_notebook_retravaill!F434</f>
        <v>Expansion Extractive</v>
      </c>
      <c r="G434">
        <f>[1]Result_notebook_retravaill!G434</f>
        <v>1460.140190208509</v>
      </c>
      <c r="H434" s="3">
        <f>IF([1]Result_notebook_retravaill!I434&gt;[1]Result_notebook_retravaill!G434,[1]Result_notebook_retravaill!I434/[1]Result_notebook_retravaill!N434,[1]Result_notebook_retravaill!H434)</f>
        <v>54865.848991909421</v>
      </c>
      <c r="I434" s="3">
        <f>[1]Result_notebook_retravaill!K434</f>
        <v>0</v>
      </c>
      <c r="J434" s="3">
        <f>MIN(G434,[1]Result_notebook_retravaill!I434)</f>
        <v>1460.140190208509</v>
      </c>
      <c r="K434" s="3">
        <f>IF([1]Result_notebook_retravaill!I434&gt;[1]Result_notebook_retravaill!G434,0,IF([1]Result_notebook_retravaill!I434+[1]Result_notebook_retravaill!J434&gt;[1]Result_notebook_retravaill!G434,[1]Result_notebook_retravaill!G434-[1]Result_notebook_retravaill!I434,[1]Result_notebook_retravaill!J434))</f>
        <v>0</v>
      </c>
      <c r="L434" s="3">
        <f>IF([1]Result_notebook_retravaill!I434&gt;[1]Result_notebook_retravaill!G434,0,IF([1]Result_notebook_retravaill!I434+[1]Result_notebook_retravaill!J434&gt;[1]Result_notebook_retravaill!G434,0,[1]Result_notebook_retravaill!M434))</f>
        <v>0</v>
      </c>
    </row>
    <row r="435" spans="1:12">
      <c r="A435">
        <f>[1]Result_notebook_retravaill!A435</f>
        <v>2029</v>
      </c>
      <c r="B435" t="str">
        <f>[1]Result_notebook_retravaill!B435</f>
        <v>Graphite</v>
      </c>
      <c r="C435" t="str">
        <f>[1]Result_notebook_retravaill!C435</f>
        <v>Global Net-zero</v>
      </c>
      <c r="D435" t="str">
        <f>[1]Result_notebook_retravaill!D435</f>
        <v>Production potential</v>
      </c>
      <c r="E435" t="str">
        <f>[1]Result_notebook_retravaill!E435</f>
        <v>Current shares</v>
      </c>
      <c r="F435" t="str">
        <f>[1]Result_notebook_retravaill!F435</f>
        <v>Expansion Extractive+Circularity</v>
      </c>
      <c r="G435">
        <f>[1]Result_notebook_retravaill!G435</f>
        <v>1460.140190208509</v>
      </c>
      <c r="H435" s="3">
        <f>IF([1]Result_notebook_retravaill!I435&gt;[1]Result_notebook_retravaill!G435,[1]Result_notebook_retravaill!I435/[1]Result_notebook_retravaill!N435,[1]Result_notebook_retravaill!H435)</f>
        <v>54865.848991909421</v>
      </c>
      <c r="I435" s="3">
        <f>[1]Result_notebook_retravaill!K435</f>
        <v>0</v>
      </c>
      <c r="J435" s="3">
        <f>MIN(G435,[1]Result_notebook_retravaill!I435)</f>
        <v>1460.140190208509</v>
      </c>
      <c r="K435" s="3">
        <f>IF([1]Result_notebook_retravaill!I435&gt;[1]Result_notebook_retravaill!G435,0,IF([1]Result_notebook_retravaill!I435+[1]Result_notebook_retravaill!J435&gt;[1]Result_notebook_retravaill!G435,[1]Result_notebook_retravaill!G435-[1]Result_notebook_retravaill!I435,[1]Result_notebook_retravaill!J435))</f>
        <v>0</v>
      </c>
      <c r="L435" s="3">
        <f>IF([1]Result_notebook_retravaill!I435&gt;[1]Result_notebook_retravaill!G435,0,IF([1]Result_notebook_retravaill!I435+[1]Result_notebook_retravaill!J435&gt;[1]Result_notebook_retravaill!G435,0,[1]Result_notebook_retravaill!M435))</f>
        <v>0</v>
      </c>
    </row>
    <row r="436" spans="1:12">
      <c r="A436">
        <f>[1]Result_notebook_retravaill!A436</f>
        <v>2029</v>
      </c>
      <c r="B436" t="str">
        <f>[1]Result_notebook_retravaill!B436</f>
        <v>Graphite</v>
      </c>
      <c r="C436" t="str">
        <f>[1]Result_notebook_retravaill!C436</f>
        <v>Global Net-zero</v>
      </c>
      <c r="D436" t="str">
        <f>[1]Result_notebook_retravaill!D436</f>
        <v>Production potential</v>
      </c>
      <c r="E436" t="str">
        <f>[1]Result_notebook_retravaill!E436</f>
        <v>100% CAN</v>
      </c>
      <c r="F436" t="str">
        <f>[1]Result_notebook_retravaill!F436</f>
        <v>Integrated</v>
      </c>
      <c r="G436">
        <f>[1]Result_notebook_retravaill!G436</f>
        <v>1460.140190208509</v>
      </c>
      <c r="H436" s="3">
        <f>IF([1]Result_notebook_retravaill!I436&gt;[1]Result_notebook_retravaill!G436,[1]Result_notebook_retravaill!I436/[1]Result_notebook_retravaill!N436,[1]Result_notebook_retravaill!H436)</f>
        <v>54865.848991909421</v>
      </c>
      <c r="I436" s="3">
        <f>[1]Result_notebook_retravaill!K436</f>
        <v>0</v>
      </c>
      <c r="J436" s="3">
        <f>MIN(G436,[1]Result_notebook_retravaill!I436)</f>
        <v>1460.140190208509</v>
      </c>
      <c r="K436" s="3">
        <f>IF([1]Result_notebook_retravaill!I436&gt;[1]Result_notebook_retravaill!G436,0,IF([1]Result_notebook_retravaill!I436+[1]Result_notebook_retravaill!J436&gt;[1]Result_notebook_retravaill!G436,[1]Result_notebook_retravaill!G436-[1]Result_notebook_retravaill!I436,[1]Result_notebook_retravaill!J436))</f>
        <v>0</v>
      </c>
      <c r="L436" s="3">
        <f>IF([1]Result_notebook_retravaill!I436&gt;[1]Result_notebook_retravaill!G436,0,IF([1]Result_notebook_retravaill!I436+[1]Result_notebook_retravaill!J436&gt;[1]Result_notebook_retravaill!G436,0,[1]Result_notebook_retravaill!M436))</f>
        <v>0</v>
      </c>
    </row>
    <row r="437" spans="1:12">
      <c r="A437">
        <f>[1]Result_notebook_retravaill!A437</f>
        <v>2029</v>
      </c>
      <c r="B437" t="str">
        <f>[1]Result_notebook_retravaill!B437</f>
        <v>Lithium</v>
      </c>
      <c r="C437" t="str">
        <f>[1]Result_notebook_retravaill!C437</f>
        <v>Canada Net-zero</v>
      </c>
      <c r="D437" t="str">
        <f>[1]Result_notebook_retravaill!D437</f>
        <v>Existing production</v>
      </c>
      <c r="E437" t="str">
        <f>[1]Result_notebook_retravaill!E437</f>
        <v>Current shares</v>
      </c>
      <c r="F437" t="str">
        <f>[1]Result_notebook_retravaill!F437</f>
        <v>NIMBY</v>
      </c>
      <c r="G437">
        <f>[1]Result_notebook_retravaill!G437</f>
        <v>24655.859039949839</v>
      </c>
      <c r="H437" s="3">
        <f>IF([1]Result_notebook_retravaill!I437&gt;[1]Result_notebook_retravaill!G437,[1]Result_notebook_retravaill!I437/[1]Result_notebook_retravaill!N437,[1]Result_notebook_retravaill!H437)</f>
        <v>0</v>
      </c>
      <c r="I437" s="3">
        <f>[1]Result_notebook_retravaill!K437</f>
        <v>35222.655771356913</v>
      </c>
      <c r="J437" s="3">
        <f>MIN(G437,[1]Result_notebook_retravaill!I437)</f>
        <v>0</v>
      </c>
      <c r="K437" s="3">
        <f>IF([1]Result_notebook_retravaill!I437&gt;[1]Result_notebook_retravaill!G437,0,IF([1]Result_notebook_retravaill!I437+[1]Result_notebook_retravaill!J437&gt;[1]Result_notebook_retravaill!G437,[1]Result_notebook_retravaill!G437-[1]Result_notebook_retravaill!I437,[1]Result_notebook_retravaill!J437))</f>
        <v>0</v>
      </c>
      <c r="L437" s="3">
        <f>IF([1]Result_notebook_retravaill!I437&gt;[1]Result_notebook_retravaill!G437,0,IF([1]Result_notebook_retravaill!I437+[1]Result_notebook_retravaill!J437&gt;[1]Result_notebook_retravaill!G437,0,[1]Result_notebook_retravaill!M437))</f>
        <v>24655.859039949839</v>
      </c>
    </row>
    <row r="438" spans="1:12">
      <c r="A438">
        <f>[1]Result_notebook_retravaill!A438</f>
        <v>2029</v>
      </c>
      <c r="B438" t="str">
        <f>[1]Result_notebook_retravaill!B438</f>
        <v>Lithium</v>
      </c>
      <c r="C438" t="str">
        <f>[1]Result_notebook_retravaill!C438</f>
        <v>Canada Net-zero</v>
      </c>
      <c r="D438" t="str">
        <f>[1]Result_notebook_retravaill!D438</f>
        <v>Existing production</v>
      </c>
      <c r="E438" t="str">
        <f>[1]Result_notebook_retravaill!E438</f>
        <v>Current shares</v>
      </c>
      <c r="F438" t="str">
        <f>[1]Result_notebook_retravaill!F438</f>
        <v>Status Quo</v>
      </c>
      <c r="G438">
        <f>[1]Result_notebook_retravaill!G438</f>
        <v>24655.859039949839</v>
      </c>
      <c r="H438" s="3">
        <f>IF([1]Result_notebook_retravaill!I438&gt;[1]Result_notebook_retravaill!G438,[1]Result_notebook_retravaill!I438/[1]Result_notebook_retravaill!N438,[1]Result_notebook_retravaill!H438)</f>
        <v>33652.830782301367</v>
      </c>
      <c r="I438" s="3">
        <f>[1]Result_notebook_retravaill!K438</f>
        <v>0</v>
      </c>
      <c r="J438" s="3">
        <f>MIN(G438,[1]Result_notebook_retravaill!I438)</f>
        <v>24655.859039949839</v>
      </c>
      <c r="K438" s="3">
        <f>IF([1]Result_notebook_retravaill!I438&gt;[1]Result_notebook_retravaill!G438,0,IF([1]Result_notebook_retravaill!I438+[1]Result_notebook_retravaill!J438&gt;[1]Result_notebook_retravaill!G438,[1]Result_notebook_retravaill!G438-[1]Result_notebook_retravaill!I438,[1]Result_notebook_retravaill!J438))</f>
        <v>0</v>
      </c>
      <c r="L438" s="3">
        <f>IF([1]Result_notebook_retravaill!I438&gt;[1]Result_notebook_retravaill!G438,0,IF([1]Result_notebook_retravaill!I438+[1]Result_notebook_retravaill!J438&gt;[1]Result_notebook_retravaill!G438,0,[1]Result_notebook_retravaill!M438))</f>
        <v>0</v>
      </c>
    </row>
    <row r="439" spans="1:12">
      <c r="A439">
        <f>[1]Result_notebook_retravaill!A439</f>
        <v>2029</v>
      </c>
      <c r="B439" t="str">
        <f>[1]Result_notebook_retravaill!B439</f>
        <v>Lithium</v>
      </c>
      <c r="C439" t="str">
        <f>[1]Result_notebook_retravaill!C439</f>
        <v>Canada Net-zero</v>
      </c>
      <c r="D439" t="str">
        <f>[1]Result_notebook_retravaill!D439</f>
        <v>Production potential</v>
      </c>
      <c r="E439" t="str">
        <f>[1]Result_notebook_retravaill!E439</f>
        <v>Current shares</v>
      </c>
      <c r="F439" t="str">
        <f>[1]Result_notebook_retravaill!F439</f>
        <v>Expansion Extractive</v>
      </c>
      <c r="G439">
        <f>[1]Result_notebook_retravaill!G439</f>
        <v>24655.859039949839</v>
      </c>
      <c r="H439" s="3">
        <f>IF([1]Result_notebook_retravaill!I439&gt;[1]Result_notebook_retravaill!G439,[1]Result_notebook_retravaill!I439/[1]Result_notebook_retravaill!N439,[1]Result_notebook_retravaill!H439)</f>
        <v>135664.22252266339</v>
      </c>
      <c r="I439" s="3">
        <f>[1]Result_notebook_retravaill!K439</f>
        <v>0</v>
      </c>
      <c r="J439" s="3">
        <f>MIN(G439,[1]Result_notebook_retravaill!I439)</f>
        <v>24655.859039949839</v>
      </c>
      <c r="K439" s="3">
        <f>IF([1]Result_notebook_retravaill!I439&gt;[1]Result_notebook_retravaill!G439,0,IF([1]Result_notebook_retravaill!I439+[1]Result_notebook_retravaill!J439&gt;[1]Result_notebook_retravaill!G439,[1]Result_notebook_retravaill!G439-[1]Result_notebook_retravaill!I439,[1]Result_notebook_retravaill!J439))</f>
        <v>0</v>
      </c>
      <c r="L439" s="3">
        <f>IF([1]Result_notebook_retravaill!I439&gt;[1]Result_notebook_retravaill!G439,0,IF([1]Result_notebook_retravaill!I439+[1]Result_notebook_retravaill!J439&gt;[1]Result_notebook_retravaill!G439,0,[1]Result_notebook_retravaill!M439))</f>
        <v>0</v>
      </c>
    </row>
    <row r="440" spans="1:12">
      <c r="A440">
        <f>[1]Result_notebook_retravaill!A440</f>
        <v>2029</v>
      </c>
      <c r="B440" t="str">
        <f>[1]Result_notebook_retravaill!B440</f>
        <v>Lithium</v>
      </c>
      <c r="C440" t="str">
        <f>[1]Result_notebook_retravaill!C440</f>
        <v>Canada Net-zero</v>
      </c>
      <c r="D440" t="str">
        <f>[1]Result_notebook_retravaill!D440</f>
        <v>Production potential</v>
      </c>
      <c r="E440" t="str">
        <f>[1]Result_notebook_retravaill!E440</f>
        <v>Current shares</v>
      </c>
      <c r="F440" t="str">
        <f>[1]Result_notebook_retravaill!F440</f>
        <v>Expansion Extractive+Circularity</v>
      </c>
      <c r="G440">
        <f>[1]Result_notebook_retravaill!G440</f>
        <v>24655.859039949839</v>
      </c>
      <c r="H440" s="3">
        <f>IF([1]Result_notebook_retravaill!I440&gt;[1]Result_notebook_retravaill!G440,[1]Result_notebook_retravaill!I440/[1]Result_notebook_retravaill!N440,[1]Result_notebook_retravaill!H440)</f>
        <v>135664.22252266339</v>
      </c>
      <c r="I440" s="3">
        <f>[1]Result_notebook_retravaill!K440</f>
        <v>0</v>
      </c>
      <c r="J440" s="3">
        <f>MIN(G440,[1]Result_notebook_retravaill!I440)</f>
        <v>24655.859039949839</v>
      </c>
      <c r="K440" s="3">
        <f>IF([1]Result_notebook_retravaill!I440&gt;[1]Result_notebook_retravaill!G440,0,IF([1]Result_notebook_retravaill!I440+[1]Result_notebook_retravaill!J440&gt;[1]Result_notebook_retravaill!G440,[1]Result_notebook_retravaill!G440-[1]Result_notebook_retravaill!I440,[1]Result_notebook_retravaill!J440))</f>
        <v>0</v>
      </c>
      <c r="L440" s="3">
        <f>IF([1]Result_notebook_retravaill!I440&gt;[1]Result_notebook_retravaill!G440,0,IF([1]Result_notebook_retravaill!I440+[1]Result_notebook_retravaill!J440&gt;[1]Result_notebook_retravaill!G440,0,[1]Result_notebook_retravaill!M440))</f>
        <v>0</v>
      </c>
    </row>
    <row r="441" spans="1:12">
      <c r="A441">
        <f>[1]Result_notebook_retravaill!A441</f>
        <v>2029</v>
      </c>
      <c r="B441" t="str">
        <f>[1]Result_notebook_retravaill!B441</f>
        <v>Lithium</v>
      </c>
      <c r="C441" t="str">
        <f>[1]Result_notebook_retravaill!C441</f>
        <v>Canada Net-zero</v>
      </c>
      <c r="D441" t="str">
        <f>[1]Result_notebook_retravaill!D441</f>
        <v>Production potential</v>
      </c>
      <c r="E441" t="str">
        <f>[1]Result_notebook_retravaill!E441</f>
        <v>100% CAN</v>
      </c>
      <c r="F441" t="str">
        <f>[1]Result_notebook_retravaill!F441</f>
        <v>Integrated</v>
      </c>
      <c r="G441">
        <f>[1]Result_notebook_retravaill!G441</f>
        <v>24655.859039949839</v>
      </c>
      <c r="H441" s="3">
        <f>IF([1]Result_notebook_retravaill!I441&gt;[1]Result_notebook_retravaill!G441,[1]Result_notebook_retravaill!I441/[1]Result_notebook_retravaill!N441,[1]Result_notebook_retravaill!H441)</f>
        <v>135664.22252266339</v>
      </c>
      <c r="I441" s="3">
        <f>[1]Result_notebook_retravaill!K441</f>
        <v>0</v>
      </c>
      <c r="J441" s="3">
        <f>MIN(G441,[1]Result_notebook_retravaill!I441)</f>
        <v>24655.859039949839</v>
      </c>
      <c r="K441" s="3">
        <f>IF([1]Result_notebook_retravaill!I441&gt;[1]Result_notebook_retravaill!G441,0,IF([1]Result_notebook_retravaill!I441+[1]Result_notebook_retravaill!J441&gt;[1]Result_notebook_retravaill!G441,[1]Result_notebook_retravaill!G441-[1]Result_notebook_retravaill!I441,[1]Result_notebook_retravaill!J441))</f>
        <v>0</v>
      </c>
      <c r="L441" s="3">
        <f>IF([1]Result_notebook_retravaill!I441&gt;[1]Result_notebook_retravaill!G441,0,IF([1]Result_notebook_retravaill!I441+[1]Result_notebook_retravaill!J441&gt;[1]Result_notebook_retravaill!G441,0,[1]Result_notebook_retravaill!M441))</f>
        <v>0</v>
      </c>
    </row>
    <row r="442" spans="1:12">
      <c r="A442">
        <f>[1]Result_notebook_retravaill!A442</f>
        <v>2029</v>
      </c>
      <c r="B442" t="str">
        <f>[1]Result_notebook_retravaill!B442</f>
        <v>Lithium</v>
      </c>
      <c r="C442" t="str">
        <f>[1]Result_notebook_retravaill!C442</f>
        <v>Current Measures</v>
      </c>
      <c r="D442" t="str">
        <f>[1]Result_notebook_retravaill!D442</f>
        <v>Existing production</v>
      </c>
      <c r="E442" t="str">
        <f>[1]Result_notebook_retravaill!E442</f>
        <v>Current shares</v>
      </c>
      <c r="F442" t="str">
        <f>[1]Result_notebook_retravaill!F442</f>
        <v>NIMBY</v>
      </c>
      <c r="G442">
        <f>[1]Result_notebook_retravaill!G442</f>
        <v>12518.69573305871</v>
      </c>
      <c r="H442" s="3">
        <f>IF([1]Result_notebook_retravaill!I442&gt;[1]Result_notebook_retravaill!G442,[1]Result_notebook_retravaill!I442/[1]Result_notebook_retravaill!N442,[1]Result_notebook_retravaill!H442)</f>
        <v>0</v>
      </c>
      <c r="I442" s="3">
        <f>[1]Result_notebook_retravaill!K442</f>
        <v>17883.85104722673</v>
      </c>
      <c r="J442" s="3">
        <f>MIN(G442,[1]Result_notebook_retravaill!I442)</f>
        <v>0</v>
      </c>
      <c r="K442" s="3">
        <f>IF([1]Result_notebook_retravaill!I442&gt;[1]Result_notebook_retravaill!G442,0,IF([1]Result_notebook_retravaill!I442+[1]Result_notebook_retravaill!J442&gt;[1]Result_notebook_retravaill!G442,[1]Result_notebook_retravaill!G442-[1]Result_notebook_retravaill!I442,[1]Result_notebook_retravaill!J442))</f>
        <v>0</v>
      </c>
      <c r="L442" s="3">
        <f>IF([1]Result_notebook_retravaill!I442&gt;[1]Result_notebook_retravaill!G442,0,IF([1]Result_notebook_retravaill!I442+[1]Result_notebook_retravaill!J442&gt;[1]Result_notebook_retravaill!G442,0,[1]Result_notebook_retravaill!M442))</f>
        <v>12518.69573305871</v>
      </c>
    </row>
    <row r="443" spans="1:12">
      <c r="A443">
        <f>[1]Result_notebook_retravaill!A443</f>
        <v>2029</v>
      </c>
      <c r="B443" t="str">
        <f>[1]Result_notebook_retravaill!B443</f>
        <v>Lithium</v>
      </c>
      <c r="C443" t="str">
        <f>[1]Result_notebook_retravaill!C443</f>
        <v>Current Measures</v>
      </c>
      <c r="D443" t="str">
        <f>[1]Result_notebook_retravaill!D443</f>
        <v>Existing production</v>
      </c>
      <c r="E443" t="str">
        <f>[1]Result_notebook_retravaill!E443</f>
        <v>Current shares</v>
      </c>
      <c r="F443" t="str">
        <f>[1]Result_notebook_retravaill!F443</f>
        <v>Status Quo</v>
      </c>
      <c r="G443">
        <f>[1]Result_notebook_retravaill!G443</f>
        <v>12518.69573305871</v>
      </c>
      <c r="H443" s="3">
        <f>IF([1]Result_notebook_retravaill!I443&gt;[1]Result_notebook_retravaill!G443,[1]Result_notebook_retravaill!I443/[1]Result_notebook_retravaill!N443,[1]Result_notebook_retravaill!H443)</f>
        <v>33652.830782301367</v>
      </c>
      <c r="I443" s="3">
        <f>[1]Result_notebook_retravaill!K443</f>
        <v>0</v>
      </c>
      <c r="J443" s="3">
        <f>MIN(G443,[1]Result_notebook_retravaill!I443)</f>
        <v>12518.69573305871</v>
      </c>
      <c r="K443" s="3">
        <f>IF([1]Result_notebook_retravaill!I443&gt;[1]Result_notebook_retravaill!G443,0,IF([1]Result_notebook_retravaill!I443+[1]Result_notebook_retravaill!J443&gt;[1]Result_notebook_retravaill!G443,[1]Result_notebook_retravaill!G443-[1]Result_notebook_retravaill!I443,[1]Result_notebook_retravaill!J443))</f>
        <v>0</v>
      </c>
      <c r="L443" s="3">
        <f>IF([1]Result_notebook_retravaill!I443&gt;[1]Result_notebook_retravaill!G443,0,IF([1]Result_notebook_retravaill!I443+[1]Result_notebook_retravaill!J443&gt;[1]Result_notebook_retravaill!G443,0,[1]Result_notebook_retravaill!M443))</f>
        <v>0</v>
      </c>
    </row>
    <row r="444" spans="1:12">
      <c r="A444">
        <f>[1]Result_notebook_retravaill!A444</f>
        <v>2029</v>
      </c>
      <c r="B444" t="str">
        <f>[1]Result_notebook_retravaill!B444</f>
        <v>Lithium</v>
      </c>
      <c r="C444" t="str">
        <f>[1]Result_notebook_retravaill!C444</f>
        <v>Current Measures</v>
      </c>
      <c r="D444" t="str">
        <f>[1]Result_notebook_retravaill!D444</f>
        <v>Production potential</v>
      </c>
      <c r="E444" t="str">
        <f>[1]Result_notebook_retravaill!E444</f>
        <v>Current shares</v>
      </c>
      <c r="F444" t="str">
        <f>[1]Result_notebook_retravaill!F444</f>
        <v>Expansion Extractive</v>
      </c>
      <c r="G444">
        <f>[1]Result_notebook_retravaill!G444</f>
        <v>12518.69573305871</v>
      </c>
      <c r="H444" s="3">
        <f>IF([1]Result_notebook_retravaill!I444&gt;[1]Result_notebook_retravaill!G444,[1]Result_notebook_retravaill!I444/[1]Result_notebook_retravaill!N444,[1]Result_notebook_retravaill!H444)</f>
        <v>135664.22252266339</v>
      </c>
      <c r="I444" s="3">
        <f>[1]Result_notebook_retravaill!K444</f>
        <v>0</v>
      </c>
      <c r="J444" s="3">
        <f>MIN(G444,[1]Result_notebook_retravaill!I444)</f>
        <v>12518.69573305871</v>
      </c>
      <c r="K444" s="3">
        <f>IF([1]Result_notebook_retravaill!I444&gt;[1]Result_notebook_retravaill!G444,0,IF([1]Result_notebook_retravaill!I444+[1]Result_notebook_retravaill!J444&gt;[1]Result_notebook_retravaill!G444,[1]Result_notebook_retravaill!G444-[1]Result_notebook_retravaill!I444,[1]Result_notebook_retravaill!J444))</f>
        <v>0</v>
      </c>
      <c r="L444" s="3">
        <f>IF([1]Result_notebook_retravaill!I444&gt;[1]Result_notebook_retravaill!G444,0,IF([1]Result_notebook_retravaill!I444+[1]Result_notebook_retravaill!J444&gt;[1]Result_notebook_retravaill!G444,0,[1]Result_notebook_retravaill!M444))</f>
        <v>0</v>
      </c>
    </row>
    <row r="445" spans="1:12">
      <c r="A445">
        <f>[1]Result_notebook_retravaill!A445</f>
        <v>2029</v>
      </c>
      <c r="B445" t="str">
        <f>[1]Result_notebook_retravaill!B445</f>
        <v>Lithium</v>
      </c>
      <c r="C445" t="str">
        <f>[1]Result_notebook_retravaill!C445</f>
        <v>Current Measures</v>
      </c>
      <c r="D445" t="str">
        <f>[1]Result_notebook_retravaill!D445</f>
        <v>Production potential</v>
      </c>
      <c r="E445" t="str">
        <f>[1]Result_notebook_retravaill!E445</f>
        <v>Current shares</v>
      </c>
      <c r="F445" t="str">
        <f>[1]Result_notebook_retravaill!F445</f>
        <v>Expansion Extractive+Circularity</v>
      </c>
      <c r="G445">
        <f>[1]Result_notebook_retravaill!G445</f>
        <v>12518.69573305871</v>
      </c>
      <c r="H445" s="3">
        <f>IF([1]Result_notebook_retravaill!I445&gt;[1]Result_notebook_retravaill!G445,[1]Result_notebook_retravaill!I445/[1]Result_notebook_retravaill!N445,[1]Result_notebook_retravaill!H445)</f>
        <v>135664.22252266339</v>
      </c>
      <c r="I445" s="3">
        <f>[1]Result_notebook_retravaill!K445</f>
        <v>0</v>
      </c>
      <c r="J445" s="3">
        <f>MIN(G445,[1]Result_notebook_retravaill!I445)</f>
        <v>12518.69573305871</v>
      </c>
      <c r="K445" s="3">
        <f>IF([1]Result_notebook_retravaill!I445&gt;[1]Result_notebook_retravaill!G445,0,IF([1]Result_notebook_retravaill!I445+[1]Result_notebook_retravaill!J445&gt;[1]Result_notebook_retravaill!G445,[1]Result_notebook_retravaill!G445-[1]Result_notebook_retravaill!I445,[1]Result_notebook_retravaill!J445))</f>
        <v>0</v>
      </c>
      <c r="L445" s="3">
        <f>IF([1]Result_notebook_retravaill!I445&gt;[1]Result_notebook_retravaill!G445,0,IF([1]Result_notebook_retravaill!I445+[1]Result_notebook_retravaill!J445&gt;[1]Result_notebook_retravaill!G445,0,[1]Result_notebook_retravaill!M445))</f>
        <v>0</v>
      </c>
    </row>
    <row r="446" spans="1:12">
      <c r="A446">
        <f>[1]Result_notebook_retravaill!A446</f>
        <v>2029</v>
      </c>
      <c r="B446" t="str">
        <f>[1]Result_notebook_retravaill!B446</f>
        <v>Lithium</v>
      </c>
      <c r="C446" t="str">
        <f>[1]Result_notebook_retravaill!C446</f>
        <v>Current Measures</v>
      </c>
      <c r="D446" t="str">
        <f>[1]Result_notebook_retravaill!D446</f>
        <v>Production potential</v>
      </c>
      <c r="E446" t="str">
        <f>[1]Result_notebook_retravaill!E446</f>
        <v>100% CAN</v>
      </c>
      <c r="F446" t="str">
        <f>[1]Result_notebook_retravaill!F446</f>
        <v>Integrated</v>
      </c>
      <c r="G446">
        <f>[1]Result_notebook_retravaill!G446</f>
        <v>12518.69573305871</v>
      </c>
      <c r="H446" s="3">
        <f>IF([1]Result_notebook_retravaill!I446&gt;[1]Result_notebook_retravaill!G446,[1]Result_notebook_retravaill!I446/[1]Result_notebook_retravaill!N446,[1]Result_notebook_retravaill!H446)</f>
        <v>135664.22252266339</v>
      </c>
      <c r="I446" s="3">
        <f>[1]Result_notebook_retravaill!K446</f>
        <v>0</v>
      </c>
      <c r="J446" s="3">
        <f>MIN(G446,[1]Result_notebook_retravaill!I446)</f>
        <v>12518.69573305871</v>
      </c>
      <c r="K446" s="3">
        <f>IF([1]Result_notebook_retravaill!I446&gt;[1]Result_notebook_retravaill!G446,0,IF([1]Result_notebook_retravaill!I446+[1]Result_notebook_retravaill!J446&gt;[1]Result_notebook_retravaill!G446,[1]Result_notebook_retravaill!G446-[1]Result_notebook_retravaill!I446,[1]Result_notebook_retravaill!J446))</f>
        <v>0</v>
      </c>
      <c r="L446" s="3">
        <f>IF([1]Result_notebook_retravaill!I446&gt;[1]Result_notebook_retravaill!G446,0,IF([1]Result_notebook_retravaill!I446+[1]Result_notebook_retravaill!J446&gt;[1]Result_notebook_retravaill!G446,0,[1]Result_notebook_retravaill!M446))</f>
        <v>0</v>
      </c>
    </row>
    <row r="447" spans="1:12">
      <c r="A447">
        <f>[1]Result_notebook_retravaill!A447</f>
        <v>2029</v>
      </c>
      <c r="B447" t="str">
        <f>[1]Result_notebook_retravaill!B447</f>
        <v>Lithium</v>
      </c>
      <c r="C447" t="str">
        <f>[1]Result_notebook_retravaill!C447</f>
        <v>Global Net-zero</v>
      </c>
      <c r="D447" t="str">
        <f>[1]Result_notebook_retravaill!D447</f>
        <v>Existing production</v>
      </c>
      <c r="E447" t="str">
        <f>[1]Result_notebook_retravaill!E447</f>
        <v>Current shares</v>
      </c>
      <c r="F447" t="str">
        <f>[1]Result_notebook_retravaill!F447</f>
        <v>NIMBY</v>
      </c>
      <c r="G447">
        <f>[1]Result_notebook_retravaill!G447</f>
        <v>23611.939267515339</v>
      </c>
      <c r="H447" s="3">
        <f>IF([1]Result_notebook_retravaill!I447&gt;[1]Result_notebook_retravaill!G447,[1]Result_notebook_retravaill!I447/[1]Result_notebook_retravaill!N447,[1]Result_notebook_retravaill!H447)</f>
        <v>0</v>
      </c>
      <c r="I447" s="3">
        <f>[1]Result_notebook_retravaill!K447</f>
        <v>33731.341810736201</v>
      </c>
      <c r="J447" s="3">
        <f>MIN(G447,[1]Result_notebook_retravaill!I447)</f>
        <v>0</v>
      </c>
      <c r="K447" s="3">
        <f>IF([1]Result_notebook_retravaill!I447&gt;[1]Result_notebook_retravaill!G447,0,IF([1]Result_notebook_retravaill!I447+[1]Result_notebook_retravaill!J447&gt;[1]Result_notebook_retravaill!G447,[1]Result_notebook_retravaill!G447-[1]Result_notebook_retravaill!I447,[1]Result_notebook_retravaill!J447))</f>
        <v>0</v>
      </c>
      <c r="L447" s="3">
        <f>IF([1]Result_notebook_retravaill!I447&gt;[1]Result_notebook_retravaill!G447,0,IF([1]Result_notebook_retravaill!I447+[1]Result_notebook_retravaill!J447&gt;[1]Result_notebook_retravaill!G447,0,[1]Result_notebook_retravaill!M447))</f>
        <v>23611.939267515339</v>
      </c>
    </row>
    <row r="448" spans="1:12">
      <c r="A448">
        <f>[1]Result_notebook_retravaill!A448</f>
        <v>2029</v>
      </c>
      <c r="B448" t="str">
        <f>[1]Result_notebook_retravaill!B448</f>
        <v>Lithium</v>
      </c>
      <c r="C448" t="str">
        <f>[1]Result_notebook_retravaill!C448</f>
        <v>Global Net-zero</v>
      </c>
      <c r="D448" t="str">
        <f>[1]Result_notebook_retravaill!D448</f>
        <v>Existing production</v>
      </c>
      <c r="E448" t="str">
        <f>[1]Result_notebook_retravaill!E448</f>
        <v>Current shares</v>
      </c>
      <c r="F448" t="str">
        <f>[1]Result_notebook_retravaill!F448</f>
        <v>Status Quo</v>
      </c>
      <c r="G448">
        <f>[1]Result_notebook_retravaill!G448</f>
        <v>23611.939267515339</v>
      </c>
      <c r="H448" s="3">
        <f>IF([1]Result_notebook_retravaill!I448&gt;[1]Result_notebook_retravaill!G448,[1]Result_notebook_retravaill!I448/[1]Result_notebook_retravaill!N448,[1]Result_notebook_retravaill!H448)</f>
        <v>33652.830782301367</v>
      </c>
      <c r="I448" s="3">
        <f>[1]Result_notebook_retravaill!K448</f>
        <v>0</v>
      </c>
      <c r="J448" s="3">
        <f>MIN(G448,[1]Result_notebook_retravaill!I448)</f>
        <v>23611.939267515339</v>
      </c>
      <c r="K448" s="3">
        <f>IF([1]Result_notebook_retravaill!I448&gt;[1]Result_notebook_retravaill!G448,0,IF([1]Result_notebook_retravaill!I448+[1]Result_notebook_retravaill!J448&gt;[1]Result_notebook_retravaill!G448,[1]Result_notebook_retravaill!G448-[1]Result_notebook_retravaill!I448,[1]Result_notebook_retravaill!J448))</f>
        <v>0</v>
      </c>
      <c r="L448" s="3">
        <f>IF([1]Result_notebook_retravaill!I448&gt;[1]Result_notebook_retravaill!G448,0,IF([1]Result_notebook_retravaill!I448+[1]Result_notebook_retravaill!J448&gt;[1]Result_notebook_retravaill!G448,0,[1]Result_notebook_retravaill!M448))</f>
        <v>0</v>
      </c>
    </row>
    <row r="449" spans="1:12">
      <c r="A449">
        <f>[1]Result_notebook_retravaill!A449</f>
        <v>2029</v>
      </c>
      <c r="B449" t="str">
        <f>[1]Result_notebook_retravaill!B449</f>
        <v>Lithium</v>
      </c>
      <c r="C449" t="str">
        <f>[1]Result_notebook_retravaill!C449</f>
        <v>Global Net-zero</v>
      </c>
      <c r="D449" t="str">
        <f>[1]Result_notebook_retravaill!D449</f>
        <v>Production potential</v>
      </c>
      <c r="E449" t="str">
        <f>[1]Result_notebook_retravaill!E449</f>
        <v>Current shares</v>
      </c>
      <c r="F449" t="str">
        <f>[1]Result_notebook_retravaill!F449</f>
        <v>Expansion Extractive</v>
      </c>
      <c r="G449">
        <f>[1]Result_notebook_retravaill!G449</f>
        <v>23611.939267515339</v>
      </c>
      <c r="H449" s="3">
        <f>IF([1]Result_notebook_retravaill!I449&gt;[1]Result_notebook_retravaill!G449,[1]Result_notebook_retravaill!I449/[1]Result_notebook_retravaill!N449,[1]Result_notebook_retravaill!H449)</f>
        <v>135664.22252266339</v>
      </c>
      <c r="I449" s="3">
        <f>[1]Result_notebook_retravaill!K449</f>
        <v>0</v>
      </c>
      <c r="J449" s="3">
        <f>MIN(G449,[1]Result_notebook_retravaill!I449)</f>
        <v>23611.939267515339</v>
      </c>
      <c r="K449" s="3">
        <f>IF([1]Result_notebook_retravaill!I449&gt;[1]Result_notebook_retravaill!G449,0,IF([1]Result_notebook_retravaill!I449+[1]Result_notebook_retravaill!J449&gt;[1]Result_notebook_retravaill!G449,[1]Result_notebook_retravaill!G449-[1]Result_notebook_retravaill!I449,[1]Result_notebook_retravaill!J449))</f>
        <v>0</v>
      </c>
      <c r="L449" s="3">
        <f>IF([1]Result_notebook_retravaill!I449&gt;[1]Result_notebook_retravaill!G449,0,IF([1]Result_notebook_retravaill!I449+[1]Result_notebook_retravaill!J449&gt;[1]Result_notebook_retravaill!G449,0,[1]Result_notebook_retravaill!M449))</f>
        <v>0</v>
      </c>
    </row>
    <row r="450" spans="1:12">
      <c r="A450">
        <f>[1]Result_notebook_retravaill!A450</f>
        <v>2029</v>
      </c>
      <c r="B450" t="str">
        <f>[1]Result_notebook_retravaill!B450</f>
        <v>Lithium</v>
      </c>
      <c r="C450" t="str">
        <f>[1]Result_notebook_retravaill!C450</f>
        <v>Global Net-zero</v>
      </c>
      <c r="D450" t="str">
        <f>[1]Result_notebook_retravaill!D450</f>
        <v>Production potential</v>
      </c>
      <c r="E450" t="str">
        <f>[1]Result_notebook_retravaill!E450</f>
        <v>Current shares</v>
      </c>
      <c r="F450" t="str">
        <f>[1]Result_notebook_retravaill!F450</f>
        <v>Expansion Extractive+Circularity</v>
      </c>
      <c r="G450">
        <f>[1]Result_notebook_retravaill!G450</f>
        <v>23611.939267515339</v>
      </c>
      <c r="H450" s="3">
        <f>IF([1]Result_notebook_retravaill!I450&gt;[1]Result_notebook_retravaill!G450,[1]Result_notebook_retravaill!I450/[1]Result_notebook_retravaill!N450,[1]Result_notebook_retravaill!H450)</f>
        <v>135664.22252266339</v>
      </c>
      <c r="I450" s="3">
        <f>[1]Result_notebook_retravaill!K450</f>
        <v>0</v>
      </c>
      <c r="J450" s="3">
        <f>MIN(G450,[1]Result_notebook_retravaill!I450)</f>
        <v>23611.939267515339</v>
      </c>
      <c r="K450" s="3">
        <f>IF([1]Result_notebook_retravaill!I450&gt;[1]Result_notebook_retravaill!G450,0,IF([1]Result_notebook_retravaill!I450+[1]Result_notebook_retravaill!J450&gt;[1]Result_notebook_retravaill!G450,[1]Result_notebook_retravaill!G450-[1]Result_notebook_retravaill!I450,[1]Result_notebook_retravaill!J450))</f>
        <v>0</v>
      </c>
      <c r="L450" s="3">
        <f>IF([1]Result_notebook_retravaill!I450&gt;[1]Result_notebook_retravaill!G450,0,IF([1]Result_notebook_retravaill!I450+[1]Result_notebook_retravaill!J450&gt;[1]Result_notebook_retravaill!G450,0,[1]Result_notebook_retravaill!M450))</f>
        <v>0</v>
      </c>
    </row>
    <row r="451" spans="1:12">
      <c r="A451">
        <f>[1]Result_notebook_retravaill!A451</f>
        <v>2029</v>
      </c>
      <c r="B451" t="str">
        <f>[1]Result_notebook_retravaill!B451</f>
        <v>Lithium</v>
      </c>
      <c r="C451" t="str">
        <f>[1]Result_notebook_retravaill!C451</f>
        <v>Global Net-zero</v>
      </c>
      <c r="D451" t="str">
        <f>[1]Result_notebook_retravaill!D451</f>
        <v>Production potential</v>
      </c>
      <c r="E451" t="str">
        <f>[1]Result_notebook_retravaill!E451</f>
        <v>100% CAN</v>
      </c>
      <c r="F451" t="str">
        <f>[1]Result_notebook_retravaill!F451</f>
        <v>Integrated</v>
      </c>
      <c r="G451">
        <f>[1]Result_notebook_retravaill!G451</f>
        <v>23611.939267515339</v>
      </c>
      <c r="H451" s="3">
        <f>IF([1]Result_notebook_retravaill!I451&gt;[1]Result_notebook_retravaill!G451,[1]Result_notebook_retravaill!I451/[1]Result_notebook_retravaill!N451,[1]Result_notebook_retravaill!H451)</f>
        <v>135664.22252266339</v>
      </c>
      <c r="I451" s="3">
        <f>[1]Result_notebook_retravaill!K451</f>
        <v>0</v>
      </c>
      <c r="J451" s="3">
        <f>MIN(G451,[1]Result_notebook_retravaill!I451)</f>
        <v>23611.939267515339</v>
      </c>
      <c r="K451" s="3">
        <f>IF([1]Result_notebook_retravaill!I451&gt;[1]Result_notebook_retravaill!G451,0,IF([1]Result_notebook_retravaill!I451+[1]Result_notebook_retravaill!J451&gt;[1]Result_notebook_retravaill!G451,[1]Result_notebook_retravaill!G451-[1]Result_notebook_retravaill!I451,[1]Result_notebook_retravaill!J451))</f>
        <v>0</v>
      </c>
      <c r="L451" s="3">
        <f>IF([1]Result_notebook_retravaill!I451&gt;[1]Result_notebook_retravaill!G451,0,IF([1]Result_notebook_retravaill!I451+[1]Result_notebook_retravaill!J451&gt;[1]Result_notebook_retravaill!G451,0,[1]Result_notebook_retravaill!M451))</f>
        <v>0</v>
      </c>
    </row>
    <row r="452" spans="1:12">
      <c r="A452">
        <f>[1]Result_notebook_retravaill!A452</f>
        <v>2030</v>
      </c>
      <c r="B452" t="str">
        <f>[1]Result_notebook_retravaill!B452</f>
        <v>Cobalt</v>
      </c>
      <c r="C452" t="str">
        <f>[1]Result_notebook_retravaill!C452</f>
        <v>Canada Net-zero</v>
      </c>
      <c r="D452" t="str">
        <f>[1]Result_notebook_retravaill!D452</f>
        <v>Existing production</v>
      </c>
      <c r="E452" t="str">
        <f>[1]Result_notebook_retravaill!E452</f>
        <v>Current shares</v>
      </c>
      <c r="F452" t="str">
        <f>[1]Result_notebook_retravaill!F452</f>
        <v>NIMBY</v>
      </c>
      <c r="G452">
        <f>[1]Result_notebook_retravaill!G452</f>
        <v>58753.881043988476</v>
      </c>
      <c r="H452" s="3">
        <f>IF([1]Result_notebook_retravaill!I452&gt;[1]Result_notebook_retravaill!G452,[1]Result_notebook_retravaill!I452/[1]Result_notebook_retravaill!N452,[1]Result_notebook_retravaill!H452)</f>
        <v>0</v>
      </c>
      <c r="I452" s="3">
        <f>[1]Result_notebook_retravaill!K452</f>
        <v>133531.54782724651</v>
      </c>
      <c r="J452" s="3">
        <f>MIN(G452,[1]Result_notebook_retravaill!I452)</f>
        <v>0</v>
      </c>
      <c r="K452" s="3">
        <f>IF([1]Result_notebook_retravaill!I452&gt;[1]Result_notebook_retravaill!G452,0,IF([1]Result_notebook_retravaill!I452+[1]Result_notebook_retravaill!J452&gt;[1]Result_notebook_retravaill!G452,[1]Result_notebook_retravaill!G452-[1]Result_notebook_retravaill!I452,[1]Result_notebook_retravaill!J452))</f>
        <v>0</v>
      </c>
      <c r="L452" s="3">
        <f>IF([1]Result_notebook_retravaill!I452&gt;[1]Result_notebook_retravaill!G452,0,IF([1]Result_notebook_retravaill!I452+[1]Result_notebook_retravaill!J452&gt;[1]Result_notebook_retravaill!G452,0,[1]Result_notebook_retravaill!M452))</f>
        <v>58753.881043988476</v>
      </c>
    </row>
    <row r="453" spans="1:12">
      <c r="A453">
        <f>[1]Result_notebook_retravaill!A453</f>
        <v>2030</v>
      </c>
      <c r="B453" t="str">
        <f>[1]Result_notebook_retravaill!B453</f>
        <v>Cobalt</v>
      </c>
      <c r="C453" t="str">
        <f>[1]Result_notebook_retravaill!C453</f>
        <v>Canada Net-zero</v>
      </c>
      <c r="D453" t="str">
        <f>[1]Result_notebook_retravaill!D453</f>
        <v>Existing production</v>
      </c>
      <c r="E453" t="str">
        <f>[1]Result_notebook_retravaill!E453</f>
        <v>Current shares</v>
      </c>
      <c r="F453" t="str">
        <f>[1]Result_notebook_retravaill!F453</f>
        <v>Status Quo</v>
      </c>
      <c r="G453">
        <f>[1]Result_notebook_retravaill!G453</f>
        <v>58753.881043988476</v>
      </c>
      <c r="H453" s="3">
        <f>IF([1]Result_notebook_retravaill!I453&gt;[1]Result_notebook_retravaill!G453,[1]Result_notebook_retravaill!I453/[1]Result_notebook_retravaill!N453,[1]Result_notebook_retravaill!H453)</f>
        <v>3861</v>
      </c>
      <c r="I453" s="3">
        <f>[1]Result_notebook_retravaill!K453</f>
        <v>129670.5478272465</v>
      </c>
      <c r="J453" s="3">
        <f>MIN(G453,[1]Result_notebook_retravaill!I453)</f>
        <v>1637.7660393504759</v>
      </c>
      <c r="K453" s="3">
        <f>IF([1]Result_notebook_retravaill!I453&gt;[1]Result_notebook_retravaill!G453,0,IF([1]Result_notebook_retravaill!I453+[1]Result_notebook_retravaill!J453&gt;[1]Result_notebook_retravaill!G453,[1]Result_notebook_retravaill!G453-[1]Result_notebook_retravaill!I453,[1]Result_notebook_retravaill!J453))</f>
        <v>58.551050766946219</v>
      </c>
      <c r="L453" s="3">
        <f>IF([1]Result_notebook_retravaill!I453&gt;[1]Result_notebook_retravaill!G453,0,IF([1]Result_notebook_retravaill!I453+[1]Result_notebook_retravaill!J453&gt;[1]Result_notebook_retravaill!G453,0,[1]Result_notebook_retravaill!M453))</f>
        <v>57057.563953871053</v>
      </c>
    </row>
    <row r="454" spans="1:12">
      <c r="A454">
        <f>[1]Result_notebook_retravaill!A454</f>
        <v>2030</v>
      </c>
      <c r="B454" t="str">
        <f>[1]Result_notebook_retravaill!B454</f>
        <v>Cobalt</v>
      </c>
      <c r="C454" t="str">
        <f>[1]Result_notebook_retravaill!C454</f>
        <v>Canada Net-zero</v>
      </c>
      <c r="D454" t="str">
        <f>[1]Result_notebook_retravaill!D454</f>
        <v>Production potential</v>
      </c>
      <c r="E454" t="str">
        <f>[1]Result_notebook_retravaill!E454</f>
        <v>Current shares</v>
      </c>
      <c r="F454" t="str">
        <f>[1]Result_notebook_retravaill!F454</f>
        <v>Expansion Extractive</v>
      </c>
      <c r="G454">
        <f>[1]Result_notebook_retravaill!G454</f>
        <v>58753.881043988476</v>
      </c>
      <c r="H454" s="3">
        <f>IF([1]Result_notebook_retravaill!I454&gt;[1]Result_notebook_retravaill!G454,[1]Result_notebook_retravaill!I454/[1]Result_notebook_retravaill!N454,[1]Result_notebook_retravaill!H454)</f>
        <v>7722.69119676847</v>
      </c>
      <c r="I454" s="3">
        <f>[1]Result_notebook_retravaill!K454</f>
        <v>125808.8566304781</v>
      </c>
      <c r="J454" s="3">
        <f>MIN(G454,[1]Result_notebook_retravaill!I454)</f>
        <v>3275.825271809967</v>
      </c>
      <c r="K454" s="3">
        <f>IF([1]Result_notebook_retravaill!I454&gt;[1]Result_notebook_retravaill!G454,0,IF([1]Result_notebook_retravaill!I454+[1]Result_notebook_retravaill!J454&gt;[1]Result_notebook_retravaill!G454,[1]Result_notebook_retravaill!G454-[1]Result_notebook_retravaill!I454,[1]Result_notebook_retravaill!J454))</f>
        <v>117.11258335131834</v>
      </c>
      <c r="L454" s="3">
        <f>IF([1]Result_notebook_retravaill!I454&gt;[1]Result_notebook_retravaill!G454,0,IF([1]Result_notebook_retravaill!I454+[1]Result_notebook_retravaill!J454&gt;[1]Result_notebook_retravaill!G454,0,[1]Result_notebook_retravaill!M454))</f>
        <v>55360.943188827187</v>
      </c>
    </row>
    <row r="455" spans="1:12">
      <c r="A455">
        <f>[1]Result_notebook_retravaill!A455</f>
        <v>2030</v>
      </c>
      <c r="B455" t="str">
        <f>[1]Result_notebook_retravaill!B455</f>
        <v>Cobalt</v>
      </c>
      <c r="C455" t="str">
        <f>[1]Result_notebook_retravaill!C455</f>
        <v>Canada Net-zero</v>
      </c>
      <c r="D455" t="str">
        <f>[1]Result_notebook_retravaill!D455</f>
        <v>Production potential</v>
      </c>
      <c r="E455" t="str">
        <f>[1]Result_notebook_retravaill!E455</f>
        <v>Current shares</v>
      </c>
      <c r="F455" t="str">
        <f>[1]Result_notebook_retravaill!F455</f>
        <v>Expansion Extractive+Circularity</v>
      </c>
      <c r="G455">
        <f>[1]Result_notebook_retravaill!G455</f>
        <v>58753.881043988476</v>
      </c>
      <c r="H455" s="3">
        <f>IF([1]Result_notebook_retravaill!I455&gt;[1]Result_notebook_retravaill!G455,[1]Result_notebook_retravaill!I455/[1]Result_notebook_retravaill!N455,[1]Result_notebook_retravaill!H455)</f>
        <v>7722.69119676847</v>
      </c>
      <c r="I455" s="3">
        <f>[1]Result_notebook_retravaill!K455</f>
        <v>125808.8566304781</v>
      </c>
      <c r="J455" s="3">
        <f>MIN(G455,[1]Result_notebook_retravaill!I455)</f>
        <v>3275.825271809967</v>
      </c>
      <c r="K455" s="3">
        <f>IF([1]Result_notebook_retravaill!I455&gt;[1]Result_notebook_retravaill!G455,0,IF([1]Result_notebook_retravaill!I455+[1]Result_notebook_retravaill!J455&gt;[1]Result_notebook_retravaill!G455,[1]Result_notebook_retravaill!G455-[1]Result_notebook_retravaill!I455,[1]Result_notebook_retravaill!J455))</f>
        <v>117.11258335131834</v>
      </c>
      <c r="L455" s="3">
        <f>IF([1]Result_notebook_retravaill!I455&gt;[1]Result_notebook_retravaill!G455,0,IF([1]Result_notebook_retravaill!I455+[1]Result_notebook_retravaill!J455&gt;[1]Result_notebook_retravaill!G455,0,[1]Result_notebook_retravaill!M455))</f>
        <v>55360.943188827187</v>
      </c>
    </row>
    <row r="456" spans="1:12">
      <c r="A456">
        <f>[1]Result_notebook_retravaill!A456</f>
        <v>2030</v>
      </c>
      <c r="B456" t="str">
        <f>[1]Result_notebook_retravaill!B456</f>
        <v>Cobalt</v>
      </c>
      <c r="C456" t="str">
        <f>[1]Result_notebook_retravaill!C456</f>
        <v>Canada Net-zero</v>
      </c>
      <c r="D456" t="str">
        <f>[1]Result_notebook_retravaill!D456</f>
        <v>Production potential</v>
      </c>
      <c r="E456" t="str">
        <f>[1]Result_notebook_retravaill!E456</f>
        <v>100% CAN</v>
      </c>
      <c r="F456" t="str">
        <f>[1]Result_notebook_retravaill!F456</f>
        <v>Integrated</v>
      </c>
      <c r="G456">
        <f>[1]Result_notebook_retravaill!G456</f>
        <v>58753.881043988476</v>
      </c>
      <c r="H456" s="3">
        <f>IF([1]Result_notebook_retravaill!I456&gt;[1]Result_notebook_retravaill!G456,[1]Result_notebook_retravaill!I456/[1]Result_notebook_retravaill!N456,[1]Result_notebook_retravaill!H456)</f>
        <v>7722.69119676847</v>
      </c>
      <c r="I456" s="3">
        <f>[1]Result_notebook_retravaill!K456</f>
        <v>125808.8566304781</v>
      </c>
      <c r="J456" s="3">
        <f>MIN(G456,[1]Result_notebook_retravaill!I456)</f>
        <v>3392.937855161289</v>
      </c>
      <c r="K456" s="3">
        <f>IF([1]Result_notebook_retravaill!I456&gt;[1]Result_notebook_retravaill!G456,0,IF([1]Result_notebook_retravaill!I456+[1]Result_notebook_retravaill!J456&gt;[1]Result_notebook_retravaill!G456,[1]Result_notebook_retravaill!G456-[1]Result_notebook_retravaill!I456,[1]Result_notebook_retravaill!J456))</f>
        <v>-3.637978807091713E-12</v>
      </c>
      <c r="L456" s="3">
        <f>IF([1]Result_notebook_retravaill!I456&gt;[1]Result_notebook_retravaill!G456,0,IF([1]Result_notebook_retravaill!I456+[1]Result_notebook_retravaill!J456&gt;[1]Result_notebook_retravaill!G456,0,[1]Result_notebook_retravaill!M456))</f>
        <v>55360.943188827194</v>
      </c>
    </row>
    <row r="457" spans="1:12">
      <c r="A457">
        <f>[1]Result_notebook_retravaill!A457</f>
        <v>2030</v>
      </c>
      <c r="B457" t="str">
        <f>[1]Result_notebook_retravaill!B457</f>
        <v>Cobalt</v>
      </c>
      <c r="C457" t="str">
        <f>[1]Result_notebook_retravaill!C457</f>
        <v>Current Measures</v>
      </c>
      <c r="D457" t="str">
        <f>[1]Result_notebook_retravaill!D457</f>
        <v>Existing production</v>
      </c>
      <c r="E457" t="str">
        <f>[1]Result_notebook_retravaill!E457</f>
        <v>Current shares</v>
      </c>
      <c r="F457" t="str">
        <f>[1]Result_notebook_retravaill!F457</f>
        <v>NIMBY</v>
      </c>
      <c r="G457">
        <f>[1]Result_notebook_retravaill!G457</f>
        <v>28359.41743748487</v>
      </c>
      <c r="H457" s="3">
        <f>IF([1]Result_notebook_retravaill!I457&gt;[1]Result_notebook_retravaill!G457,[1]Result_notebook_retravaill!I457/[1]Result_notebook_retravaill!N457,[1]Result_notebook_retravaill!H457)</f>
        <v>0</v>
      </c>
      <c r="I457" s="3">
        <f>[1]Result_notebook_retravaill!K457</f>
        <v>64453.221448829252</v>
      </c>
      <c r="J457" s="3">
        <f>MIN(G457,[1]Result_notebook_retravaill!I457)</f>
        <v>0</v>
      </c>
      <c r="K457" s="3">
        <f>IF([1]Result_notebook_retravaill!I457&gt;[1]Result_notebook_retravaill!G457,0,IF([1]Result_notebook_retravaill!I457+[1]Result_notebook_retravaill!J457&gt;[1]Result_notebook_retravaill!G457,[1]Result_notebook_retravaill!G457-[1]Result_notebook_retravaill!I457,[1]Result_notebook_retravaill!J457))</f>
        <v>0</v>
      </c>
      <c r="L457" s="3">
        <f>IF([1]Result_notebook_retravaill!I457&gt;[1]Result_notebook_retravaill!G457,0,IF([1]Result_notebook_retravaill!I457+[1]Result_notebook_retravaill!J457&gt;[1]Result_notebook_retravaill!G457,0,[1]Result_notebook_retravaill!M457))</f>
        <v>28359.41743748487</v>
      </c>
    </row>
    <row r="458" spans="1:12">
      <c r="A458">
        <f>[1]Result_notebook_retravaill!A458</f>
        <v>2030</v>
      </c>
      <c r="B458" t="str">
        <f>[1]Result_notebook_retravaill!B458</f>
        <v>Cobalt</v>
      </c>
      <c r="C458" t="str">
        <f>[1]Result_notebook_retravaill!C458</f>
        <v>Current Measures</v>
      </c>
      <c r="D458" t="str">
        <f>[1]Result_notebook_retravaill!D458</f>
        <v>Existing production</v>
      </c>
      <c r="E458" t="str">
        <f>[1]Result_notebook_retravaill!E458</f>
        <v>Current shares</v>
      </c>
      <c r="F458" t="str">
        <f>[1]Result_notebook_retravaill!F458</f>
        <v>Status Quo</v>
      </c>
      <c r="G458">
        <f>[1]Result_notebook_retravaill!G458</f>
        <v>28359.41743748487</v>
      </c>
      <c r="H458" s="3">
        <f>IF([1]Result_notebook_retravaill!I458&gt;[1]Result_notebook_retravaill!G458,[1]Result_notebook_retravaill!I458/[1]Result_notebook_retravaill!N458,[1]Result_notebook_retravaill!H458)</f>
        <v>3861</v>
      </c>
      <c r="I458" s="3">
        <f>[1]Result_notebook_retravaill!K458</f>
        <v>60592.221448829252</v>
      </c>
      <c r="J458" s="3">
        <f>MIN(G458,[1]Result_notebook_retravaill!I458)</f>
        <v>1637.7660393504759</v>
      </c>
      <c r="K458" s="3">
        <f>IF([1]Result_notebook_retravaill!I458&gt;[1]Result_notebook_retravaill!G458,0,IF([1]Result_notebook_retravaill!I458+[1]Result_notebook_retravaill!J458&gt;[1]Result_notebook_retravaill!G458,[1]Result_notebook_retravaill!G458-[1]Result_notebook_retravaill!I458,[1]Result_notebook_retravaill!J458))</f>
        <v>58.551050766946219</v>
      </c>
      <c r="L458" s="3">
        <f>IF([1]Result_notebook_retravaill!I458&gt;[1]Result_notebook_retravaill!G458,0,IF([1]Result_notebook_retravaill!I458+[1]Result_notebook_retravaill!J458&gt;[1]Result_notebook_retravaill!G458,0,[1]Result_notebook_retravaill!M458))</f>
        <v>26663.100347367443</v>
      </c>
    </row>
    <row r="459" spans="1:12">
      <c r="A459">
        <f>[1]Result_notebook_retravaill!A459</f>
        <v>2030</v>
      </c>
      <c r="B459" t="str">
        <f>[1]Result_notebook_retravaill!B459</f>
        <v>Cobalt</v>
      </c>
      <c r="C459" t="str">
        <f>[1]Result_notebook_retravaill!C459</f>
        <v>Current Measures</v>
      </c>
      <c r="D459" t="str">
        <f>[1]Result_notebook_retravaill!D459</f>
        <v>Production potential</v>
      </c>
      <c r="E459" t="str">
        <f>[1]Result_notebook_retravaill!E459</f>
        <v>Current shares</v>
      </c>
      <c r="F459" t="str">
        <f>[1]Result_notebook_retravaill!F459</f>
        <v>Expansion Extractive</v>
      </c>
      <c r="G459">
        <f>[1]Result_notebook_retravaill!G459</f>
        <v>28359.41743748487</v>
      </c>
      <c r="H459" s="3">
        <f>IF([1]Result_notebook_retravaill!I459&gt;[1]Result_notebook_retravaill!G459,[1]Result_notebook_retravaill!I459/[1]Result_notebook_retravaill!N459,[1]Result_notebook_retravaill!H459)</f>
        <v>7722.69119676847</v>
      </c>
      <c r="I459" s="3">
        <f>[1]Result_notebook_retravaill!K459</f>
        <v>56730.53025206078</v>
      </c>
      <c r="J459" s="3">
        <f>MIN(G459,[1]Result_notebook_retravaill!I459)</f>
        <v>3275.825271809967</v>
      </c>
      <c r="K459" s="3">
        <f>IF([1]Result_notebook_retravaill!I459&gt;[1]Result_notebook_retravaill!G459,0,IF([1]Result_notebook_retravaill!I459+[1]Result_notebook_retravaill!J459&gt;[1]Result_notebook_retravaill!G459,[1]Result_notebook_retravaill!G459-[1]Result_notebook_retravaill!I459,[1]Result_notebook_retravaill!J459))</f>
        <v>117.11258335131834</v>
      </c>
      <c r="L459" s="3">
        <f>IF([1]Result_notebook_retravaill!I459&gt;[1]Result_notebook_retravaill!G459,0,IF([1]Result_notebook_retravaill!I459+[1]Result_notebook_retravaill!J459&gt;[1]Result_notebook_retravaill!G459,0,[1]Result_notebook_retravaill!M459))</f>
        <v>24966.479582323584</v>
      </c>
    </row>
    <row r="460" spans="1:12">
      <c r="A460">
        <f>[1]Result_notebook_retravaill!A460</f>
        <v>2030</v>
      </c>
      <c r="B460" t="str">
        <f>[1]Result_notebook_retravaill!B460</f>
        <v>Cobalt</v>
      </c>
      <c r="C460" t="str">
        <f>[1]Result_notebook_retravaill!C460</f>
        <v>Current Measures</v>
      </c>
      <c r="D460" t="str">
        <f>[1]Result_notebook_retravaill!D460</f>
        <v>Production potential</v>
      </c>
      <c r="E460" t="str">
        <f>[1]Result_notebook_retravaill!E460</f>
        <v>Current shares</v>
      </c>
      <c r="F460" t="str">
        <f>[1]Result_notebook_retravaill!F460</f>
        <v>Expansion Extractive+Circularity</v>
      </c>
      <c r="G460">
        <f>[1]Result_notebook_retravaill!G460</f>
        <v>28359.41743748487</v>
      </c>
      <c r="H460" s="3">
        <f>IF([1]Result_notebook_retravaill!I460&gt;[1]Result_notebook_retravaill!G460,[1]Result_notebook_retravaill!I460/[1]Result_notebook_retravaill!N460,[1]Result_notebook_retravaill!H460)</f>
        <v>7722.69119676847</v>
      </c>
      <c r="I460" s="3">
        <f>[1]Result_notebook_retravaill!K460</f>
        <v>56730.53025206078</v>
      </c>
      <c r="J460" s="3">
        <f>MIN(G460,[1]Result_notebook_retravaill!I460)</f>
        <v>3275.825271809967</v>
      </c>
      <c r="K460" s="3">
        <f>IF([1]Result_notebook_retravaill!I460&gt;[1]Result_notebook_retravaill!G460,0,IF([1]Result_notebook_retravaill!I460+[1]Result_notebook_retravaill!J460&gt;[1]Result_notebook_retravaill!G460,[1]Result_notebook_retravaill!G460-[1]Result_notebook_retravaill!I460,[1]Result_notebook_retravaill!J460))</f>
        <v>117.11258335131834</v>
      </c>
      <c r="L460" s="3">
        <f>IF([1]Result_notebook_retravaill!I460&gt;[1]Result_notebook_retravaill!G460,0,IF([1]Result_notebook_retravaill!I460+[1]Result_notebook_retravaill!J460&gt;[1]Result_notebook_retravaill!G460,0,[1]Result_notebook_retravaill!M460))</f>
        <v>24966.479582323584</v>
      </c>
    </row>
    <row r="461" spans="1:12">
      <c r="A461">
        <f>[1]Result_notebook_retravaill!A461</f>
        <v>2030</v>
      </c>
      <c r="B461" t="str">
        <f>[1]Result_notebook_retravaill!B461</f>
        <v>Cobalt</v>
      </c>
      <c r="C461" t="str">
        <f>[1]Result_notebook_retravaill!C461</f>
        <v>Current Measures</v>
      </c>
      <c r="D461" t="str">
        <f>[1]Result_notebook_retravaill!D461</f>
        <v>Production potential</v>
      </c>
      <c r="E461" t="str">
        <f>[1]Result_notebook_retravaill!E461</f>
        <v>100% CAN</v>
      </c>
      <c r="F461" t="str">
        <f>[1]Result_notebook_retravaill!F461</f>
        <v>Integrated</v>
      </c>
      <c r="G461">
        <f>[1]Result_notebook_retravaill!G461</f>
        <v>28359.41743748487</v>
      </c>
      <c r="H461" s="3">
        <f>IF([1]Result_notebook_retravaill!I461&gt;[1]Result_notebook_retravaill!G461,[1]Result_notebook_retravaill!I461/[1]Result_notebook_retravaill!N461,[1]Result_notebook_retravaill!H461)</f>
        <v>7722.69119676847</v>
      </c>
      <c r="I461" s="3">
        <f>[1]Result_notebook_retravaill!K461</f>
        <v>56730.53025206078</v>
      </c>
      <c r="J461" s="3">
        <f>MIN(G461,[1]Result_notebook_retravaill!I461)</f>
        <v>3392.937855161289</v>
      </c>
      <c r="K461" s="3">
        <f>IF([1]Result_notebook_retravaill!I461&gt;[1]Result_notebook_retravaill!G461,0,IF([1]Result_notebook_retravaill!I461+[1]Result_notebook_retravaill!J461&gt;[1]Result_notebook_retravaill!G461,[1]Result_notebook_retravaill!G461-[1]Result_notebook_retravaill!I461,[1]Result_notebook_retravaill!J461))</f>
        <v>-3.637978807091713E-12</v>
      </c>
      <c r="L461" s="3">
        <f>IF([1]Result_notebook_retravaill!I461&gt;[1]Result_notebook_retravaill!G461,0,IF([1]Result_notebook_retravaill!I461+[1]Result_notebook_retravaill!J461&gt;[1]Result_notebook_retravaill!G461,0,[1]Result_notebook_retravaill!M461))</f>
        <v>24966.479582323584</v>
      </c>
    </row>
    <row r="462" spans="1:12">
      <c r="A462">
        <f>[1]Result_notebook_retravaill!A462</f>
        <v>2030</v>
      </c>
      <c r="B462" t="str">
        <f>[1]Result_notebook_retravaill!B462</f>
        <v>Cobalt</v>
      </c>
      <c r="C462" t="str">
        <f>[1]Result_notebook_retravaill!C462</f>
        <v>Global Net-zero</v>
      </c>
      <c r="D462" t="str">
        <f>[1]Result_notebook_retravaill!D462</f>
        <v>Existing production</v>
      </c>
      <c r="E462" t="str">
        <f>[1]Result_notebook_retravaill!E462</f>
        <v>Current shares</v>
      </c>
      <c r="F462" t="str">
        <f>[1]Result_notebook_retravaill!F462</f>
        <v>NIMBY</v>
      </c>
      <c r="G462">
        <f>[1]Result_notebook_retravaill!G462</f>
        <v>55644.976100679487</v>
      </c>
      <c r="H462" s="3">
        <f>IF([1]Result_notebook_retravaill!I462&gt;[1]Result_notebook_retravaill!G462,[1]Result_notebook_retravaill!I462/[1]Result_notebook_retravaill!N462,[1]Result_notebook_retravaill!H462)</f>
        <v>0</v>
      </c>
      <c r="I462" s="3">
        <f>[1]Result_notebook_retravaill!K462</f>
        <v>126465.8547742716</v>
      </c>
      <c r="J462" s="3">
        <f>MIN(G462,[1]Result_notebook_retravaill!I462)</f>
        <v>0</v>
      </c>
      <c r="K462" s="3">
        <f>IF([1]Result_notebook_retravaill!I462&gt;[1]Result_notebook_retravaill!G462,0,IF([1]Result_notebook_retravaill!I462+[1]Result_notebook_retravaill!J462&gt;[1]Result_notebook_retravaill!G462,[1]Result_notebook_retravaill!G462-[1]Result_notebook_retravaill!I462,[1]Result_notebook_retravaill!J462))</f>
        <v>0</v>
      </c>
      <c r="L462" s="3">
        <f>IF([1]Result_notebook_retravaill!I462&gt;[1]Result_notebook_retravaill!G462,0,IF([1]Result_notebook_retravaill!I462+[1]Result_notebook_retravaill!J462&gt;[1]Result_notebook_retravaill!G462,0,[1]Result_notebook_retravaill!M462))</f>
        <v>55644.976100679487</v>
      </c>
    </row>
    <row r="463" spans="1:12">
      <c r="A463">
        <f>[1]Result_notebook_retravaill!A463</f>
        <v>2030</v>
      </c>
      <c r="B463" t="str">
        <f>[1]Result_notebook_retravaill!B463</f>
        <v>Cobalt</v>
      </c>
      <c r="C463" t="str">
        <f>[1]Result_notebook_retravaill!C463</f>
        <v>Global Net-zero</v>
      </c>
      <c r="D463" t="str">
        <f>[1]Result_notebook_retravaill!D463</f>
        <v>Existing production</v>
      </c>
      <c r="E463" t="str">
        <f>[1]Result_notebook_retravaill!E463</f>
        <v>Current shares</v>
      </c>
      <c r="F463" t="str">
        <f>[1]Result_notebook_retravaill!F463</f>
        <v>Status Quo</v>
      </c>
      <c r="G463">
        <f>[1]Result_notebook_retravaill!G463</f>
        <v>55644.976100679487</v>
      </c>
      <c r="H463" s="3">
        <f>IF([1]Result_notebook_retravaill!I463&gt;[1]Result_notebook_retravaill!G463,[1]Result_notebook_retravaill!I463/[1]Result_notebook_retravaill!N463,[1]Result_notebook_retravaill!H463)</f>
        <v>3861</v>
      </c>
      <c r="I463" s="3">
        <f>[1]Result_notebook_retravaill!K463</f>
        <v>122604.8547742716</v>
      </c>
      <c r="J463" s="3">
        <f>MIN(G463,[1]Result_notebook_retravaill!I463)</f>
        <v>1637.7660393504759</v>
      </c>
      <c r="K463" s="3">
        <f>IF([1]Result_notebook_retravaill!I463&gt;[1]Result_notebook_retravaill!G463,0,IF([1]Result_notebook_retravaill!I463+[1]Result_notebook_retravaill!J463&gt;[1]Result_notebook_retravaill!G463,[1]Result_notebook_retravaill!G463-[1]Result_notebook_retravaill!I463,[1]Result_notebook_retravaill!J463))</f>
        <v>58.551050766946219</v>
      </c>
      <c r="L463" s="3">
        <f>IF([1]Result_notebook_retravaill!I463&gt;[1]Result_notebook_retravaill!G463,0,IF([1]Result_notebook_retravaill!I463+[1]Result_notebook_retravaill!J463&gt;[1]Result_notebook_retravaill!G463,0,[1]Result_notebook_retravaill!M463))</f>
        <v>53948.659010562063</v>
      </c>
    </row>
    <row r="464" spans="1:12">
      <c r="A464">
        <f>[1]Result_notebook_retravaill!A464</f>
        <v>2030</v>
      </c>
      <c r="B464" t="str">
        <f>[1]Result_notebook_retravaill!B464</f>
        <v>Cobalt</v>
      </c>
      <c r="C464" t="str">
        <f>[1]Result_notebook_retravaill!C464</f>
        <v>Global Net-zero</v>
      </c>
      <c r="D464" t="str">
        <f>[1]Result_notebook_retravaill!D464</f>
        <v>Production potential</v>
      </c>
      <c r="E464" t="str">
        <f>[1]Result_notebook_retravaill!E464</f>
        <v>Current shares</v>
      </c>
      <c r="F464" t="str">
        <f>[1]Result_notebook_retravaill!F464</f>
        <v>Expansion Extractive</v>
      </c>
      <c r="G464">
        <f>[1]Result_notebook_retravaill!G464</f>
        <v>55644.976100679487</v>
      </c>
      <c r="H464" s="3">
        <f>IF([1]Result_notebook_retravaill!I464&gt;[1]Result_notebook_retravaill!G464,[1]Result_notebook_retravaill!I464/[1]Result_notebook_retravaill!N464,[1]Result_notebook_retravaill!H464)</f>
        <v>7722.69119676847</v>
      </c>
      <c r="I464" s="3">
        <f>[1]Result_notebook_retravaill!K464</f>
        <v>118743.1635775031</v>
      </c>
      <c r="J464" s="3">
        <f>MIN(G464,[1]Result_notebook_retravaill!I464)</f>
        <v>3275.825271809967</v>
      </c>
      <c r="K464" s="3">
        <f>IF([1]Result_notebook_retravaill!I464&gt;[1]Result_notebook_retravaill!G464,0,IF([1]Result_notebook_retravaill!I464+[1]Result_notebook_retravaill!J464&gt;[1]Result_notebook_retravaill!G464,[1]Result_notebook_retravaill!G464-[1]Result_notebook_retravaill!I464,[1]Result_notebook_retravaill!J464))</f>
        <v>117.11258335131834</v>
      </c>
      <c r="L464" s="3">
        <f>IF([1]Result_notebook_retravaill!I464&gt;[1]Result_notebook_retravaill!G464,0,IF([1]Result_notebook_retravaill!I464+[1]Result_notebook_retravaill!J464&gt;[1]Result_notebook_retravaill!G464,0,[1]Result_notebook_retravaill!M464))</f>
        <v>52252.038245518197</v>
      </c>
    </row>
    <row r="465" spans="1:12">
      <c r="A465">
        <f>[1]Result_notebook_retravaill!A465</f>
        <v>2030</v>
      </c>
      <c r="B465" t="str">
        <f>[1]Result_notebook_retravaill!B465</f>
        <v>Cobalt</v>
      </c>
      <c r="C465" t="str">
        <f>[1]Result_notebook_retravaill!C465</f>
        <v>Global Net-zero</v>
      </c>
      <c r="D465" t="str">
        <f>[1]Result_notebook_retravaill!D465</f>
        <v>Production potential</v>
      </c>
      <c r="E465" t="str">
        <f>[1]Result_notebook_retravaill!E465</f>
        <v>Current shares</v>
      </c>
      <c r="F465" t="str">
        <f>[1]Result_notebook_retravaill!F465</f>
        <v>Expansion Extractive+Circularity</v>
      </c>
      <c r="G465">
        <f>[1]Result_notebook_retravaill!G465</f>
        <v>55644.976100679487</v>
      </c>
      <c r="H465" s="3">
        <f>IF([1]Result_notebook_retravaill!I465&gt;[1]Result_notebook_retravaill!G465,[1]Result_notebook_retravaill!I465/[1]Result_notebook_retravaill!N465,[1]Result_notebook_retravaill!H465)</f>
        <v>7722.69119676847</v>
      </c>
      <c r="I465" s="3">
        <f>[1]Result_notebook_retravaill!K465</f>
        <v>118743.1635775031</v>
      </c>
      <c r="J465" s="3">
        <f>MIN(G465,[1]Result_notebook_retravaill!I465)</f>
        <v>3275.825271809967</v>
      </c>
      <c r="K465" s="3">
        <f>IF([1]Result_notebook_retravaill!I465&gt;[1]Result_notebook_retravaill!G465,0,IF([1]Result_notebook_retravaill!I465+[1]Result_notebook_retravaill!J465&gt;[1]Result_notebook_retravaill!G465,[1]Result_notebook_retravaill!G465-[1]Result_notebook_retravaill!I465,[1]Result_notebook_retravaill!J465))</f>
        <v>117.11258335131834</v>
      </c>
      <c r="L465" s="3">
        <f>IF([1]Result_notebook_retravaill!I465&gt;[1]Result_notebook_retravaill!G465,0,IF([1]Result_notebook_retravaill!I465+[1]Result_notebook_retravaill!J465&gt;[1]Result_notebook_retravaill!G465,0,[1]Result_notebook_retravaill!M465))</f>
        <v>52252.038245518197</v>
      </c>
    </row>
    <row r="466" spans="1:12">
      <c r="A466">
        <f>[1]Result_notebook_retravaill!A466</f>
        <v>2030</v>
      </c>
      <c r="B466" t="str">
        <f>[1]Result_notebook_retravaill!B466</f>
        <v>Cobalt</v>
      </c>
      <c r="C466" t="str">
        <f>[1]Result_notebook_retravaill!C466</f>
        <v>Global Net-zero</v>
      </c>
      <c r="D466" t="str">
        <f>[1]Result_notebook_retravaill!D466</f>
        <v>Production potential</v>
      </c>
      <c r="E466" t="str">
        <f>[1]Result_notebook_retravaill!E466</f>
        <v>100% CAN</v>
      </c>
      <c r="F466" t="str">
        <f>[1]Result_notebook_retravaill!F466</f>
        <v>Integrated</v>
      </c>
      <c r="G466">
        <f>[1]Result_notebook_retravaill!G466</f>
        <v>55644.976100679487</v>
      </c>
      <c r="H466" s="3">
        <f>IF([1]Result_notebook_retravaill!I466&gt;[1]Result_notebook_retravaill!G466,[1]Result_notebook_retravaill!I466/[1]Result_notebook_retravaill!N466,[1]Result_notebook_retravaill!H466)</f>
        <v>7722.69119676847</v>
      </c>
      <c r="I466" s="3">
        <f>[1]Result_notebook_retravaill!K466</f>
        <v>118743.1635775031</v>
      </c>
      <c r="J466" s="3">
        <f>MIN(G466,[1]Result_notebook_retravaill!I466)</f>
        <v>3392.937855161289</v>
      </c>
      <c r="K466" s="3">
        <f>IF([1]Result_notebook_retravaill!I466&gt;[1]Result_notebook_retravaill!G466,0,IF([1]Result_notebook_retravaill!I466+[1]Result_notebook_retravaill!J466&gt;[1]Result_notebook_retravaill!G466,[1]Result_notebook_retravaill!G466-[1]Result_notebook_retravaill!I466,[1]Result_notebook_retravaill!J466))</f>
        <v>-3.637978807091713E-12</v>
      </c>
      <c r="L466" s="3">
        <f>IF([1]Result_notebook_retravaill!I466&gt;[1]Result_notebook_retravaill!G466,0,IF([1]Result_notebook_retravaill!I466+[1]Result_notebook_retravaill!J466&gt;[1]Result_notebook_retravaill!G466,0,[1]Result_notebook_retravaill!M466))</f>
        <v>52252.038245518197</v>
      </c>
    </row>
    <row r="467" spans="1:12">
      <c r="A467">
        <f>[1]Result_notebook_retravaill!A467</f>
        <v>2030</v>
      </c>
      <c r="B467" t="str">
        <f>[1]Result_notebook_retravaill!B467</f>
        <v>Copper</v>
      </c>
      <c r="C467" t="str">
        <f>[1]Result_notebook_retravaill!C467</f>
        <v>Canada Net-zero</v>
      </c>
      <c r="D467" t="str">
        <f>[1]Result_notebook_retravaill!D467</f>
        <v>Existing production</v>
      </c>
      <c r="E467" t="str">
        <f>[1]Result_notebook_retravaill!E467</f>
        <v>Current shares</v>
      </c>
      <c r="F467" t="str">
        <f>[1]Result_notebook_retravaill!F467</f>
        <v>NIMBY</v>
      </c>
      <c r="G467">
        <f>[1]Result_notebook_retravaill!G467</f>
        <v>999788.1668806962</v>
      </c>
      <c r="H467" s="3">
        <f>IF([1]Result_notebook_retravaill!I467&gt;[1]Result_notebook_retravaill!G467,[1]Result_notebook_retravaill!I467/[1]Result_notebook_retravaill!N467,[1]Result_notebook_retravaill!H467)</f>
        <v>0</v>
      </c>
      <c r="I467" s="3">
        <f>[1]Result_notebook_retravaill!K467</f>
        <v>1204564.056482767</v>
      </c>
      <c r="J467" s="3">
        <f>MIN(G467,[1]Result_notebook_retravaill!I467)</f>
        <v>0</v>
      </c>
      <c r="K467" s="3">
        <f>IF([1]Result_notebook_retravaill!I467&gt;[1]Result_notebook_retravaill!G467,0,IF([1]Result_notebook_retravaill!I467+[1]Result_notebook_retravaill!J467&gt;[1]Result_notebook_retravaill!G467,[1]Result_notebook_retravaill!G467-[1]Result_notebook_retravaill!I467,[1]Result_notebook_retravaill!J467))</f>
        <v>0</v>
      </c>
      <c r="L467" s="3">
        <f>IF([1]Result_notebook_retravaill!I467&gt;[1]Result_notebook_retravaill!G467,0,IF([1]Result_notebook_retravaill!I467+[1]Result_notebook_retravaill!J467&gt;[1]Result_notebook_retravaill!G467,0,[1]Result_notebook_retravaill!M467))</f>
        <v>999788.1668806962</v>
      </c>
    </row>
    <row r="468" spans="1:12">
      <c r="A468">
        <f>[1]Result_notebook_retravaill!A468</f>
        <v>2030</v>
      </c>
      <c r="B468" t="str">
        <f>[1]Result_notebook_retravaill!B468</f>
        <v>Copper</v>
      </c>
      <c r="C468" t="str">
        <f>[1]Result_notebook_retravaill!C468</f>
        <v>Canada Net-zero</v>
      </c>
      <c r="D468" t="str">
        <f>[1]Result_notebook_retravaill!D468</f>
        <v>Existing production</v>
      </c>
      <c r="E468" t="str">
        <f>[1]Result_notebook_retravaill!E468</f>
        <v>Current shares</v>
      </c>
      <c r="F468" t="str">
        <f>[1]Result_notebook_retravaill!F468</f>
        <v>Status Quo</v>
      </c>
      <c r="G468">
        <f>[1]Result_notebook_retravaill!G468</f>
        <v>999788.1668806962</v>
      </c>
      <c r="H468" s="3">
        <f>IF([1]Result_notebook_retravaill!I468&gt;[1]Result_notebook_retravaill!G468,[1]Result_notebook_retravaill!I468/[1]Result_notebook_retravaill!N468,[1]Result_notebook_retravaill!H468)</f>
        <v>331738</v>
      </c>
      <c r="I468" s="3">
        <f>[1]Result_notebook_retravaill!K468</f>
        <v>872826.05648276652</v>
      </c>
      <c r="J468" s="3">
        <f>MIN(G468,[1]Result_notebook_retravaill!I468)</f>
        <v>174364.3747679751</v>
      </c>
      <c r="K468" s="3">
        <f>IF([1]Result_notebook_retravaill!I468&gt;[1]Result_notebook_retravaill!G468,0,IF([1]Result_notebook_retravaill!I468+[1]Result_notebook_retravaill!J468&gt;[1]Result_notebook_retravaill!G468,[1]Result_notebook_retravaill!G468-[1]Result_notebook_retravaill!I468,[1]Result_notebook_retravaill!J468))</f>
        <v>102552.51506253323</v>
      </c>
      <c r="L468" s="3">
        <f>IF([1]Result_notebook_retravaill!I468&gt;[1]Result_notebook_retravaill!G468,0,IF([1]Result_notebook_retravaill!I468+[1]Result_notebook_retravaill!J468&gt;[1]Result_notebook_retravaill!G468,0,[1]Result_notebook_retravaill!M468))</f>
        <v>722871.27705018793</v>
      </c>
    </row>
    <row r="469" spans="1:12">
      <c r="A469">
        <f>[1]Result_notebook_retravaill!A469</f>
        <v>2030</v>
      </c>
      <c r="B469" t="str">
        <f>[1]Result_notebook_retravaill!B469</f>
        <v>Copper</v>
      </c>
      <c r="C469" t="str">
        <f>[1]Result_notebook_retravaill!C469</f>
        <v>Canada Net-zero</v>
      </c>
      <c r="D469" t="str">
        <f>[1]Result_notebook_retravaill!D469</f>
        <v>Production potential</v>
      </c>
      <c r="E469" t="str">
        <f>[1]Result_notebook_retravaill!E469</f>
        <v>Current shares</v>
      </c>
      <c r="F469" t="str">
        <f>[1]Result_notebook_retravaill!F469</f>
        <v>Expansion Extractive</v>
      </c>
      <c r="G469">
        <f>[1]Result_notebook_retravaill!G469</f>
        <v>999788.1668806962</v>
      </c>
      <c r="H469" s="3">
        <f>IF([1]Result_notebook_retravaill!I469&gt;[1]Result_notebook_retravaill!G469,[1]Result_notebook_retravaill!I469/[1]Result_notebook_retravaill!N469,[1]Result_notebook_retravaill!H469)</f>
        <v>686257.18012875051</v>
      </c>
      <c r="I469" s="3">
        <f>[1]Result_notebook_retravaill!K469</f>
        <v>518306.87635401601</v>
      </c>
      <c r="J469" s="3">
        <f>MIN(G469,[1]Result_notebook_retravaill!I469)</f>
        <v>360702.73572271859</v>
      </c>
      <c r="K469" s="3">
        <f>IF([1]Result_notebook_retravaill!I469&gt;[1]Result_notebook_retravaill!G469,0,IF([1]Result_notebook_retravaill!I469+[1]Result_notebook_retravaill!J469&gt;[1]Result_notebook_retravaill!G469,[1]Result_notebook_retravaill!G469-[1]Result_notebook_retravaill!I469,[1]Result_notebook_retravaill!J469))</f>
        <v>212147.53752034827</v>
      </c>
      <c r="L469" s="3">
        <f>IF([1]Result_notebook_retravaill!I469&gt;[1]Result_notebook_retravaill!G469,0,IF([1]Result_notebook_retravaill!I469+[1]Result_notebook_retravaill!J469&gt;[1]Result_notebook_retravaill!G469,0,[1]Result_notebook_retravaill!M469))</f>
        <v>426937.89363762928</v>
      </c>
    </row>
    <row r="470" spans="1:12">
      <c r="A470">
        <f>[1]Result_notebook_retravaill!A470</f>
        <v>2030</v>
      </c>
      <c r="B470" t="str">
        <f>[1]Result_notebook_retravaill!B470</f>
        <v>Copper</v>
      </c>
      <c r="C470" t="str">
        <f>[1]Result_notebook_retravaill!C470</f>
        <v>Canada Net-zero</v>
      </c>
      <c r="D470" t="str">
        <f>[1]Result_notebook_retravaill!D470</f>
        <v>Production potential</v>
      </c>
      <c r="E470" t="str">
        <f>[1]Result_notebook_retravaill!E470</f>
        <v>Current shares</v>
      </c>
      <c r="F470" t="str">
        <f>[1]Result_notebook_retravaill!F470</f>
        <v>Expansion Extractive+Circularity</v>
      </c>
      <c r="G470">
        <f>[1]Result_notebook_retravaill!G470</f>
        <v>999788.1668806962</v>
      </c>
      <c r="H470" s="3">
        <f>IF([1]Result_notebook_retravaill!I470&gt;[1]Result_notebook_retravaill!G470,[1]Result_notebook_retravaill!I470/[1]Result_notebook_retravaill!N470,[1]Result_notebook_retravaill!H470)</f>
        <v>686257.18012875051</v>
      </c>
      <c r="I470" s="3">
        <f>[1]Result_notebook_retravaill!K470</f>
        <v>518306.87635401601</v>
      </c>
      <c r="J470" s="3">
        <f>MIN(G470,[1]Result_notebook_retravaill!I470)</f>
        <v>360702.73572271859</v>
      </c>
      <c r="K470" s="3">
        <f>IF([1]Result_notebook_retravaill!I470&gt;[1]Result_notebook_retravaill!G470,0,IF([1]Result_notebook_retravaill!I470+[1]Result_notebook_retravaill!J470&gt;[1]Result_notebook_retravaill!G470,[1]Result_notebook_retravaill!G470-[1]Result_notebook_retravaill!I470,[1]Result_notebook_retravaill!J470))</f>
        <v>212147.53752034827</v>
      </c>
      <c r="L470" s="3">
        <f>IF([1]Result_notebook_retravaill!I470&gt;[1]Result_notebook_retravaill!G470,0,IF([1]Result_notebook_retravaill!I470+[1]Result_notebook_retravaill!J470&gt;[1]Result_notebook_retravaill!G470,0,[1]Result_notebook_retravaill!M470))</f>
        <v>426937.89363762928</v>
      </c>
    </row>
    <row r="471" spans="1:12">
      <c r="A471">
        <f>[1]Result_notebook_retravaill!A471</f>
        <v>2030</v>
      </c>
      <c r="B471" t="str">
        <f>[1]Result_notebook_retravaill!B471</f>
        <v>Copper</v>
      </c>
      <c r="C471" t="str">
        <f>[1]Result_notebook_retravaill!C471</f>
        <v>Canada Net-zero</v>
      </c>
      <c r="D471" t="str">
        <f>[1]Result_notebook_retravaill!D471</f>
        <v>Production potential</v>
      </c>
      <c r="E471" t="str">
        <f>[1]Result_notebook_retravaill!E471</f>
        <v>100% CAN</v>
      </c>
      <c r="F471" t="str">
        <f>[1]Result_notebook_retravaill!F471</f>
        <v>Integrated</v>
      </c>
      <c r="G471">
        <f>[1]Result_notebook_retravaill!G471</f>
        <v>999788.1668806962</v>
      </c>
      <c r="H471" s="3">
        <f>IF([1]Result_notebook_retravaill!I471&gt;[1]Result_notebook_retravaill!G471,[1]Result_notebook_retravaill!I471/[1]Result_notebook_retravaill!N471,[1]Result_notebook_retravaill!H471)</f>
        <v>686257.18012875051</v>
      </c>
      <c r="I471" s="3">
        <f>[1]Result_notebook_retravaill!K471</f>
        <v>518306.87635401601</v>
      </c>
      <c r="J471" s="3">
        <f>MIN(G471,[1]Result_notebook_retravaill!I471)</f>
        <v>572850.2732430672</v>
      </c>
      <c r="K471" s="3">
        <f>IF([1]Result_notebook_retravaill!I471&gt;[1]Result_notebook_retravaill!G471,0,IF([1]Result_notebook_retravaill!I471+[1]Result_notebook_retravaill!J471&gt;[1]Result_notebook_retravaill!G471,[1]Result_notebook_retravaill!G471-[1]Result_notebook_retravaill!I471,[1]Result_notebook_retravaill!J471))</f>
        <v>0</v>
      </c>
      <c r="L471" s="3">
        <f>IF([1]Result_notebook_retravaill!I471&gt;[1]Result_notebook_retravaill!G471,0,IF([1]Result_notebook_retravaill!I471+[1]Result_notebook_retravaill!J471&gt;[1]Result_notebook_retravaill!G471,0,[1]Result_notebook_retravaill!M471))</f>
        <v>426937.89363762899</v>
      </c>
    </row>
    <row r="472" spans="1:12">
      <c r="A472">
        <f>[1]Result_notebook_retravaill!A472</f>
        <v>2030</v>
      </c>
      <c r="B472" t="str">
        <f>[1]Result_notebook_retravaill!B472</f>
        <v>Copper</v>
      </c>
      <c r="C472" t="str">
        <f>[1]Result_notebook_retravaill!C472</f>
        <v>Current Measures</v>
      </c>
      <c r="D472" t="str">
        <f>[1]Result_notebook_retravaill!D472</f>
        <v>Existing production</v>
      </c>
      <c r="E472" t="str">
        <f>[1]Result_notebook_retravaill!E472</f>
        <v>Current shares</v>
      </c>
      <c r="F472" t="str">
        <f>[1]Result_notebook_retravaill!F472</f>
        <v>NIMBY</v>
      </c>
      <c r="G472">
        <f>[1]Result_notebook_retravaill!G472</f>
        <v>938553.71310400078</v>
      </c>
      <c r="H472" s="3">
        <f>IF([1]Result_notebook_retravaill!I472&gt;[1]Result_notebook_retravaill!G472,[1]Result_notebook_retravaill!I472/[1]Result_notebook_retravaill!N472,[1]Result_notebook_retravaill!H472)</f>
        <v>0</v>
      </c>
      <c r="I472" s="3">
        <f>[1]Result_notebook_retravaill!K472</f>
        <v>1130787.606149398</v>
      </c>
      <c r="J472" s="3">
        <f>MIN(G472,[1]Result_notebook_retravaill!I472)</f>
        <v>0</v>
      </c>
      <c r="K472" s="3">
        <f>IF([1]Result_notebook_retravaill!I472&gt;[1]Result_notebook_retravaill!G472,0,IF([1]Result_notebook_retravaill!I472+[1]Result_notebook_retravaill!J472&gt;[1]Result_notebook_retravaill!G472,[1]Result_notebook_retravaill!G472-[1]Result_notebook_retravaill!I472,[1]Result_notebook_retravaill!J472))</f>
        <v>0</v>
      </c>
      <c r="L472" s="3">
        <f>IF([1]Result_notebook_retravaill!I472&gt;[1]Result_notebook_retravaill!G472,0,IF([1]Result_notebook_retravaill!I472+[1]Result_notebook_retravaill!J472&gt;[1]Result_notebook_retravaill!G472,0,[1]Result_notebook_retravaill!M472))</f>
        <v>938553.71310400078</v>
      </c>
    </row>
    <row r="473" spans="1:12">
      <c r="A473">
        <f>[1]Result_notebook_retravaill!A473</f>
        <v>2030</v>
      </c>
      <c r="B473" t="str">
        <f>[1]Result_notebook_retravaill!B473</f>
        <v>Copper</v>
      </c>
      <c r="C473" t="str">
        <f>[1]Result_notebook_retravaill!C473</f>
        <v>Current Measures</v>
      </c>
      <c r="D473" t="str">
        <f>[1]Result_notebook_retravaill!D473</f>
        <v>Existing production</v>
      </c>
      <c r="E473" t="str">
        <f>[1]Result_notebook_retravaill!E473</f>
        <v>Current shares</v>
      </c>
      <c r="F473" t="str">
        <f>[1]Result_notebook_retravaill!F473</f>
        <v>Status Quo</v>
      </c>
      <c r="G473">
        <f>[1]Result_notebook_retravaill!G473</f>
        <v>938553.71310400078</v>
      </c>
      <c r="H473" s="3">
        <f>IF([1]Result_notebook_retravaill!I473&gt;[1]Result_notebook_retravaill!G473,[1]Result_notebook_retravaill!I473/[1]Result_notebook_retravaill!N473,[1]Result_notebook_retravaill!H473)</f>
        <v>331738</v>
      </c>
      <c r="I473" s="3">
        <f>[1]Result_notebook_retravaill!K473</f>
        <v>799049.60614939849</v>
      </c>
      <c r="J473" s="3">
        <f>MIN(G473,[1]Result_notebook_retravaill!I473)</f>
        <v>174364.3747679751</v>
      </c>
      <c r="K473" s="3">
        <f>IF([1]Result_notebook_retravaill!I473&gt;[1]Result_notebook_retravaill!G473,0,IF([1]Result_notebook_retravaill!I473+[1]Result_notebook_retravaill!J473&gt;[1]Result_notebook_retravaill!G473,[1]Result_notebook_retravaill!G473-[1]Result_notebook_retravaill!I473,[1]Result_notebook_retravaill!J473))</f>
        <v>102552.51506253323</v>
      </c>
      <c r="L473" s="3">
        <f>IF([1]Result_notebook_retravaill!I473&gt;[1]Result_notebook_retravaill!G473,0,IF([1]Result_notebook_retravaill!I473+[1]Result_notebook_retravaill!J473&gt;[1]Result_notebook_retravaill!G473,0,[1]Result_notebook_retravaill!M473))</f>
        <v>661636.82327349251</v>
      </c>
    </row>
    <row r="474" spans="1:12">
      <c r="A474">
        <f>[1]Result_notebook_retravaill!A474</f>
        <v>2030</v>
      </c>
      <c r="B474" t="str">
        <f>[1]Result_notebook_retravaill!B474</f>
        <v>Copper</v>
      </c>
      <c r="C474" t="str">
        <f>[1]Result_notebook_retravaill!C474</f>
        <v>Current Measures</v>
      </c>
      <c r="D474" t="str">
        <f>[1]Result_notebook_retravaill!D474</f>
        <v>Production potential</v>
      </c>
      <c r="E474" t="str">
        <f>[1]Result_notebook_retravaill!E474</f>
        <v>Current shares</v>
      </c>
      <c r="F474" t="str">
        <f>[1]Result_notebook_retravaill!F474</f>
        <v>Expansion Extractive</v>
      </c>
      <c r="G474">
        <f>[1]Result_notebook_retravaill!G474</f>
        <v>938553.71310400078</v>
      </c>
      <c r="H474" s="3">
        <f>IF([1]Result_notebook_retravaill!I474&gt;[1]Result_notebook_retravaill!G474,[1]Result_notebook_retravaill!I474/[1]Result_notebook_retravaill!N474,[1]Result_notebook_retravaill!H474)</f>
        <v>686257.18012875051</v>
      </c>
      <c r="I474" s="3">
        <f>[1]Result_notebook_retravaill!K474</f>
        <v>444530.42602064798</v>
      </c>
      <c r="J474" s="3">
        <f>MIN(G474,[1]Result_notebook_retravaill!I474)</f>
        <v>360702.73572271859</v>
      </c>
      <c r="K474" s="3">
        <f>IF([1]Result_notebook_retravaill!I474&gt;[1]Result_notebook_retravaill!G474,0,IF([1]Result_notebook_retravaill!I474+[1]Result_notebook_retravaill!J474&gt;[1]Result_notebook_retravaill!G474,[1]Result_notebook_retravaill!G474-[1]Result_notebook_retravaill!I474,[1]Result_notebook_retravaill!J474))</f>
        <v>212147.53752034827</v>
      </c>
      <c r="L474" s="3">
        <f>IF([1]Result_notebook_retravaill!I474&gt;[1]Result_notebook_retravaill!G474,0,IF([1]Result_notebook_retravaill!I474+[1]Result_notebook_retravaill!J474&gt;[1]Result_notebook_retravaill!G474,0,[1]Result_notebook_retravaill!M474))</f>
        <v>365703.43986093387</v>
      </c>
    </row>
    <row r="475" spans="1:12">
      <c r="A475">
        <f>[1]Result_notebook_retravaill!A475</f>
        <v>2030</v>
      </c>
      <c r="B475" t="str">
        <f>[1]Result_notebook_retravaill!B475</f>
        <v>Copper</v>
      </c>
      <c r="C475" t="str">
        <f>[1]Result_notebook_retravaill!C475</f>
        <v>Current Measures</v>
      </c>
      <c r="D475" t="str">
        <f>[1]Result_notebook_retravaill!D475</f>
        <v>Production potential</v>
      </c>
      <c r="E475" t="str">
        <f>[1]Result_notebook_retravaill!E475</f>
        <v>Current shares</v>
      </c>
      <c r="F475" t="str">
        <f>[1]Result_notebook_retravaill!F475</f>
        <v>Expansion Extractive+Circularity</v>
      </c>
      <c r="G475">
        <f>[1]Result_notebook_retravaill!G475</f>
        <v>938553.71310400078</v>
      </c>
      <c r="H475" s="3">
        <f>IF([1]Result_notebook_retravaill!I475&gt;[1]Result_notebook_retravaill!G475,[1]Result_notebook_retravaill!I475/[1]Result_notebook_retravaill!N475,[1]Result_notebook_retravaill!H475)</f>
        <v>686257.18012875051</v>
      </c>
      <c r="I475" s="3">
        <f>[1]Result_notebook_retravaill!K475</f>
        <v>444530.42602064798</v>
      </c>
      <c r="J475" s="3">
        <f>MIN(G475,[1]Result_notebook_retravaill!I475)</f>
        <v>360702.73572271859</v>
      </c>
      <c r="K475" s="3">
        <f>IF([1]Result_notebook_retravaill!I475&gt;[1]Result_notebook_retravaill!G475,0,IF([1]Result_notebook_retravaill!I475+[1]Result_notebook_retravaill!J475&gt;[1]Result_notebook_retravaill!G475,[1]Result_notebook_retravaill!G475-[1]Result_notebook_retravaill!I475,[1]Result_notebook_retravaill!J475))</f>
        <v>212147.53752034827</v>
      </c>
      <c r="L475" s="3">
        <f>IF([1]Result_notebook_retravaill!I475&gt;[1]Result_notebook_retravaill!G475,0,IF([1]Result_notebook_retravaill!I475+[1]Result_notebook_retravaill!J475&gt;[1]Result_notebook_retravaill!G475,0,[1]Result_notebook_retravaill!M475))</f>
        <v>365703.43986093387</v>
      </c>
    </row>
    <row r="476" spans="1:12">
      <c r="A476">
        <f>[1]Result_notebook_retravaill!A476</f>
        <v>2030</v>
      </c>
      <c r="B476" t="str">
        <f>[1]Result_notebook_retravaill!B476</f>
        <v>Copper</v>
      </c>
      <c r="C476" t="str">
        <f>[1]Result_notebook_retravaill!C476</f>
        <v>Current Measures</v>
      </c>
      <c r="D476" t="str">
        <f>[1]Result_notebook_retravaill!D476</f>
        <v>Production potential</v>
      </c>
      <c r="E476" t="str">
        <f>[1]Result_notebook_retravaill!E476</f>
        <v>100% CAN</v>
      </c>
      <c r="F476" t="str">
        <f>[1]Result_notebook_retravaill!F476</f>
        <v>Integrated</v>
      </c>
      <c r="G476">
        <f>[1]Result_notebook_retravaill!G476</f>
        <v>938553.71310400078</v>
      </c>
      <c r="H476" s="3">
        <f>IF([1]Result_notebook_retravaill!I476&gt;[1]Result_notebook_retravaill!G476,[1]Result_notebook_retravaill!I476/[1]Result_notebook_retravaill!N476,[1]Result_notebook_retravaill!H476)</f>
        <v>686257.18012875051</v>
      </c>
      <c r="I476" s="3">
        <f>[1]Result_notebook_retravaill!K476</f>
        <v>444530.42602064798</v>
      </c>
      <c r="J476" s="3">
        <f>MIN(G476,[1]Result_notebook_retravaill!I476)</f>
        <v>572850.2732430672</v>
      </c>
      <c r="K476" s="3">
        <f>IF([1]Result_notebook_retravaill!I476&gt;[1]Result_notebook_retravaill!G476,0,IF([1]Result_notebook_retravaill!I476+[1]Result_notebook_retravaill!J476&gt;[1]Result_notebook_retravaill!G476,[1]Result_notebook_retravaill!G476-[1]Result_notebook_retravaill!I476,[1]Result_notebook_retravaill!J476))</f>
        <v>0</v>
      </c>
      <c r="L476" s="3">
        <f>IF([1]Result_notebook_retravaill!I476&gt;[1]Result_notebook_retravaill!G476,0,IF([1]Result_notebook_retravaill!I476+[1]Result_notebook_retravaill!J476&gt;[1]Result_notebook_retravaill!G476,0,[1]Result_notebook_retravaill!M476))</f>
        <v>365703.43986093358</v>
      </c>
    </row>
    <row r="477" spans="1:12">
      <c r="A477">
        <f>[1]Result_notebook_retravaill!A477</f>
        <v>2030</v>
      </c>
      <c r="B477" t="str">
        <f>[1]Result_notebook_retravaill!B477</f>
        <v>Copper</v>
      </c>
      <c r="C477" t="str">
        <f>[1]Result_notebook_retravaill!C477</f>
        <v>Global Net-zero</v>
      </c>
      <c r="D477" t="str">
        <f>[1]Result_notebook_retravaill!D477</f>
        <v>Existing production</v>
      </c>
      <c r="E477" t="str">
        <f>[1]Result_notebook_retravaill!E477</f>
        <v>Current shares</v>
      </c>
      <c r="F477" t="str">
        <f>[1]Result_notebook_retravaill!F477</f>
        <v>NIMBY</v>
      </c>
      <c r="G477">
        <f>[1]Result_notebook_retravaill!G477</f>
        <v>970850.53343822004</v>
      </c>
      <c r="H477" s="3">
        <f>IF([1]Result_notebook_retravaill!I477&gt;[1]Result_notebook_retravaill!G477,[1]Result_notebook_retravaill!I477/[1]Result_notebook_retravaill!N477,[1]Result_notebook_retravaill!H477)</f>
        <v>0</v>
      </c>
      <c r="I477" s="3">
        <f>[1]Result_notebook_retravaill!K477</f>
        <v>1169699.437877374</v>
      </c>
      <c r="J477" s="3">
        <f>MIN(G477,[1]Result_notebook_retravaill!I477)</f>
        <v>0</v>
      </c>
      <c r="K477" s="3">
        <f>IF([1]Result_notebook_retravaill!I477&gt;[1]Result_notebook_retravaill!G477,0,IF([1]Result_notebook_retravaill!I477+[1]Result_notebook_retravaill!J477&gt;[1]Result_notebook_retravaill!G477,[1]Result_notebook_retravaill!G477-[1]Result_notebook_retravaill!I477,[1]Result_notebook_retravaill!J477))</f>
        <v>0</v>
      </c>
      <c r="L477" s="3">
        <f>IF([1]Result_notebook_retravaill!I477&gt;[1]Result_notebook_retravaill!G477,0,IF([1]Result_notebook_retravaill!I477+[1]Result_notebook_retravaill!J477&gt;[1]Result_notebook_retravaill!G477,0,[1]Result_notebook_retravaill!M477))</f>
        <v>970850.53343822004</v>
      </c>
    </row>
    <row r="478" spans="1:12">
      <c r="A478">
        <f>[1]Result_notebook_retravaill!A478</f>
        <v>2030</v>
      </c>
      <c r="B478" t="str">
        <f>[1]Result_notebook_retravaill!B478</f>
        <v>Copper</v>
      </c>
      <c r="C478" t="str">
        <f>[1]Result_notebook_retravaill!C478</f>
        <v>Global Net-zero</v>
      </c>
      <c r="D478" t="str">
        <f>[1]Result_notebook_retravaill!D478</f>
        <v>Existing production</v>
      </c>
      <c r="E478" t="str">
        <f>[1]Result_notebook_retravaill!E478</f>
        <v>Current shares</v>
      </c>
      <c r="F478" t="str">
        <f>[1]Result_notebook_retravaill!F478</f>
        <v>Status Quo</v>
      </c>
      <c r="G478">
        <f>[1]Result_notebook_retravaill!G478</f>
        <v>970850.53343822004</v>
      </c>
      <c r="H478" s="3">
        <f>IF([1]Result_notebook_retravaill!I478&gt;[1]Result_notebook_retravaill!G478,[1]Result_notebook_retravaill!I478/[1]Result_notebook_retravaill!N478,[1]Result_notebook_retravaill!H478)</f>
        <v>331738</v>
      </c>
      <c r="I478" s="3">
        <f>[1]Result_notebook_retravaill!K478</f>
        <v>837961.43787737354</v>
      </c>
      <c r="J478" s="3">
        <f>MIN(G478,[1]Result_notebook_retravaill!I478)</f>
        <v>174364.3747679751</v>
      </c>
      <c r="K478" s="3">
        <f>IF([1]Result_notebook_retravaill!I478&gt;[1]Result_notebook_retravaill!G478,0,IF([1]Result_notebook_retravaill!I478+[1]Result_notebook_retravaill!J478&gt;[1]Result_notebook_retravaill!G478,[1]Result_notebook_retravaill!G478-[1]Result_notebook_retravaill!I478,[1]Result_notebook_retravaill!J478))</f>
        <v>102552.51506253323</v>
      </c>
      <c r="L478" s="3">
        <f>IF([1]Result_notebook_retravaill!I478&gt;[1]Result_notebook_retravaill!G478,0,IF([1]Result_notebook_retravaill!I478+[1]Result_notebook_retravaill!J478&gt;[1]Result_notebook_retravaill!G478,0,[1]Result_notebook_retravaill!M478))</f>
        <v>693933.64360771177</v>
      </c>
    </row>
    <row r="479" spans="1:12">
      <c r="A479">
        <f>[1]Result_notebook_retravaill!A479</f>
        <v>2030</v>
      </c>
      <c r="B479" t="str">
        <f>[1]Result_notebook_retravaill!B479</f>
        <v>Copper</v>
      </c>
      <c r="C479" t="str">
        <f>[1]Result_notebook_retravaill!C479</f>
        <v>Global Net-zero</v>
      </c>
      <c r="D479" t="str">
        <f>[1]Result_notebook_retravaill!D479</f>
        <v>Production potential</v>
      </c>
      <c r="E479" t="str">
        <f>[1]Result_notebook_retravaill!E479</f>
        <v>Current shares</v>
      </c>
      <c r="F479" t="str">
        <f>[1]Result_notebook_retravaill!F479</f>
        <v>Expansion Extractive</v>
      </c>
      <c r="G479">
        <f>[1]Result_notebook_retravaill!G479</f>
        <v>970850.53343822004</v>
      </c>
      <c r="H479" s="3">
        <f>IF([1]Result_notebook_retravaill!I479&gt;[1]Result_notebook_retravaill!G479,[1]Result_notebook_retravaill!I479/[1]Result_notebook_retravaill!N479,[1]Result_notebook_retravaill!H479)</f>
        <v>686257.18012875051</v>
      </c>
      <c r="I479" s="3">
        <f>[1]Result_notebook_retravaill!K479</f>
        <v>483442.25774862297</v>
      </c>
      <c r="J479" s="3">
        <f>MIN(G479,[1]Result_notebook_retravaill!I479)</f>
        <v>360702.73572271859</v>
      </c>
      <c r="K479" s="3">
        <f>IF([1]Result_notebook_retravaill!I479&gt;[1]Result_notebook_retravaill!G479,0,IF([1]Result_notebook_retravaill!I479+[1]Result_notebook_retravaill!J479&gt;[1]Result_notebook_retravaill!G479,[1]Result_notebook_retravaill!G479-[1]Result_notebook_retravaill!I479,[1]Result_notebook_retravaill!J479))</f>
        <v>212147.53752034827</v>
      </c>
      <c r="L479" s="3">
        <f>IF([1]Result_notebook_retravaill!I479&gt;[1]Result_notebook_retravaill!G479,0,IF([1]Result_notebook_retravaill!I479+[1]Result_notebook_retravaill!J479&gt;[1]Result_notebook_retravaill!G479,0,[1]Result_notebook_retravaill!M479))</f>
        <v>398000.26019515313</v>
      </c>
    </row>
    <row r="480" spans="1:12">
      <c r="A480">
        <f>[1]Result_notebook_retravaill!A480</f>
        <v>2030</v>
      </c>
      <c r="B480" t="str">
        <f>[1]Result_notebook_retravaill!B480</f>
        <v>Copper</v>
      </c>
      <c r="C480" t="str">
        <f>[1]Result_notebook_retravaill!C480</f>
        <v>Global Net-zero</v>
      </c>
      <c r="D480" t="str">
        <f>[1]Result_notebook_retravaill!D480</f>
        <v>Production potential</v>
      </c>
      <c r="E480" t="str">
        <f>[1]Result_notebook_retravaill!E480</f>
        <v>Current shares</v>
      </c>
      <c r="F480" t="str">
        <f>[1]Result_notebook_retravaill!F480</f>
        <v>Expansion Extractive+Circularity</v>
      </c>
      <c r="G480">
        <f>[1]Result_notebook_retravaill!G480</f>
        <v>970850.53343822004</v>
      </c>
      <c r="H480" s="3">
        <f>IF([1]Result_notebook_retravaill!I480&gt;[1]Result_notebook_retravaill!G480,[1]Result_notebook_retravaill!I480/[1]Result_notebook_retravaill!N480,[1]Result_notebook_retravaill!H480)</f>
        <v>686257.18012875051</v>
      </c>
      <c r="I480" s="3">
        <f>[1]Result_notebook_retravaill!K480</f>
        <v>483442.25774862297</v>
      </c>
      <c r="J480" s="3">
        <f>MIN(G480,[1]Result_notebook_retravaill!I480)</f>
        <v>360702.73572271859</v>
      </c>
      <c r="K480" s="3">
        <f>IF([1]Result_notebook_retravaill!I480&gt;[1]Result_notebook_retravaill!G480,0,IF([1]Result_notebook_retravaill!I480+[1]Result_notebook_retravaill!J480&gt;[1]Result_notebook_retravaill!G480,[1]Result_notebook_retravaill!G480-[1]Result_notebook_retravaill!I480,[1]Result_notebook_retravaill!J480))</f>
        <v>212147.53752034827</v>
      </c>
      <c r="L480" s="3">
        <f>IF([1]Result_notebook_retravaill!I480&gt;[1]Result_notebook_retravaill!G480,0,IF([1]Result_notebook_retravaill!I480+[1]Result_notebook_retravaill!J480&gt;[1]Result_notebook_retravaill!G480,0,[1]Result_notebook_retravaill!M480))</f>
        <v>398000.26019515313</v>
      </c>
    </row>
    <row r="481" spans="1:12">
      <c r="A481">
        <f>[1]Result_notebook_retravaill!A481</f>
        <v>2030</v>
      </c>
      <c r="B481" t="str">
        <f>[1]Result_notebook_retravaill!B481</f>
        <v>Copper</v>
      </c>
      <c r="C481" t="str">
        <f>[1]Result_notebook_retravaill!C481</f>
        <v>Global Net-zero</v>
      </c>
      <c r="D481" t="str">
        <f>[1]Result_notebook_retravaill!D481</f>
        <v>Production potential</v>
      </c>
      <c r="E481" t="str">
        <f>[1]Result_notebook_retravaill!E481</f>
        <v>100% CAN</v>
      </c>
      <c r="F481" t="str">
        <f>[1]Result_notebook_retravaill!F481</f>
        <v>Integrated</v>
      </c>
      <c r="G481">
        <f>[1]Result_notebook_retravaill!G481</f>
        <v>970850.53343822004</v>
      </c>
      <c r="H481" s="3">
        <f>IF([1]Result_notebook_retravaill!I481&gt;[1]Result_notebook_retravaill!G481,[1]Result_notebook_retravaill!I481/[1]Result_notebook_retravaill!N481,[1]Result_notebook_retravaill!H481)</f>
        <v>686257.18012875051</v>
      </c>
      <c r="I481" s="3">
        <f>[1]Result_notebook_retravaill!K481</f>
        <v>483442.25774862297</v>
      </c>
      <c r="J481" s="3">
        <f>MIN(G481,[1]Result_notebook_retravaill!I481)</f>
        <v>572850.2732430672</v>
      </c>
      <c r="K481" s="3">
        <f>IF([1]Result_notebook_retravaill!I481&gt;[1]Result_notebook_retravaill!G481,0,IF([1]Result_notebook_retravaill!I481+[1]Result_notebook_retravaill!J481&gt;[1]Result_notebook_retravaill!G481,[1]Result_notebook_retravaill!G481-[1]Result_notebook_retravaill!I481,[1]Result_notebook_retravaill!J481))</f>
        <v>0</v>
      </c>
      <c r="L481" s="3">
        <f>IF([1]Result_notebook_retravaill!I481&gt;[1]Result_notebook_retravaill!G481,0,IF([1]Result_notebook_retravaill!I481+[1]Result_notebook_retravaill!J481&gt;[1]Result_notebook_retravaill!G481,0,[1]Result_notebook_retravaill!M481))</f>
        <v>398000.26019515278</v>
      </c>
    </row>
    <row r="482" spans="1:12">
      <c r="A482">
        <f>[1]Result_notebook_retravaill!A482</f>
        <v>2030</v>
      </c>
      <c r="B482" t="str">
        <f>[1]Result_notebook_retravaill!B482</f>
        <v>Neodymium</v>
      </c>
      <c r="C482" t="str">
        <f>[1]Result_notebook_retravaill!C482</f>
        <v>Canada Net-zero</v>
      </c>
      <c r="D482" t="str">
        <f>[1]Result_notebook_retravaill!D482</f>
        <v>Existing production</v>
      </c>
      <c r="E482" t="str">
        <f>[1]Result_notebook_retravaill!E482</f>
        <v>Current shares</v>
      </c>
      <c r="F482" t="str">
        <f>[1]Result_notebook_retravaill!F482</f>
        <v>NIMBY</v>
      </c>
      <c r="G482">
        <f>[1]Result_notebook_retravaill!G482</f>
        <v>2154.8829337155262</v>
      </c>
      <c r="H482" s="3">
        <f>IF([1]Result_notebook_retravaill!I482&gt;[1]Result_notebook_retravaill!G482,[1]Result_notebook_retravaill!I482/[1]Result_notebook_retravaill!N482,[1]Result_notebook_retravaill!H482)</f>
        <v>0</v>
      </c>
      <c r="I482" s="3">
        <f>[1]Result_notebook_retravaill!K482</f>
        <v>3591.4715561925441</v>
      </c>
      <c r="J482" s="3">
        <f>MIN(G482,[1]Result_notebook_retravaill!I482)</f>
        <v>0</v>
      </c>
      <c r="K482" s="3">
        <f>IF([1]Result_notebook_retravaill!I482&gt;[1]Result_notebook_retravaill!G482,0,IF([1]Result_notebook_retravaill!I482+[1]Result_notebook_retravaill!J482&gt;[1]Result_notebook_retravaill!G482,[1]Result_notebook_retravaill!G482-[1]Result_notebook_retravaill!I482,[1]Result_notebook_retravaill!J482))</f>
        <v>0</v>
      </c>
      <c r="L482" s="3">
        <f>IF([1]Result_notebook_retravaill!I482&gt;[1]Result_notebook_retravaill!G482,0,IF([1]Result_notebook_retravaill!I482+[1]Result_notebook_retravaill!J482&gt;[1]Result_notebook_retravaill!G482,0,[1]Result_notebook_retravaill!M482))</f>
        <v>2154.8829337155262</v>
      </c>
    </row>
    <row r="483" spans="1:12">
      <c r="A483">
        <f>[1]Result_notebook_retravaill!A483</f>
        <v>2030</v>
      </c>
      <c r="B483" t="str">
        <f>[1]Result_notebook_retravaill!B483</f>
        <v>Neodymium</v>
      </c>
      <c r="C483" t="str">
        <f>[1]Result_notebook_retravaill!C483</f>
        <v>Canada Net-zero</v>
      </c>
      <c r="D483" t="str">
        <f>[1]Result_notebook_retravaill!D483</f>
        <v>Existing production</v>
      </c>
      <c r="E483" t="str">
        <f>[1]Result_notebook_retravaill!E483</f>
        <v>Current shares</v>
      </c>
      <c r="F483" t="str">
        <f>[1]Result_notebook_retravaill!F483</f>
        <v>Status Quo</v>
      </c>
      <c r="G483">
        <f>[1]Result_notebook_retravaill!G483</f>
        <v>2154.8829337155262</v>
      </c>
      <c r="H483" s="3">
        <f>IF([1]Result_notebook_retravaill!I483&gt;[1]Result_notebook_retravaill!G483,[1]Result_notebook_retravaill!I483/[1]Result_notebook_retravaill!N483,[1]Result_notebook_retravaill!H483)</f>
        <v>0</v>
      </c>
      <c r="I483" s="3">
        <f>[1]Result_notebook_retravaill!K483</f>
        <v>3591.4715561925441</v>
      </c>
      <c r="J483" s="3">
        <f>MIN(G483,[1]Result_notebook_retravaill!I483)</f>
        <v>0</v>
      </c>
      <c r="K483" s="3">
        <f>IF([1]Result_notebook_retravaill!I483&gt;[1]Result_notebook_retravaill!G483,0,IF([1]Result_notebook_retravaill!I483+[1]Result_notebook_retravaill!J483&gt;[1]Result_notebook_retravaill!G483,[1]Result_notebook_retravaill!G483-[1]Result_notebook_retravaill!I483,[1]Result_notebook_retravaill!J483))</f>
        <v>0</v>
      </c>
      <c r="L483" s="3">
        <f>IF([1]Result_notebook_retravaill!I483&gt;[1]Result_notebook_retravaill!G483,0,IF([1]Result_notebook_retravaill!I483+[1]Result_notebook_retravaill!J483&gt;[1]Result_notebook_retravaill!G483,0,[1]Result_notebook_retravaill!M483))</f>
        <v>2154.8829337155262</v>
      </c>
    </row>
    <row r="484" spans="1:12">
      <c r="A484">
        <f>[1]Result_notebook_retravaill!A484</f>
        <v>2030</v>
      </c>
      <c r="B484" t="str">
        <f>[1]Result_notebook_retravaill!B484</f>
        <v>Neodymium</v>
      </c>
      <c r="C484" t="str">
        <f>[1]Result_notebook_retravaill!C484</f>
        <v>Canada Net-zero</v>
      </c>
      <c r="D484" t="str">
        <f>[1]Result_notebook_retravaill!D484</f>
        <v>Production potential</v>
      </c>
      <c r="E484" t="str">
        <f>[1]Result_notebook_retravaill!E484</f>
        <v>Current shares</v>
      </c>
      <c r="F484" t="str">
        <f>[1]Result_notebook_retravaill!F484</f>
        <v>Expansion Extractive</v>
      </c>
      <c r="G484">
        <f>[1]Result_notebook_retravaill!G484</f>
        <v>2154.8829337155262</v>
      </c>
      <c r="H484" s="3">
        <f>IF([1]Result_notebook_retravaill!I484&gt;[1]Result_notebook_retravaill!G484,[1]Result_notebook_retravaill!I484/[1]Result_notebook_retravaill!N484,[1]Result_notebook_retravaill!H484)</f>
        <v>14.8330257144349</v>
      </c>
      <c r="I484" s="3">
        <f>[1]Result_notebook_retravaill!K484</f>
        <v>3576.6385304781088</v>
      </c>
      <c r="J484" s="3">
        <f>MIN(G484,[1]Result_notebook_retravaill!I484)</f>
        <v>8.878217267431701</v>
      </c>
      <c r="K484" s="3">
        <f>IF([1]Result_notebook_retravaill!I484&gt;[1]Result_notebook_retravaill!G484,0,IF([1]Result_notebook_retravaill!I484+[1]Result_notebook_retravaill!J484&gt;[1]Result_notebook_retravaill!G484,[1]Result_notebook_retravaill!G484-[1]Result_notebook_retravaill!I484,[1]Result_notebook_retravaill!J484))</f>
        <v>5.9548084470031988</v>
      </c>
      <c r="L484" s="3">
        <f>IF([1]Result_notebook_retravaill!I484&gt;[1]Result_notebook_retravaill!G484,0,IF([1]Result_notebook_retravaill!I484+[1]Result_notebook_retravaill!J484&gt;[1]Result_notebook_retravaill!G484,0,[1]Result_notebook_retravaill!M484))</f>
        <v>2140.0499080010904</v>
      </c>
    </row>
    <row r="485" spans="1:12">
      <c r="A485">
        <f>[1]Result_notebook_retravaill!A485</f>
        <v>2030</v>
      </c>
      <c r="B485" t="str">
        <f>[1]Result_notebook_retravaill!B485</f>
        <v>Neodymium</v>
      </c>
      <c r="C485" t="str">
        <f>[1]Result_notebook_retravaill!C485</f>
        <v>Canada Net-zero</v>
      </c>
      <c r="D485" t="str">
        <f>[1]Result_notebook_retravaill!D485</f>
        <v>Production potential</v>
      </c>
      <c r="E485" t="str">
        <f>[1]Result_notebook_retravaill!E485</f>
        <v>Current shares</v>
      </c>
      <c r="F485" t="str">
        <f>[1]Result_notebook_retravaill!F485</f>
        <v>Expansion Extractive+Circularity</v>
      </c>
      <c r="G485">
        <f>[1]Result_notebook_retravaill!G485</f>
        <v>2154.8829337155262</v>
      </c>
      <c r="H485" s="3">
        <f>IF([1]Result_notebook_retravaill!I485&gt;[1]Result_notebook_retravaill!G485,[1]Result_notebook_retravaill!I485/[1]Result_notebook_retravaill!N485,[1]Result_notebook_retravaill!H485)</f>
        <v>14.8330257144349</v>
      </c>
      <c r="I485" s="3">
        <f>[1]Result_notebook_retravaill!K485</f>
        <v>3576.6385304781088</v>
      </c>
      <c r="J485" s="3">
        <f>MIN(G485,[1]Result_notebook_retravaill!I485)</f>
        <v>8.878217267431701</v>
      </c>
      <c r="K485" s="3">
        <f>IF([1]Result_notebook_retravaill!I485&gt;[1]Result_notebook_retravaill!G485,0,IF([1]Result_notebook_retravaill!I485+[1]Result_notebook_retravaill!J485&gt;[1]Result_notebook_retravaill!G485,[1]Result_notebook_retravaill!G485-[1]Result_notebook_retravaill!I485,[1]Result_notebook_retravaill!J485))</f>
        <v>5.9548084470031988</v>
      </c>
      <c r="L485" s="3">
        <f>IF([1]Result_notebook_retravaill!I485&gt;[1]Result_notebook_retravaill!G485,0,IF([1]Result_notebook_retravaill!I485+[1]Result_notebook_retravaill!J485&gt;[1]Result_notebook_retravaill!G485,0,[1]Result_notebook_retravaill!M485))</f>
        <v>2140.0499080010904</v>
      </c>
    </row>
    <row r="486" spans="1:12">
      <c r="A486">
        <f>[1]Result_notebook_retravaill!A486</f>
        <v>2030</v>
      </c>
      <c r="B486" t="str">
        <f>[1]Result_notebook_retravaill!B486</f>
        <v>Neodymium</v>
      </c>
      <c r="C486" t="str">
        <f>[1]Result_notebook_retravaill!C486</f>
        <v>Canada Net-zero</v>
      </c>
      <c r="D486" t="str">
        <f>[1]Result_notebook_retravaill!D486</f>
        <v>Production potential</v>
      </c>
      <c r="E486" t="str">
        <f>[1]Result_notebook_retravaill!E486</f>
        <v>100% CAN</v>
      </c>
      <c r="F486" t="str">
        <f>[1]Result_notebook_retravaill!F486</f>
        <v>Integrated</v>
      </c>
      <c r="G486">
        <f>[1]Result_notebook_retravaill!G486</f>
        <v>2154.8829337155262</v>
      </c>
      <c r="H486" s="3">
        <f>IF([1]Result_notebook_retravaill!I486&gt;[1]Result_notebook_retravaill!G486,[1]Result_notebook_retravaill!I486/[1]Result_notebook_retravaill!N486,[1]Result_notebook_retravaill!H486)</f>
        <v>14.8330257144349</v>
      </c>
      <c r="I486" s="3">
        <f>[1]Result_notebook_retravaill!K486</f>
        <v>3576.6385304781088</v>
      </c>
      <c r="J486" s="3">
        <f>MIN(G486,[1]Result_notebook_retravaill!I486)</f>
        <v>8.878217267431701</v>
      </c>
      <c r="K486" s="3">
        <f>IF([1]Result_notebook_retravaill!I486&gt;[1]Result_notebook_retravaill!G486,0,IF([1]Result_notebook_retravaill!I486+[1]Result_notebook_retravaill!J486&gt;[1]Result_notebook_retravaill!G486,[1]Result_notebook_retravaill!G486-[1]Result_notebook_retravaill!I486,[1]Result_notebook_retravaill!J486))</f>
        <v>5.9548084470031988</v>
      </c>
      <c r="L486" s="3">
        <f>IF([1]Result_notebook_retravaill!I486&gt;[1]Result_notebook_retravaill!G486,0,IF([1]Result_notebook_retravaill!I486+[1]Result_notebook_retravaill!J486&gt;[1]Result_notebook_retravaill!G486,0,[1]Result_notebook_retravaill!M486))</f>
        <v>2140.0499080010904</v>
      </c>
    </row>
    <row r="487" spans="1:12">
      <c r="A487">
        <f>[1]Result_notebook_retravaill!A487</f>
        <v>2030</v>
      </c>
      <c r="B487" t="str">
        <f>[1]Result_notebook_retravaill!B487</f>
        <v>Neodymium</v>
      </c>
      <c r="C487" t="str">
        <f>[1]Result_notebook_retravaill!C487</f>
        <v>Current Measures</v>
      </c>
      <c r="D487" t="str">
        <f>[1]Result_notebook_retravaill!D487</f>
        <v>Existing production</v>
      </c>
      <c r="E487" t="str">
        <f>[1]Result_notebook_retravaill!E487</f>
        <v>Current shares</v>
      </c>
      <c r="F487" t="str">
        <f>[1]Result_notebook_retravaill!F487</f>
        <v>NIMBY</v>
      </c>
      <c r="G487">
        <f>[1]Result_notebook_retravaill!G487</f>
        <v>874.53250184739602</v>
      </c>
      <c r="H487" s="3">
        <f>IF([1]Result_notebook_retravaill!I487&gt;[1]Result_notebook_retravaill!G487,[1]Result_notebook_retravaill!I487/[1]Result_notebook_retravaill!N487,[1]Result_notebook_retravaill!H487)</f>
        <v>0</v>
      </c>
      <c r="I487" s="3">
        <f>[1]Result_notebook_retravaill!K487</f>
        <v>1457.5541697456599</v>
      </c>
      <c r="J487" s="3">
        <f>MIN(G487,[1]Result_notebook_retravaill!I487)</f>
        <v>0</v>
      </c>
      <c r="K487" s="3">
        <f>IF([1]Result_notebook_retravaill!I487&gt;[1]Result_notebook_retravaill!G487,0,IF([1]Result_notebook_retravaill!I487+[1]Result_notebook_retravaill!J487&gt;[1]Result_notebook_retravaill!G487,[1]Result_notebook_retravaill!G487-[1]Result_notebook_retravaill!I487,[1]Result_notebook_retravaill!J487))</f>
        <v>0</v>
      </c>
      <c r="L487" s="3">
        <f>IF([1]Result_notebook_retravaill!I487&gt;[1]Result_notebook_retravaill!G487,0,IF([1]Result_notebook_retravaill!I487+[1]Result_notebook_retravaill!J487&gt;[1]Result_notebook_retravaill!G487,0,[1]Result_notebook_retravaill!M487))</f>
        <v>874.53250184739602</v>
      </c>
    </row>
    <row r="488" spans="1:12">
      <c r="A488">
        <f>[1]Result_notebook_retravaill!A488</f>
        <v>2030</v>
      </c>
      <c r="B488" t="str">
        <f>[1]Result_notebook_retravaill!B488</f>
        <v>Neodymium</v>
      </c>
      <c r="C488" t="str">
        <f>[1]Result_notebook_retravaill!C488</f>
        <v>Current Measures</v>
      </c>
      <c r="D488" t="str">
        <f>[1]Result_notebook_retravaill!D488</f>
        <v>Existing production</v>
      </c>
      <c r="E488" t="str">
        <f>[1]Result_notebook_retravaill!E488</f>
        <v>Current shares</v>
      </c>
      <c r="F488" t="str">
        <f>[1]Result_notebook_retravaill!F488</f>
        <v>Status Quo</v>
      </c>
      <c r="G488">
        <f>[1]Result_notebook_retravaill!G488</f>
        <v>874.53250184739602</v>
      </c>
      <c r="H488" s="3">
        <f>IF([1]Result_notebook_retravaill!I488&gt;[1]Result_notebook_retravaill!G488,[1]Result_notebook_retravaill!I488/[1]Result_notebook_retravaill!N488,[1]Result_notebook_retravaill!H488)</f>
        <v>0</v>
      </c>
      <c r="I488" s="3">
        <f>[1]Result_notebook_retravaill!K488</f>
        <v>1457.5541697456599</v>
      </c>
      <c r="J488" s="3">
        <f>MIN(G488,[1]Result_notebook_retravaill!I488)</f>
        <v>0</v>
      </c>
      <c r="K488" s="3">
        <f>IF([1]Result_notebook_retravaill!I488&gt;[1]Result_notebook_retravaill!G488,0,IF([1]Result_notebook_retravaill!I488+[1]Result_notebook_retravaill!J488&gt;[1]Result_notebook_retravaill!G488,[1]Result_notebook_retravaill!G488-[1]Result_notebook_retravaill!I488,[1]Result_notebook_retravaill!J488))</f>
        <v>0</v>
      </c>
      <c r="L488" s="3">
        <f>IF([1]Result_notebook_retravaill!I488&gt;[1]Result_notebook_retravaill!G488,0,IF([1]Result_notebook_retravaill!I488+[1]Result_notebook_retravaill!J488&gt;[1]Result_notebook_retravaill!G488,0,[1]Result_notebook_retravaill!M488))</f>
        <v>874.53250184739602</v>
      </c>
    </row>
    <row r="489" spans="1:12">
      <c r="A489">
        <f>[1]Result_notebook_retravaill!A489</f>
        <v>2030</v>
      </c>
      <c r="B489" t="str">
        <f>[1]Result_notebook_retravaill!B489</f>
        <v>Neodymium</v>
      </c>
      <c r="C489" t="str">
        <f>[1]Result_notebook_retravaill!C489</f>
        <v>Current Measures</v>
      </c>
      <c r="D489" t="str">
        <f>[1]Result_notebook_retravaill!D489</f>
        <v>Production potential</v>
      </c>
      <c r="E489" t="str">
        <f>[1]Result_notebook_retravaill!E489</f>
        <v>Current shares</v>
      </c>
      <c r="F489" t="str">
        <f>[1]Result_notebook_retravaill!F489</f>
        <v>Expansion Extractive</v>
      </c>
      <c r="G489">
        <f>[1]Result_notebook_retravaill!G489</f>
        <v>874.53250184739602</v>
      </c>
      <c r="H489" s="3">
        <f>IF([1]Result_notebook_retravaill!I489&gt;[1]Result_notebook_retravaill!G489,[1]Result_notebook_retravaill!I489/[1]Result_notebook_retravaill!N489,[1]Result_notebook_retravaill!H489)</f>
        <v>14.8330257144349</v>
      </c>
      <c r="I489" s="3">
        <f>[1]Result_notebook_retravaill!K489</f>
        <v>1442.7211440312251</v>
      </c>
      <c r="J489" s="3">
        <f>MIN(G489,[1]Result_notebook_retravaill!I489)</f>
        <v>8.878217267431701</v>
      </c>
      <c r="K489" s="3">
        <f>IF([1]Result_notebook_retravaill!I489&gt;[1]Result_notebook_retravaill!G489,0,IF([1]Result_notebook_retravaill!I489+[1]Result_notebook_retravaill!J489&gt;[1]Result_notebook_retravaill!G489,[1]Result_notebook_retravaill!G489-[1]Result_notebook_retravaill!I489,[1]Result_notebook_retravaill!J489))</f>
        <v>5.9548084470031988</v>
      </c>
      <c r="L489" s="3">
        <f>IF([1]Result_notebook_retravaill!I489&gt;[1]Result_notebook_retravaill!G489,0,IF([1]Result_notebook_retravaill!I489+[1]Result_notebook_retravaill!J489&gt;[1]Result_notebook_retravaill!G489,0,[1]Result_notebook_retravaill!M489))</f>
        <v>859.69947613296108</v>
      </c>
    </row>
    <row r="490" spans="1:12">
      <c r="A490">
        <f>[1]Result_notebook_retravaill!A490</f>
        <v>2030</v>
      </c>
      <c r="B490" t="str">
        <f>[1]Result_notebook_retravaill!B490</f>
        <v>Neodymium</v>
      </c>
      <c r="C490" t="str">
        <f>[1]Result_notebook_retravaill!C490</f>
        <v>Current Measures</v>
      </c>
      <c r="D490" t="str">
        <f>[1]Result_notebook_retravaill!D490</f>
        <v>Production potential</v>
      </c>
      <c r="E490" t="str">
        <f>[1]Result_notebook_retravaill!E490</f>
        <v>Current shares</v>
      </c>
      <c r="F490" t="str">
        <f>[1]Result_notebook_retravaill!F490</f>
        <v>Expansion Extractive+Circularity</v>
      </c>
      <c r="G490">
        <f>[1]Result_notebook_retravaill!G490</f>
        <v>874.53250184739602</v>
      </c>
      <c r="H490" s="3">
        <f>IF([1]Result_notebook_retravaill!I490&gt;[1]Result_notebook_retravaill!G490,[1]Result_notebook_retravaill!I490/[1]Result_notebook_retravaill!N490,[1]Result_notebook_retravaill!H490)</f>
        <v>14.8330257144349</v>
      </c>
      <c r="I490" s="3">
        <f>[1]Result_notebook_retravaill!K490</f>
        <v>1442.7211440312251</v>
      </c>
      <c r="J490" s="3">
        <f>MIN(G490,[1]Result_notebook_retravaill!I490)</f>
        <v>8.878217267431701</v>
      </c>
      <c r="K490" s="3">
        <f>IF([1]Result_notebook_retravaill!I490&gt;[1]Result_notebook_retravaill!G490,0,IF([1]Result_notebook_retravaill!I490+[1]Result_notebook_retravaill!J490&gt;[1]Result_notebook_retravaill!G490,[1]Result_notebook_retravaill!G490-[1]Result_notebook_retravaill!I490,[1]Result_notebook_retravaill!J490))</f>
        <v>5.9548084470031988</v>
      </c>
      <c r="L490" s="3">
        <f>IF([1]Result_notebook_retravaill!I490&gt;[1]Result_notebook_retravaill!G490,0,IF([1]Result_notebook_retravaill!I490+[1]Result_notebook_retravaill!J490&gt;[1]Result_notebook_retravaill!G490,0,[1]Result_notebook_retravaill!M490))</f>
        <v>859.69947613296108</v>
      </c>
    </row>
    <row r="491" spans="1:12">
      <c r="A491">
        <f>[1]Result_notebook_retravaill!A491</f>
        <v>2030</v>
      </c>
      <c r="B491" t="str">
        <f>[1]Result_notebook_retravaill!B491</f>
        <v>Neodymium</v>
      </c>
      <c r="C491" t="str">
        <f>[1]Result_notebook_retravaill!C491</f>
        <v>Current Measures</v>
      </c>
      <c r="D491" t="str">
        <f>[1]Result_notebook_retravaill!D491</f>
        <v>Production potential</v>
      </c>
      <c r="E491" t="str">
        <f>[1]Result_notebook_retravaill!E491</f>
        <v>100% CAN</v>
      </c>
      <c r="F491" t="str">
        <f>[1]Result_notebook_retravaill!F491</f>
        <v>Integrated</v>
      </c>
      <c r="G491">
        <f>[1]Result_notebook_retravaill!G491</f>
        <v>874.53250184739602</v>
      </c>
      <c r="H491" s="3">
        <f>IF([1]Result_notebook_retravaill!I491&gt;[1]Result_notebook_retravaill!G491,[1]Result_notebook_retravaill!I491/[1]Result_notebook_retravaill!N491,[1]Result_notebook_retravaill!H491)</f>
        <v>14.8330257144349</v>
      </c>
      <c r="I491" s="3">
        <f>[1]Result_notebook_retravaill!K491</f>
        <v>1442.7211440312251</v>
      </c>
      <c r="J491" s="3">
        <f>MIN(G491,[1]Result_notebook_retravaill!I491)</f>
        <v>8.878217267431701</v>
      </c>
      <c r="K491" s="3">
        <f>IF([1]Result_notebook_retravaill!I491&gt;[1]Result_notebook_retravaill!G491,0,IF([1]Result_notebook_retravaill!I491+[1]Result_notebook_retravaill!J491&gt;[1]Result_notebook_retravaill!G491,[1]Result_notebook_retravaill!G491-[1]Result_notebook_retravaill!I491,[1]Result_notebook_retravaill!J491))</f>
        <v>5.9548084470031988</v>
      </c>
      <c r="L491" s="3">
        <f>IF([1]Result_notebook_retravaill!I491&gt;[1]Result_notebook_retravaill!G491,0,IF([1]Result_notebook_retravaill!I491+[1]Result_notebook_retravaill!J491&gt;[1]Result_notebook_retravaill!G491,0,[1]Result_notebook_retravaill!M491))</f>
        <v>859.69947613296108</v>
      </c>
    </row>
    <row r="492" spans="1:12">
      <c r="A492">
        <f>[1]Result_notebook_retravaill!A492</f>
        <v>2030</v>
      </c>
      <c r="B492" t="str">
        <f>[1]Result_notebook_retravaill!B492</f>
        <v>Neodymium</v>
      </c>
      <c r="C492" t="str">
        <f>[1]Result_notebook_retravaill!C492</f>
        <v>Global Net-zero</v>
      </c>
      <c r="D492" t="str">
        <f>[1]Result_notebook_retravaill!D492</f>
        <v>Existing production</v>
      </c>
      <c r="E492" t="str">
        <f>[1]Result_notebook_retravaill!E492</f>
        <v>Current shares</v>
      </c>
      <c r="F492" t="str">
        <f>[1]Result_notebook_retravaill!F492</f>
        <v>NIMBY</v>
      </c>
      <c r="G492">
        <f>[1]Result_notebook_retravaill!G492</f>
        <v>2060.9784695548619</v>
      </c>
      <c r="H492" s="3">
        <f>IF([1]Result_notebook_retravaill!I492&gt;[1]Result_notebook_retravaill!G492,[1]Result_notebook_retravaill!I492/[1]Result_notebook_retravaill!N492,[1]Result_notebook_retravaill!H492)</f>
        <v>0</v>
      </c>
      <c r="I492" s="3">
        <f>[1]Result_notebook_retravaill!K492</f>
        <v>3434.9641159247699</v>
      </c>
      <c r="J492" s="3">
        <f>MIN(G492,[1]Result_notebook_retravaill!I492)</f>
        <v>0</v>
      </c>
      <c r="K492" s="3">
        <f>IF([1]Result_notebook_retravaill!I492&gt;[1]Result_notebook_retravaill!G492,0,IF([1]Result_notebook_retravaill!I492+[1]Result_notebook_retravaill!J492&gt;[1]Result_notebook_retravaill!G492,[1]Result_notebook_retravaill!G492-[1]Result_notebook_retravaill!I492,[1]Result_notebook_retravaill!J492))</f>
        <v>0</v>
      </c>
      <c r="L492" s="3">
        <f>IF([1]Result_notebook_retravaill!I492&gt;[1]Result_notebook_retravaill!G492,0,IF([1]Result_notebook_retravaill!I492+[1]Result_notebook_retravaill!J492&gt;[1]Result_notebook_retravaill!G492,0,[1]Result_notebook_retravaill!M492))</f>
        <v>2060.9784695548619</v>
      </c>
    </row>
    <row r="493" spans="1:12">
      <c r="A493">
        <f>[1]Result_notebook_retravaill!A493</f>
        <v>2030</v>
      </c>
      <c r="B493" t="str">
        <f>[1]Result_notebook_retravaill!B493</f>
        <v>Neodymium</v>
      </c>
      <c r="C493" t="str">
        <f>[1]Result_notebook_retravaill!C493</f>
        <v>Global Net-zero</v>
      </c>
      <c r="D493" t="str">
        <f>[1]Result_notebook_retravaill!D493</f>
        <v>Existing production</v>
      </c>
      <c r="E493" t="str">
        <f>[1]Result_notebook_retravaill!E493</f>
        <v>Current shares</v>
      </c>
      <c r="F493" t="str">
        <f>[1]Result_notebook_retravaill!F493</f>
        <v>Status Quo</v>
      </c>
      <c r="G493">
        <f>[1]Result_notebook_retravaill!G493</f>
        <v>2060.9784695548619</v>
      </c>
      <c r="H493" s="3">
        <f>IF([1]Result_notebook_retravaill!I493&gt;[1]Result_notebook_retravaill!G493,[1]Result_notebook_retravaill!I493/[1]Result_notebook_retravaill!N493,[1]Result_notebook_retravaill!H493)</f>
        <v>0</v>
      </c>
      <c r="I493" s="3">
        <f>[1]Result_notebook_retravaill!K493</f>
        <v>3434.9641159247699</v>
      </c>
      <c r="J493" s="3">
        <f>MIN(G493,[1]Result_notebook_retravaill!I493)</f>
        <v>0</v>
      </c>
      <c r="K493" s="3">
        <f>IF([1]Result_notebook_retravaill!I493&gt;[1]Result_notebook_retravaill!G493,0,IF([1]Result_notebook_retravaill!I493+[1]Result_notebook_retravaill!J493&gt;[1]Result_notebook_retravaill!G493,[1]Result_notebook_retravaill!G493-[1]Result_notebook_retravaill!I493,[1]Result_notebook_retravaill!J493))</f>
        <v>0</v>
      </c>
      <c r="L493" s="3">
        <f>IF([1]Result_notebook_retravaill!I493&gt;[1]Result_notebook_retravaill!G493,0,IF([1]Result_notebook_retravaill!I493+[1]Result_notebook_retravaill!J493&gt;[1]Result_notebook_retravaill!G493,0,[1]Result_notebook_retravaill!M493))</f>
        <v>2060.9784695548619</v>
      </c>
    </row>
    <row r="494" spans="1:12">
      <c r="A494">
        <f>[1]Result_notebook_retravaill!A494</f>
        <v>2030</v>
      </c>
      <c r="B494" t="str">
        <f>[1]Result_notebook_retravaill!B494</f>
        <v>Neodymium</v>
      </c>
      <c r="C494" t="str">
        <f>[1]Result_notebook_retravaill!C494</f>
        <v>Global Net-zero</v>
      </c>
      <c r="D494" t="str">
        <f>[1]Result_notebook_retravaill!D494</f>
        <v>Production potential</v>
      </c>
      <c r="E494" t="str">
        <f>[1]Result_notebook_retravaill!E494</f>
        <v>Current shares</v>
      </c>
      <c r="F494" t="str">
        <f>[1]Result_notebook_retravaill!F494</f>
        <v>Expansion Extractive</v>
      </c>
      <c r="G494">
        <f>[1]Result_notebook_retravaill!G494</f>
        <v>2060.9784695548619</v>
      </c>
      <c r="H494" s="3">
        <f>IF([1]Result_notebook_retravaill!I494&gt;[1]Result_notebook_retravaill!G494,[1]Result_notebook_retravaill!I494/[1]Result_notebook_retravaill!N494,[1]Result_notebook_retravaill!H494)</f>
        <v>14.8330257144349</v>
      </c>
      <c r="I494" s="3">
        <f>[1]Result_notebook_retravaill!K494</f>
        <v>3420.1310902103351</v>
      </c>
      <c r="J494" s="3">
        <f>MIN(G494,[1]Result_notebook_retravaill!I494)</f>
        <v>8.878217267431701</v>
      </c>
      <c r="K494" s="3">
        <f>IF([1]Result_notebook_retravaill!I494&gt;[1]Result_notebook_retravaill!G494,0,IF([1]Result_notebook_retravaill!I494+[1]Result_notebook_retravaill!J494&gt;[1]Result_notebook_retravaill!G494,[1]Result_notebook_retravaill!G494-[1]Result_notebook_retravaill!I494,[1]Result_notebook_retravaill!J494))</f>
        <v>5.9548084470031988</v>
      </c>
      <c r="L494" s="3">
        <f>IF([1]Result_notebook_retravaill!I494&gt;[1]Result_notebook_retravaill!G494,0,IF([1]Result_notebook_retravaill!I494+[1]Result_notebook_retravaill!J494&gt;[1]Result_notebook_retravaill!G494,0,[1]Result_notebook_retravaill!M494))</f>
        <v>2046.1454438404269</v>
      </c>
    </row>
    <row r="495" spans="1:12">
      <c r="A495">
        <f>[1]Result_notebook_retravaill!A495</f>
        <v>2030</v>
      </c>
      <c r="B495" t="str">
        <f>[1]Result_notebook_retravaill!B495</f>
        <v>Neodymium</v>
      </c>
      <c r="C495" t="str">
        <f>[1]Result_notebook_retravaill!C495</f>
        <v>Global Net-zero</v>
      </c>
      <c r="D495" t="str">
        <f>[1]Result_notebook_retravaill!D495</f>
        <v>Production potential</v>
      </c>
      <c r="E495" t="str">
        <f>[1]Result_notebook_retravaill!E495</f>
        <v>Current shares</v>
      </c>
      <c r="F495" t="str">
        <f>[1]Result_notebook_retravaill!F495</f>
        <v>Expansion Extractive+Circularity</v>
      </c>
      <c r="G495">
        <f>[1]Result_notebook_retravaill!G495</f>
        <v>2060.9784695548619</v>
      </c>
      <c r="H495" s="3">
        <f>IF([1]Result_notebook_retravaill!I495&gt;[1]Result_notebook_retravaill!G495,[1]Result_notebook_retravaill!I495/[1]Result_notebook_retravaill!N495,[1]Result_notebook_retravaill!H495)</f>
        <v>14.8330257144349</v>
      </c>
      <c r="I495" s="3">
        <f>[1]Result_notebook_retravaill!K495</f>
        <v>3420.1310902103351</v>
      </c>
      <c r="J495" s="3">
        <f>MIN(G495,[1]Result_notebook_retravaill!I495)</f>
        <v>8.878217267431701</v>
      </c>
      <c r="K495" s="3">
        <f>IF([1]Result_notebook_retravaill!I495&gt;[1]Result_notebook_retravaill!G495,0,IF([1]Result_notebook_retravaill!I495+[1]Result_notebook_retravaill!J495&gt;[1]Result_notebook_retravaill!G495,[1]Result_notebook_retravaill!G495-[1]Result_notebook_retravaill!I495,[1]Result_notebook_retravaill!J495))</f>
        <v>5.9548084470031988</v>
      </c>
      <c r="L495" s="3">
        <f>IF([1]Result_notebook_retravaill!I495&gt;[1]Result_notebook_retravaill!G495,0,IF([1]Result_notebook_retravaill!I495+[1]Result_notebook_retravaill!J495&gt;[1]Result_notebook_retravaill!G495,0,[1]Result_notebook_retravaill!M495))</f>
        <v>2046.1454438404269</v>
      </c>
    </row>
    <row r="496" spans="1:12">
      <c r="A496">
        <f>[1]Result_notebook_retravaill!A496</f>
        <v>2030</v>
      </c>
      <c r="B496" t="str">
        <f>[1]Result_notebook_retravaill!B496</f>
        <v>Neodymium</v>
      </c>
      <c r="C496" t="str">
        <f>[1]Result_notebook_retravaill!C496</f>
        <v>Global Net-zero</v>
      </c>
      <c r="D496" t="str">
        <f>[1]Result_notebook_retravaill!D496</f>
        <v>Production potential</v>
      </c>
      <c r="E496" t="str">
        <f>[1]Result_notebook_retravaill!E496</f>
        <v>100% CAN</v>
      </c>
      <c r="F496" t="str">
        <f>[1]Result_notebook_retravaill!F496</f>
        <v>Integrated</v>
      </c>
      <c r="G496">
        <f>[1]Result_notebook_retravaill!G496</f>
        <v>2060.9784695548619</v>
      </c>
      <c r="H496" s="3">
        <f>IF([1]Result_notebook_retravaill!I496&gt;[1]Result_notebook_retravaill!G496,[1]Result_notebook_retravaill!I496/[1]Result_notebook_retravaill!N496,[1]Result_notebook_retravaill!H496)</f>
        <v>14.8330257144349</v>
      </c>
      <c r="I496" s="3">
        <f>[1]Result_notebook_retravaill!K496</f>
        <v>3420.1310902103351</v>
      </c>
      <c r="J496" s="3">
        <f>MIN(G496,[1]Result_notebook_retravaill!I496)</f>
        <v>8.878217267431701</v>
      </c>
      <c r="K496" s="3">
        <f>IF([1]Result_notebook_retravaill!I496&gt;[1]Result_notebook_retravaill!G496,0,IF([1]Result_notebook_retravaill!I496+[1]Result_notebook_retravaill!J496&gt;[1]Result_notebook_retravaill!G496,[1]Result_notebook_retravaill!G496-[1]Result_notebook_retravaill!I496,[1]Result_notebook_retravaill!J496))</f>
        <v>5.9548084470031988</v>
      </c>
      <c r="L496" s="3">
        <f>IF([1]Result_notebook_retravaill!I496&gt;[1]Result_notebook_retravaill!G496,0,IF([1]Result_notebook_retravaill!I496+[1]Result_notebook_retravaill!J496&gt;[1]Result_notebook_retravaill!G496,0,[1]Result_notebook_retravaill!M496))</f>
        <v>2046.1454438404269</v>
      </c>
    </row>
    <row r="497" spans="1:12">
      <c r="A497">
        <f>[1]Result_notebook_retravaill!A497</f>
        <v>2030</v>
      </c>
      <c r="B497" t="str">
        <f>[1]Result_notebook_retravaill!B497</f>
        <v>Nickel</v>
      </c>
      <c r="C497" t="str">
        <f>[1]Result_notebook_retravaill!C497</f>
        <v>Canada Net-zero</v>
      </c>
      <c r="D497" t="str">
        <f>[1]Result_notebook_retravaill!D497</f>
        <v>Existing production</v>
      </c>
      <c r="E497" t="str">
        <f>[1]Result_notebook_retravaill!E497</f>
        <v>Current shares</v>
      </c>
      <c r="F497" t="str">
        <f>[1]Result_notebook_retravaill!F497</f>
        <v>NIMBY</v>
      </c>
      <c r="G497">
        <f>[1]Result_notebook_retravaill!G497</f>
        <v>78598.837813683815</v>
      </c>
      <c r="H497" s="3">
        <f>IF([1]Result_notebook_retravaill!I497&gt;[1]Result_notebook_retravaill!G497,[1]Result_notebook_retravaill!I497/[1]Result_notebook_retravaill!N497,[1]Result_notebook_retravaill!H497)</f>
        <v>0</v>
      </c>
      <c r="I497" s="3">
        <f>[1]Result_notebook_retravaill!K497</f>
        <v>99492.199764156729</v>
      </c>
      <c r="J497" s="3">
        <f>MIN(G497,[1]Result_notebook_retravaill!I497)</f>
        <v>0</v>
      </c>
      <c r="K497" s="3">
        <f>IF([1]Result_notebook_retravaill!I497&gt;[1]Result_notebook_retravaill!G497,0,IF([1]Result_notebook_retravaill!I497+[1]Result_notebook_retravaill!J497&gt;[1]Result_notebook_retravaill!G497,[1]Result_notebook_retravaill!G497-[1]Result_notebook_retravaill!I497,[1]Result_notebook_retravaill!J497))</f>
        <v>0</v>
      </c>
      <c r="L497" s="3">
        <f>IF([1]Result_notebook_retravaill!I497&gt;[1]Result_notebook_retravaill!G497,0,IF([1]Result_notebook_retravaill!I497+[1]Result_notebook_retravaill!J497&gt;[1]Result_notebook_retravaill!G497,0,[1]Result_notebook_retravaill!M497))</f>
        <v>78598.837813683815</v>
      </c>
    </row>
    <row r="498" spans="1:12">
      <c r="A498">
        <f>[1]Result_notebook_retravaill!A498</f>
        <v>2030</v>
      </c>
      <c r="B498" t="str">
        <f>[1]Result_notebook_retravaill!B498</f>
        <v>Nickel</v>
      </c>
      <c r="C498" t="str">
        <f>[1]Result_notebook_retravaill!C498</f>
        <v>Canada Net-zero</v>
      </c>
      <c r="D498" t="str">
        <f>[1]Result_notebook_retravaill!D498</f>
        <v>Existing production</v>
      </c>
      <c r="E498" t="str">
        <f>[1]Result_notebook_retravaill!E498</f>
        <v>Current shares</v>
      </c>
      <c r="F498" t="str">
        <f>[1]Result_notebook_retravaill!F498</f>
        <v>Status Quo</v>
      </c>
      <c r="G498">
        <f>[1]Result_notebook_retravaill!G498</f>
        <v>78598.837813683815</v>
      </c>
      <c r="H498" s="3">
        <f>IF([1]Result_notebook_retravaill!I498&gt;[1]Result_notebook_retravaill!G498,[1]Result_notebook_retravaill!I498/[1]Result_notebook_retravaill!N498,[1]Result_notebook_retravaill!H498)</f>
        <v>120478.78430952136</v>
      </c>
      <c r="I498" s="3">
        <f>[1]Result_notebook_retravaill!K498</f>
        <v>0</v>
      </c>
      <c r="J498" s="3">
        <f>MIN(G498,[1]Result_notebook_retravaill!I498)</f>
        <v>78598.837813683815</v>
      </c>
      <c r="K498" s="3">
        <f>IF([1]Result_notebook_retravaill!I498&gt;[1]Result_notebook_retravaill!G498,0,IF([1]Result_notebook_retravaill!I498+[1]Result_notebook_retravaill!J498&gt;[1]Result_notebook_retravaill!G498,[1]Result_notebook_retravaill!G498-[1]Result_notebook_retravaill!I498,[1]Result_notebook_retravaill!J498))</f>
        <v>0</v>
      </c>
      <c r="L498" s="3">
        <f>IF([1]Result_notebook_retravaill!I498&gt;[1]Result_notebook_retravaill!G498,0,IF([1]Result_notebook_retravaill!I498+[1]Result_notebook_retravaill!J498&gt;[1]Result_notebook_retravaill!G498,0,[1]Result_notebook_retravaill!M498))</f>
        <v>0</v>
      </c>
    </row>
    <row r="499" spans="1:12">
      <c r="A499">
        <f>[1]Result_notebook_retravaill!A499</f>
        <v>2030</v>
      </c>
      <c r="B499" t="str">
        <f>[1]Result_notebook_retravaill!B499</f>
        <v>Nickel</v>
      </c>
      <c r="C499" t="str">
        <f>[1]Result_notebook_retravaill!C499</f>
        <v>Canada Net-zero</v>
      </c>
      <c r="D499" t="str">
        <f>[1]Result_notebook_retravaill!D499</f>
        <v>Production potential</v>
      </c>
      <c r="E499" t="str">
        <f>[1]Result_notebook_retravaill!E499</f>
        <v>Current shares</v>
      </c>
      <c r="F499" t="str">
        <f>[1]Result_notebook_retravaill!F499</f>
        <v>Expansion Extractive</v>
      </c>
      <c r="G499">
        <f>[1]Result_notebook_retravaill!G499</f>
        <v>78598.837813683815</v>
      </c>
      <c r="H499" s="3">
        <f>IF([1]Result_notebook_retravaill!I499&gt;[1]Result_notebook_retravaill!G499,[1]Result_notebook_retravaill!I499/[1]Result_notebook_retravaill!N499,[1]Result_notebook_retravaill!H499)</f>
        <v>154891.09461238669</v>
      </c>
      <c r="I499" s="3">
        <f>[1]Result_notebook_retravaill!K499</f>
        <v>0</v>
      </c>
      <c r="J499" s="3">
        <f>MIN(G499,[1]Result_notebook_retravaill!I499)</f>
        <v>78598.837813683815</v>
      </c>
      <c r="K499" s="3">
        <f>IF([1]Result_notebook_retravaill!I499&gt;[1]Result_notebook_retravaill!G499,0,IF([1]Result_notebook_retravaill!I499+[1]Result_notebook_retravaill!J499&gt;[1]Result_notebook_retravaill!G499,[1]Result_notebook_retravaill!G499-[1]Result_notebook_retravaill!I499,[1]Result_notebook_retravaill!J499))</f>
        <v>0</v>
      </c>
      <c r="L499" s="3">
        <f>IF([1]Result_notebook_retravaill!I499&gt;[1]Result_notebook_retravaill!G499,0,IF([1]Result_notebook_retravaill!I499+[1]Result_notebook_retravaill!J499&gt;[1]Result_notebook_retravaill!G499,0,[1]Result_notebook_retravaill!M499))</f>
        <v>0</v>
      </c>
    </row>
    <row r="500" spans="1:12">
      <c r="A500">
        <f>[1]Result_notebook_retravaill!A500</f>
        <v>2030</v>
      </c>
      <c r="B500" t="str">
        <f>[1]Result_notebook_retravaill!B500</f>
        <v>Nickel</v>
      </c>
      <c r="C500" t="str">
        <f>[1]Result_notebook_retravaill!C500</f>
        <v>Canada Net-zero</v>
      </c>
      <c r="D500" t="str">
        <f>[1]Result_notebook_retravaill!D500</f>
        <v>Production potential</v>
      </c>
      <c r="E500" t="str">
        <f>[1]Result_notebook_retravaill!E500</f>
        <v>Current shares</v>
      </c>
      <c r="F500" t="str">
        <f>[1]Result_notebook_retravaill!F500</f>
        <v>Expansion Extractive+Circularity</v>
      </c>
      <c r="G500">
        <f>[1]Result_notebook_retravaill!G500</f>
        <v>78598.837813683815</v>
      </c>
      <c r="H500" s="3">
        <f>IF([1]Result_notebook_retravaill!I500&gt;[1]Result_notebook_retravaill!G500,[1]Result_notebook_retravaill!I500/[1]Result_notebook_retravaill!N500,[1]Result_notebook_retravaill!H500)</f>
        <v>154891.09461238669</v>
      </c>
      <c r="I500" s="3">
        <f>[1]Result_notebook_retravaill!K500</f>
        <v>0</v>
      </c>
      <c r="J500" s="3">
        <f>MIN(G500,[1]Result_notebook_retravaill!I500)</f>
        <v>78598.837813683815</v>
      </c>
      <c r="K500" s="3">
        <f>IF([1]Result_notebook_retravaill!I500&gt;[1]Result_notebook_retravaill!G500,0,IF([1]Result_notebook_retravaill!I500+[1]Result_notebook_retravaill!J500&gt;[1]Result_notebook_retravaill!G500,[1]Result_notebook_retravaill!G500-[1]Result_notebook_retravaill!I500,[1]Result_notebook_retravaill!J500))</f>
        <v>0</v>
      </c>
      <c r="L500" s="3">
        <f>IF([1]Result_notebook_retravaill!I500&gt;[1]Result_notebook_retravaill!G500,0,IF([1]Result_notebook_retravaill!I500+[1]Result_notebook_retravaill!J500&gt;[1]Result_notebook_retravaill!G500,0,[1]Result_notebook_retravaill!M500))</f>
        <v>0</v>
      </c>
    </row>
    <row r="501" spans="1:12">
      <c r="A501">
        <f>[1]Result_notebook_retravaill!A501</f>
        <v>2030</v>
      </c>
      <c r="B501" t="str">
        <f>[1]Result_notebook_retravaill!B501</f>
        <v>Nickel</v>
      </c>
      <c r="C501" t="str">
        <f>[1]Result_notebook_retravaill!C501</f>
        <v>Canada Net-zero</v>
      </c>
      <c r="D501" t="str">
        <f>[1]Result_notebook_retravaill!D501</f>
        <v>Production potential</v>
      </c>
      <c r="E501" t="str">
        <f>[1]Result_notebook_retravaill!E501</f>
        <v>100% CAN</v>
      </c>
      <c r="F501" t="str">
        <f>[1]Result_notebook_retravaill!F501</f>
        <v>Integrated</v>
      </c>
      <c r="G501">
        <f>[1]Result_notebook_retravaill!G501</f>
        <v>78598.837813683815</v>
      </c>
      <c r="H501" s="3">
        <f>IF([1]Result_notebook_retravaill!I501&gt;[1]Result_notebook_retravaill!G501,[1]Result_notebook_retravaill!I501/[1]Result_notebook_retravaill!N501,[1]Result_notebook_retravaill!H501)</f>
        <v>217489.02831821403</v>
      </c>
      <c r="I501" s="3">
        <f>[1]Result_notebook_retravaill!K501</f>
        <v>0</v>
      </c>
      <c r="J501" s="3">
        <f>MIN(G501,[1]Result_notebook_retravaill!I501)</f>
        <v>78598.837813683815</v>
      </c>
      <c r="K501" s="3">
        <f>IF([1]Result_notebook_retravaill!I501&gt;[1]Result_notebook_retravaill!G501,0,IF([1]Result_notebook_retravaill!I501+[1]Result_notebook_retravaill!J501&gt;[1]Result_notebook_retravaill!G501,[1]Result_notebook_retravaill!G501-[1]Result_notebook_retravaill!I501,[1]Result_notebook_retravaill!J501))</f>
        <v>0</v>
      </c>
      <c r="L501" s="3">
        <f>IF([1]Result_notebook_retravaill!I501&gt;[1]Result_notebook_retravaill!G501,0,IF([1]Result_notebook_retravaill!I501+[1]Result_notebook_retravaill!J501&gt;[1]Result_notebook_retravaill!G501,0,[1]Result_notebook_retravaill!M501))</f>
        <v>0</v>
      </c>
    </row>
    <row r="502" spans="1:12">
      <c r="A502">
        <f>[1]Result_notebook_retravaill!A502</f>
        <v>2030</v>
      </c>
      <c r="B502" t="str">
        <f>[1]Result_notebook_retravaill!B502</f>
        <v>Nickel</v>
      </c>
      <c r="C502" t="str">
        <f>[1]Result_notebook_retravaill!C502</f>
        <v>Current Measures</v>
      </c>
      <c r="D502" t="str">
        <f>[1]Result_notebook_retravaill!D502</f>
        <v>Existing production</v>
      </c>
      <c r="E502" t="str">
        <f>[1]Result_notebook_retravaill!E502</f>
        <v>Current shares</v>
      </c>
      <c r="F502" t="str">
        <f>[1]Result_notebook_retravaill!F502</f>
        <v>NIMBY</v>
      </c>
      <c r="G502">
        <f>[1]Result_notebook_retravaill!G502</f>
        <v>41464.346616727722</v>
      </c>
      <c r="H502" s="3">
        <f>IF([1]Result_notebook_retravaill!I502&gt;[1]Result_notebook_retravaill!G502,[1]Result_notebook_retravaill!I502/[1]Result_notebook_retravaill!N502,[1]Result_notebook_retravaill!H502)</f>
        <v>0</v>
      </c>
      <c r="I502" s="3">
        <f>[1]Result_notebook_retravaill!K502</f>
        <v>52486.514704718633</v>
      </c>
      <c r="J502" s="3">
        <f>MIN(G502,[1]Result_notebook_retravaill!I502)</f>
        <v>0</v>
      </c>
      <c r="K502" s="3">
        <f>IF([1]Result_notebook_retravaill!I502&gt;[1]Result_notebook_retravaill!G502,0,IF([1]Result_notebook_retravaill!I502+[1]Result_notebook_retravaill!J502&gt;[1]Result_notebook_retravaill!G502,[1]Result_notebook_retravaill!G502-[1]Result_notebook_retravaill!I502,[1]Result_notebook_retravaill!J502))</f>
        <v>0</v>
      </c>
      <c r="L502" s="3">
        <f>IF([1]Result_notebook_retravaill!I502&gt;[1]Result_notebook_retravaill!G502,0,IF([1]Result_notebook_retravaill!I502+[1]Result_notebook_retravaill!J502&gt;[1]Result_notebook_retravaill!G502,0,[1]Result_notebook_retravaill!M502))</f>
        <v>41464.346616727722</v>
      </c>
    </row>
    <row r="503" spans="1:12">
      <c r="A503">
        <f>[1]Result_notebook_retravaill!A503</f>
        <v>2030</v>
      </c>
      <c r="B503" t="str">
        <f>[1]Result_notebook_retravaill!B503</f>
        <v>Nickel</v>
      </c>
      <c r="C503" t="str">
        <f>[1]Result_notebook_retravaill!C503</f>
        <v>Current Measures</v>
      </c>
      <c r="D503" t="str">
        <f>[1]Result_notebook_retravaill!D503</f>
        <v>Existing production</v>
      </c>
      <c r="E503" t="str">
        <f>[1]Result_notebook_retravaill!E503</f>
        <v>Current shares</v>
      </c>
      <c r="F503" t="str">
        <f>[1]Result_notebook_retravaill!F503</f>
        <v>Status Quo</v>
      </c>
      <c r="G503">
        <f>[1]Result_notebook_retravaill!G503</f>
        <v>41464.346616727722</v>
      </c>
      <c r="H503" s="3">
        <f>IF([1]Result_notebook_retravaill!I503&gt;[1]Result_notebook_retravaill!G503,[1]Result_notebook_retravaill!I503/[1]Result_notebook_retravaill!N503,[1]Result_notebook_retravaill!H503)</f>
        <v>120478.78430952136</v>
      </c>
      <c r="I503" s="3">
        <f>[1]Result_notebook_retravaill!K503</f>
        <v>0</v>
      </c>
      <c r="J503" s="3">
        <f>MIN(G503,[1]Result_notebook_retravaill!I503)</f>
        <v>41464.346616727722</v>
      </c>
      <c r="K503" s="3">
        <f>IF([1]Result_notebook_retravaill!I503&gt;[1]Result_notebook_retravaill!G503,0,IF([1]Result_notebook_retravaill!I503+[1]Result_notebook_retravaill!J503&gt;[1]Result_notebook_retravaill!G503,[1]Result_notebook_retravaill!G503-[1]Result_notebook_retravaill!I503,[1]Result_notebook_retravaill!J503))</f>
        <v>0</v>
      </c>
      <c r="L503" s="3">
        <f>IF([1]Result_notebook_retravaill!I503&gt;[1]Result_notebook_retravaill!G503,0,IF([1]Result_notebook_retravaill!I503+[1]Result_notebook_retravaill!J503&gt;[1]Result_notebook_retravaill!G503,0,[1]Result_notebook_retravaill!M503))</f>
        <v>0</v>
      </c>
    </row>
    <row r="504" spans="1:12">
      <c r="A504">
        <f>[1]Result_notebook_retravaill!A504</f>
        <v>2030</v>
      </c>
      <c r="B504" t="str">
        <f>[1]Result_notebook_retravaill!B504</f>
        <v>Nickel</v>
      </c>
      <c r="C504" t="str">
        <f>[1]Result_notebook_retravaill!C504</f>
        <v>Current Measures</v>
      </c>
      <c r="D504" t="str">
        <f>[1]Result_notebook_retravaill!D504</f>
        <v>Production potential</v>
      </c>
      <c r="E504" t="str">
        <f>[1]Result_notebook_retravaill!E504</f>
        <v>Current shares</v>
      </c>
      <c r="F504" t="str">
        <f>[1]Result_notebook_retravaill!F504</f>
        <v>Expansion Extractive</v>
      </c>
      <c r="G504">
        <f>[1]Result_notebook_retravaill!G504</f>
        <v>41464.346616727722</v>
      </c>
      <c r="H504" s="3">
        <f>IF([1]Result_notebook_retravaill!I504&gt;[1]Result_notebook_retravaill!G504,[1]Result_notebook_retravaill!I504/[1]Result_notebook_retravaill!N504,[1]Result_notebook_retravaill!H504)</f>
        <v>154891.09461238669</v>
      </c>
      <c r="I504" s="3">
        <f>[1]Result_notebook_retravaill!K504</f>
        <v>0</v>
      </c>
      <c r="J504" s="3">
        <f>MIN(G504,[1]Result_notebook_retravaill!I504)</f>
        <v>41464.346616727722</v>
      </c>
      <c r="K504" s="3">
        <f>IF([1]Result_notebook_retravaill!I504&gt;[1]Result_notebook_retravaill!G504,0,IF([1]Result_notebook_retravaill!I504+[1]Result_notebook_retravaill!J504&gt;[1]Result_notebook_retravaill!G504,[1]Result_notebook_retravaill!G504-[1]Result_notebook_retravaill!I504,[1]Result_notebook_retravaill!J504))</f>
        <v>0</v>
      </c>
      <c r="L504" s="3">
        <f>IF([1]Result_notebook_retravaill!I504&gt;[1]Result_notebook_retravaill!G504,0,IF([1]Result_notebook_retravaill!I504+[1]Result_notebook_retravaill!J504&gt;[1]Result_notebook_retravaill!G504,0,[1]Result_notebook_retravaill!M504))</f>
        <v>0</v>
      </c>
    </row>
    <row r="505" spans="1:12">
      <c r="A505">
        <f>[1]Result_notebook_retravaill!A505</f>
        <v>2030</v>
      </c>
      <c r="B505" t="str">
        <f>[1]Result_notebook_retravaill!B505</f>
        <v>Nickel</v>
      </c>
      <c r="C505" t="str">
        <f>[1]Result_notebook_retravaill!C505</f>
        <v>Current Measures</v>
      </c>
      <c r="D505" t="str">
        <f>[1]Result_notebook_retravaill!D505</f>
        <v>Production potential</v>
      </c>
      <c r="E505" t="str">
        <f>[1]Result_notebook_retravaill!E505</f>
        <v>Current shares</v>
      </c>
      <c r="F505" t="str">
        <f>[1]Result_notebook_retravaill!F505</f>
        <v>Expansion Extractive+Circularity</v>
      </c>
      <c r="G505">
        <f>[1]Result_notebook_retravaill!G505</f>
        <v>41464.346616727722</v>
      </c>
      <c r="H505" s="3">
        <f>IF([1]Result_notebook_retravaill!I505&gt;[1]Result_notebook_retravaill!G505,[1]Result_notebook_retravaill!I505/[1]Result_notebook_retravaill!N505,[1]Result_notebook_retravaill!H505)</f>
        <v>154891.09461238669</v>
      </c>
      <c r="I505" s="3">
        <f>[1]Result_notebook_retravaill!K505</f>
        <v>0</v>
      </c>
      <c r="J505" s="3">
        <f>MIN(G505,[1]Result_notebook_retravaill!I505)</f>
        <v>41464.346616727722</v>
      </c>
      <c r="K505" s="3">
        <f>IF([1]Result_notebook_retravaill!I505&gt;[1]Result_notebook_retravaill!G505,0,IF([1]Result_notebook_retravaill!I505+[1]Result_notebook_retravaill!J505&gt;[1]Result_notebook_retravaill!G505,[1]Result_notebook_retravaill!G505-[1]Result_notebook_retravaill!I505,[1]Result_notebook_retravaill!J505))</f>
        <v>0</v>
      </c>
      <c r="L505" s="3">
        <f>IF([1]Result_notebook_retravaill!I505&gt;[1]Result_notebook_retravaill!G505,0,IF([1]Result_notebook_retravaill!I505+[1]Result_notebook_retravaill!J505&gt;[1]Result_notebook_retravaill!G505,0,[1]Result_notebook_retravaill!M505))</f>
        <v>0</v>
      </c>
    </row>
    <row r="506" spans="1:12">
      <c r="A506">
        <f>[1]Result_notebook_retravaill!A506</f>
        <v>2030</v>
      </c>
      <c r="B506" t="str">
        <f>[1]Result_notebook_retravaill!B506</f>
        <v>Nickel</v>
      </c>
      <c r="C506" t="str">
        <f>[1]Result_notebook_retravaill!C506</f>
        <v>Current Measures</v>
      </c>
      <c r="D506" t="str">
        <f>[1]Result_notebook_retravaill!D506</f>
        <v>Production potential</v>
      </c>
      <c r="E506" t="str">
        <f>[1]Result_notebook_retravaill!E506</f>
        <v>100% CAN</v>
      </c>
      <c r="F506" t="str">
        <f>[1]Result_notebook_retravaill!F506</f>
        <v>Integrated</v>
      </c>
      <c r="G506">
        <f>[1]Result_notebook_retravaill!G506</f>
        <v>41464.346616727722</v>
      </c>
      <c r="H506" s="3">
        <f>IF([1]Result_notebook_retravaill!I506&gt;[1]Result_notebook_retravaill!G506,[1]Result_notebook_retravaill!I506/[1]Result_notebook_retravaill!N506,[1]Result_notebook_retravaill!H506)</f>
        <v>217489.02831821403</v>
      </c>
      <c r="I506" s="3">
        <f>[1]Result_notebook_retravaill!K506</f>
        <v>0</v>
      </c>
      <c r="J506" s="3">
        <f>MIN(G506,[1]Result_notebook_retravaill!I506)</f>
        <v>41464.346616727722</v>
      </c>
      <c r="K506" s="3">
        <f>IF([1]Result_notebook_retravaill!I506&gt;[1]Result_notebook_retravaill!G506,0,IF([1]Result_notebook_retravaill!I506+[1]Result_notebook_retravaill!J506&gt;[1]Result_notebook_retravaill!G506,[1]Result_notebook_retravaill!G506-[1]Result_notebook_retravaill!I506,[1]Result_notebook_retravaill!J506))</f>
        <v>0</v>
      </c>
      <c r="L506" s="3">
        <f>IF([1]Result_notebook_retravaill!I506&gt;[1]Result_notebook_retravaill!G506,0,IF([1]Result_notebook_retravaill!I506+[1]Result_notebook_retravaill!J506&gt;[1]Result_notebook_retravaill!G506,0,[1]Result_notebook_retravaill!M506))</f>
        <v>0</v>
      </c>
    </row>
    <row r="507" spans="1:12">
      <c r="A507">
        <f>[1]Result_notebook_retravaill!A507</f>
        <v>2030</v>
      </c>
      <c r="B507" t="str">
        <f>[1]Result_notebook_retravaill!B507</f>
        <v>Nickel</v>
      </c>
      <c r="C507" t="str">
        <f>[1]Result_notebook_retravaill!C507</f>
        <v>Global Net-zero</v>
      </c>
      <c r="D507" t="str">
        <f>[1]Result_notebook_retravaill!D507</f>
        <v>Existing production</v>
      </c>
      <c r="E507" t="str">
        <f>[1]Result_notebook_retravaill!E507</f>
        <v>Current shares</v>
      </c>
      <c r="F507" t="str">
        <f>[1]Result_notebook_retravaill!F507</f>
        <v>NIMBY</v>
      </c>
      <c r="G507">
        <f>[1]Result_notebook_retravaill!G507</f>
        <v>74062.238097093548</v>
      </c>
      <c r="H507" s="3">
        <f>IF([1]Result_notebook_retravaill!I507&gt;[1]Result_notebook_retravaill!G507,[1]Result_notebook_retravaill!I507/[1]Result_notebook_retravaill!N507,[1]Result_notebook_retravaill!H507)</f>
        <v>0</v>
      </c>
      <c r="I507" s="3">
        <f>[1]Result_notebook_retravaill!K507</f>
        <v>93749.668477333602</v>
      </c>
      <c r="J507" s="3">
        <f>MIN(G507,[1]Result_notebook_retravaill!I507)</f>
        <v>0</v>
      </c>
      <c r="K507" s="3">
        <f>IF([1]Result_notebook_retravaill!I507&gt;[1]Result_notebook_retravaill!G507,0,IF([1]Result_notebook_retravaill!I507+[1]Result_notebook_retravaill!J507&gt;[1]Result_notebook_retravaill!G507,[1]Result_notebook_retravaill!G507-[1]Result_notebook_retravaill!I507,[1]Result_notebook_retravaill!J507))</f>
        <v>0</v>
      </c>
      <c r="L507" s="3">
        <f>IF([1]Result_notebook_retravaill!I507&gt;[1]Result_notebook_retravaill!G507,0,IF([1]Result_notebook_retravaill!I507+[1]Result_notebook_retravaill!J507&gt;[1]Result_notebook_retravaill!G507,0,[1]Result_notebook_retravaill!M507))</f>
        <v>74062.238097093548</v>
      </c>
    </row>
    <row r="508" spans="1:12">
      <c r="A508">
        <f>[1]Result_notebook_retravaill!A508</f>
        <v>2030</v>
      </c>
      <c r="B508" t="str">
        <f>[1]Result_notebook_retravaill!B508</f>
        <v>Nickel</v>
      </c>
      <c r="C508" t="str">
        <f>[1]Result_notebook_retravaill!C508</f>
        <v>Global Net-zero</v>
      </c>
      <c r="D508" t="str">
        <f>[1]Result_notebook_retravaill!D508</f>
        <v>Existing production</v>
      </c>
      <c r="E508" t="str">
        <f>[1]Result_notebook_retravaill!E508</f>
        <v>Current shares</v>
      </c>
      <c r="F508" t="str">
        <f>[1]Result_notebook_retravaill!F508</f>
        <v>Status Quo</v>
      </c>
      <c r="G508">
        <f>[1]Result_notebook_retravaill!G508</f>
        <v>74062.238097093548</v>
      </c>
      <c r="H508" s="3">
        <f>IF([1]Result_notebook_retravaill!I508&gt;[1]Result_notebook_retravaill!G508,[1]Result_notebook_retravaill!I508/[1]Result_notebook_retravaill!N508,[1]Result_notebook_retravaill!H508)</f>
        <v>120478.78430952136</v>
      </c>
      <c r="I508" s="3">
        <f>[1]Result_notebook_retravaill!K508</f>
        <v>0</v>
      </c>
      <c r="J508" s="3">
        <f>MIN(G508,[1]Result_notebook_retravaill!I508)</f>
        <v>74062.238097093548</v>
      </c>
      <c r="K508" s="3">
        <f>IF([1]Result_notebook_retravaill!I508&gt;[1]Result_notebook_retravaill!G508,0,IF([1]Result_notebook_retravaill!I508+[1]Result_notebook_retravaill!J508&gt;[1]Result_notebook_retravaill!G508,[1]Result_notebook_retravaill!G508-[1]Result_notebook_retravaill!I508,[1]Result_notebook_retravaill!J508))</f>
        <v>0</v>
      </c>
      <c r="L508" s="3">
        <f>IF([1]Result_notebook_retravaill!I508&gt;[1]Result_notebook_retravaill!G508,0,IF([1]Result_notebook_retravaill!I508+[1]Result_notebook_retravaill!J508&gt;[1]Result_notebook_retravaill!G508,0,[1]Result_notebook_retravaill!M508))</f>
        <v>0</v>
      </c>
    </row>
    <row r="509" spans="1:12">
      <c r="A509">
        <f>[1]Result_notebook_retravaill!A509</f>
        <v>2030</v>
      </c>
      <c r="B509" t="str">
        <f>[1]Result_notebook_retravaill!B509</f>
        <v>Nickel</v>
      </c>
      <c r="C509" t="str">
        <f>[1]Result_notebook_retravaill!C509</f>
        <v>Global Net-zero</v>
      </c>
      <c r="D509" t="str">
        <f>[1]Result_notebook_retravaill!D509</f>
        <v>Production potential</v>
      </c>
      <c r="E509" t="str">
        <f>[1]Result_notebook_retravaill!E509</f>
        <v>Current shares</v>
      </c>
      <c r="F509" t="str">
        <f>[1]Result_notebook_retravaill!F509</f>
        <v>Expansion Extractive</v>
      </c>
      <c r="G509">
        <f>[1]Result_notebook_retravaill!G509</f>
        <v>74062.238097093548</v>
      </c>
      <c r="H509" s="3">
        <f>IF([1]Result_notebook_retravaill!I509&gt;[1]Result_notebook_retravaill!G509,[1]Result_notebook_retravaill!I509/[1]Result_notebook_retravaill!N509,[1]Result_notebook_retravaill!H509)</f>
        <v>154891.09461238669</v>
      </c>
      <c r="I509" s="3">
        <f>[1]Result_notebook_retravaill!K509</f>
        <v>0</v>
      </c>
      <c r="J509" s="3">
        <f>MIN(G509,[1]Result_notebook_retravaill!I509)</f>
        <v>74062.238097093548</v>
      </c>
      <c r="K509" s="3">
        <f>IF([1]Result_notebook_retravaill!I509&gt;[1]Result_notebook_retravaill!G509,0,IF([1]Result_notebook_retravaill!I509+[1]Result_notebook_retravaill!J509&gt;[1]Result_notebook_retravaill!G509,[1]Result_notebook_retravaill!G509-[1]Result_notebook_retravaill!I509,[1]Result_notebook_retravaill!J509))</f>
        <v>0</v>
      </c>
      <c r="L509" s="3">
        <f>IF([1]Result_notebook_retravaill!I509&gt;[1]Result_notebook_retravaill!G509,0,IF([1]Result_notebook_retravaill!I509+[1]Result_notebook_retravaill!J509&gt;[1]Result_notebook_retravaill!G509,0,[1]Result_notebook_retravaill!M509))</f>
        <v>0</v>
      </c>
    </row>
    <row r="510" spans="1:12">
      <c r="A510">
        <f>[1]Result_notebook_retravaill!A510</f>
        <v>2030</v>
      </c>
      <c r="B510" t="str">
        <f>[1]Result_notebook_retravaill!B510</f>
        <v>Nickel</v>
      </c>
      <c r="C510" t="str">
        <f>[1]Result_notebook_retravaill!C510</f>
        <v>Global Net-zero</v>
      </c>
      <c r="D510" t="str">
        <f>[1]Result_notebook_retravaill!D510</f>
        <v>Production potential</v>
      </c>
      <c r="E510" t="str">
        <f>[1]Result_notebook_retravaill!E510</f>
        <v>Current shares</v>
      </c>
      <c r="F510" t="str">
        <f>[1]Result_notebook_retravaill!F510</f>
        <v>Expansion Extractive+Circularity</v>
      </c>
      <c r="G510">
        <f>[1]Result_notebook_retravaill!G510</f>
        <v>74062.238097093548</v>
      </c>
      <c r="H510" s="3">
        <f>IF([1]Result_notebook_retravaill!I510&gt;[1]Result_notebook_retravaill!G510,[1]Result_notebook_retravaill!I510/[1]Result_notebook_retravaill!N510,[1]Result_notebook_retravaill!H510)</f>
        <v>154891.09461238669</v>
      </c>
      <c r="I510" s="3">
        <f>[1]Result_notebook_retravaill!K510</f>
        <v>0</v>
      </c>
      <c r="J510" s="3">
        <f>MIN(G510,[1]Result_notebook_retravaill!I510)</f>
        <v>74062.238097093548</v>
      </c>
      <c r="K510" s="3">
        <f>IF([1]Result_notebook_retravaill!I510&gt;[1]Result_notebook_retravaill!G510,0,IF([1]Result_notebook_retravaill!I510+[1]Result_notebook_retravaill!J510&gt;[1]Result_notebook_retravaill!G510,[1]Result_notebook_retravaill!G510-[1]Result_notebook_retravaill!I510,[1]Result_notebook_retravaill!J510))</f>
        <v>0</v>
      </c>
      <c r="L510" s="3">
        <f>IF([1]Result_notebook_retravaill!I510&gt;[1]Result_notebook_retravaill!G510,0,IF([1]Result_notebook_retravaill!I510+[1]Result_notebook_retravaill!J510&gt;[1]Result_notebook_retravaill!G510,0,[1]Result_notebook_retravaill!M510))</f>
        <v>0</v>
      </c>
    </row>
    <row r="511" spans="1:12">
      <c r="A511">
        <f>[1]Result_notebook_retravaill!A511</f>
        <v>2030</v>
      </c>
      <c r="B511" t="str">
        <f>[1]Result_notebook_retravaill!B511</f>
        <v>Nickel</v>
      </c>
      <c r="C511" t="str">
        <f>[1]Result_notebook_retravaill!C511</f>
        <v>Global Net-zero</v>
      </c>
      <c r="D511" t="str">
        <f>[1]Result_notebook_retravaill!D511</f>
        <v>Production potential</v>
      </c>
      <c r="E511" t="str">
        <f>[1]Result_notebook_retravaill!E511</f>
        <v>100% CAN</v>
      </c>
      <c r="F511" t="str">
        <f>[1]Result_notebook_retravaill!F511</f>
        <v>Integrated</v>
      </c>
      <c r="G511">
        <f>[1]Result_notebook_retravaill!G511</f>
        <v>74062.238097093548</v>
      </c>
      <c r="H511" s="3">
        <f>IF([1]Result_notebook_retravaill!I511&gt;[1]Result_notebook_retravaill!G511,[1]Result_notebook_retravaill!I511/[1]Result_notebook_retravaill!N511,[1]Result_notebook_retravaill!H511)</f>
        <v>217489.02831821403</v>
      </c>
      <c r="I511" s="3">
        <f>[1]Result_notebook_retravaill!K511</f>
        <v>0</v>
      </c>
      <c r="J511" s="3">
        <f>MIN(G511,[1]Result_notebook_retravaill!I511)</f>
        <v>74062.238097093548</v>
      </c>
      <c r="K511" s="3">
        <f>IF([1]Result_notebook_retravaill!I511&gt;[1]Result_notebook_retravaill!G511,0,IF([1]Result_notebook_retravaill!I511+[1]Result_notebook_retravaill!J511&gt;[1]Result_notebook_retravaill!G511,[1]Result_notebook_retravaill!G511-[1]Result_notebook_retravaill!I511,[1]Result_notebook_retravaill!J511))</f>
        <v>0</v>
      </c>
      <c r="L511" s="3">
        <f>IF([1]Result_notebook_retravaill!I511&gt;[1]Result_notebook_retravaill!G511,0,IF([1]Result_notebook_retravaill!I511+[1]Result_notebook_retravaill!J511&gt;[1]Result_notebook_retravaill!G511,0,[1]Result_notebook_retravaill!M511))</f>
        <v>0</v>
      </c>
    </row>
    <row r="512" spans="1:12">
      <c r="A512">
        <f>[1]Result_notebook_retravaill!A512</f>
        <v>2030</v>
      </c>
      <c r="B512" t="str">
        <f>[1]Result_notebook_retravaill!B512</f>
        <v>Graphite</v>
      </c>
      <c r="C512" t="str">
        <f>[1]Result_notebook_retravaill!C512</f>
        <v>Canada Net-zero</v>
      </c>
      <c r="D512" t="str">
        <f>[1]Result_notebook_retravaill!D512</f>
        <v>Existing production</v>
      </c>
      <c r="E512" t="str">
        <f>[1]Result_notebook_retravaill!E512</f>
        <v>Current shares</v>
      </c>
      <c r="F512" t="str">
        <f>[1]Result_notebook_retravaill!F512</f>
        <v>NIMBY</v>
      </c>
      <c r="G512">
        <f>[1]Result_notebook_retravaill!G512</f>
        <v>1855.5643647638899</v>
      </c>
      <c r="H512" s="3">
        <f>IF([1]Result_notebook_retravaill!I512&gt;[1]Result_notebook_retravaill!G512,[1]Result_notebook_retravaill!I512/[1]Result_notebook_retravaill!N512,[1]Result_notebook_retravaill!H512)</f>
        <v>0</v>
      </c>
      <c r="I512" s="3">
        <f>[1]Result_notebook_retravaill!K512</f>
        <v>1855.5643647638899</v>
      </c>
      <c r="J512" s="3">
        <f>MIN(G512,[1]Result_notebook_retravaill!I512)</f>
        <v>0</v>
      </c>
      <c r="K512" s="3">
        <f>IF([1]Result_notebook_retravaill!I512&gt;[1]Result_notebook_retravaill!G512,0,IF([1]Result_notebook_retravaill!I512+[1]Result_notebook_retravaill!J512&gt;[1]Result_notebook_retravaill!G512,[1]Result_notebook_retravaill!G512-[1]Result_notebook_retravaill!I512,[1]Result_notebook_retravaill!J512))</f>
        <v>0</v>
      </c>
      <c r="L512" s="3">
        <f>IF([1]Result_notebook_retravaill!I512&gt;[1]Result_notebook_retravaill!G512,0,IF([1]Result_notebook_retravaill!I512+[1]Result_notebook_retravaill!J512&gt;[1]Result_notebook_retravaill!G512,0,[1]Result_notebook_retravaill!M512))</f>
        <v>1855.5643647638899</v>
      </c>
    </row>
    <row r="513" spans="1:12">
      <c r="A513">
        <f>[1]Result_notebook_retravaill!A513</f>
        <v>2030</v>
      </c>
      <c r="B513" t="str">
        <f>[1]Result_notebook_retravaill!B513</f>
        <v>Graphite</v>
      </c>
      <c r="C513" t="str">
        <f>[1]Result_notebook_retravaill!C513</f>
        <v>Canada Net-zero</v>
      </c>
      <c r="D513" t="str">
        <f>[1]Result_notebook_retravaill!D513</f>
        <v>Existing production</v>
      </c>
      <c r="E513" t="str">
        <f>[1]Result_notebook_retravaill!E513</f>
        <v>Current shares</v>
      </c>
      <c r="F513" t="str">
        <f>[1]Result_notebook_retravaill!F513</f>
        <v>Status Quo</v>
      </c>
      <c r="G513">
        <f>[1]Result_notebook_retravaill!G513</f>
        <v>1855.5643647638899</v>
      </c>
      <c r="H513" s="3">
        <f>IF([1]Result_notebook_retravaill!I513&gt;[1]Result_notebook_retravaill!G513,[1]Result_notebook_retravaill!I513/[1]Result_notebook_retravaill!N513,[1]Result_notebook_retravaill!H513)</f>
        <v>0</v>
      </c>
      <c r="I513" s="3">
        <f>[1]Result_notebook_retravaill!K513</f>
        <v>1855.5643647638899</v>
      </c>
      <c r="J513" s="3">
        <f>MIN(G513,[1]Result_notebook_retravaill!I513)</f>
        <v>0</v>
      </c>
      <c r="K513" s="3">
        <f>IF([1]Result_notebook_retravaill!I513&gt;[1]Result_notebook_retravaill!G513,0,IF([1]Result_notebook_retravaill!I513+[1]Result_notebook_retravaill!J513&gt;[1]Result_notebook_retravaill!G513,[1]Result_notebook_retravaill!G513-[1]Result_notebook_retravaill!I513,[1]Result_notebook_retravaill!J513))</f>
        <v>0</v>
      </c>
      <c r="L513" s="3">
        <f>IF([1]Result_notebook_retravaill!I513&gt;[1]Result_notebook_retravaill!G513,0,IF([1]Result_notebook_retravaill!I513+[1]Result_notebook_retravaill!J513&gt;[1]Result_notebook_retravaill!G513,0,[1]Result_notebook_retravaill!M513))</f>
        <v>1855.5643647638899</v>
      </c>
    </row>
    <row r="514" spans="1:12">
      <c r="A514">
        <f>[1]Result_notebook_retravaill!A514</f>
        <v>2030</v>
      </c>
      <c r="B514" t="str">
        <f>[1]Result_notebook_retravaill!B514</f>
        <v>Graphite</v>
      </c>
      <c r="C514" t="str">
        <f>[1]Result_notebook_retravaill!C514</f>
        <v>Canada Net-zero</v>
      </c>
      <c r="D514" t="str">
        <f>[1]Result_notebook_retravaill!D514</f>
        <v>Production potential</v>
      </c>
      <c r="E514" t="str">
        <f>[1]Result_notebook_retravaill!E514</f>
        <v>Current shares</v>
      </c>
      <c r="F514" t="str">
        <f>[1]Result_notebook_retravaill!F514</f>
        <v>Expansion Extractive</v>
      </c>
      <c r="G514">
        <f>[1]Result_notebook_retravaill!G514</f>
        <v>1855.5643647638899</v>
      </c>
      <c r="H514" s="3">
        <f>IF([1]Result_notebook_retravaill!I514&gt;[1]Result_notebook_retravaill!G514,[1]Result_notebook_retravaill!I514/[1]Result_notebook_retravaill!N514,[1]Result_notebook_retravaill!H514)</f>
        <v>54975.01391443688</v>
      </c>
      <c r="I514" s="3">
        <f>[1]Result_notebook_retravaill!K514</f>
        <v>0</v>
      </c>
      <c r="J514" s="3">
        <f>MIN(G514,[1]Result_notebook_retravaill!I514)</f>
        <v>1855.5643647638899</v>
      </c>
      <c r="K514" s="3">
        <f>IF([1]Result_notebook_retravaill!I514&gt;[1]Result_notebook_retravaill!G514,0,IF([1]Result_notebook_retravaill!I514+[1]Result_notebook_retravaill!J514&gt;[1]Result_notebook_retravaill!G514,[1]Result_notebook_retravaill!G514-[1]Result_notebook_retravaill!I514,[1]Result_notebook_retravaill!J514))</f>
        <v>0</v>
      </c>
      <c r="L514" s="3">
        <f>IF([1]Result_notebook_retravaill!I514&gt;[1]Result_notebook_retravaill!G514,0,IF([1]Result_notebook_retravaill!I514+[1]Result_notebook_retravaill!J514&gt;[1]Result_notebook_retravaill!G514,0,[1]Result_notebook_retravaill!M514))</f>
        <v>0</v>
      </c>
    </row>
    <row r="515" spans="1:12">
      <c r="A515">
        <f>[1]Result_notebook_retravaill!A515</f>
        <v>2030</v>
      </c>
      <c r="B515" t="str">
        <f>[1]Result_notebook_retravaill!B515</f>
        <v>Graphite</v>
      </c>
      <c r="C515" t="str">
        <f>[1]Result_notebook_retravaill!C515</f>
        <v>Canada Net-zero</v>
      </c>
      <c r="D515" t="str">
        <f>[1]Result_notebook_retravaill!D515</f>
        <v>Production potential</v>
      </c>
      <c r="E515" t="str">
        <f>[1]Result_notebook_retravaill!E515</f>
        <v>Current shares</v>
      </c>
      <c r="F515" t="str">
        <f>[1]Result_notebook_retravaill!F515</f>
        <v>Expansion Extractive+Circularity</v>
      </c>
      <c r="G515">
        <f>[1]Result_notebook_retravaill!G515</f>
        <v>1855.5643647638899</v>
      </c>
      <c r="H515" s="3">
        <f>IF([1]Result_notebook_retravaill!I515&gt;[1]Result_notebook_retravaill!G515,[1]Result_notebook_retravaill!I515/[1]Result_notebook_retravaill!N515,[1]Result_notebook_retravaill!H515)</f>
        <v>54975.01391443688</v>
      </c>
      <c r="I515" s="3">
        <f>[1]Result_notebook_retravaill!K515</f>
        <v>0</v>
      </c>
      <c r="J515" s="3">
        <f>MIN(G515,[1]Result_notebook_retravaill!I515)</f>
        <v>1855.5643647638899</v>
      </c>
      <c r="K515" s="3">
        <f>IF([1]Result_notebook_retravaill!I515&gt;[1]Result_notebook_retravaill!G515,0,IF([1]Result_notebook_retravaill!I515+[1]Result_notebook_retravaill!J515&gt;[1]Result_notebook_retravaill!G515,[1]Result_notebook_retravaill!G515-[1]Result_notebook_retravaill!I515,[1]Result_notebook_retravaill!J515))</f>
        <v>0</v>
      </c>
      <c r="L515" s="3">
        <f>IF([1]Result_notebook_retravaill!I515&gt;[1]Result_notebook_retravaill!G515,0,IF([1]Result_notebook_retravaill!I515+[1]Result_notebook_retravaill!J515&gt;[1]Result_notebook_retravaill!G515,0,[1]Result_notebook_retravaill!M515))</f>
        <v>0</v>
      </c>
    </row>
    <row r="516" spans="1:12">
      <c r="A516">
        <f>[1]Result_notebook_retravaill!A516</f>
        <v>2030</v>
      </c>
      <c r="B516" t="str">
        <f>[1]Result_notebook_retravaill!B516</f>
        <v>Graphite</v>
      </c>
      <c r="C516" t="str">
        <f>[1]Result_notebook_retravaill!C516</f>
        <v>Canada Net-zero</v>
      </c>
      <c r="D516" t="str">
        <f>[1]Result_notebook_retravaill!D516</f>
        <v>Production potential</v>
      </c>
      <c r="E516" t="str">
        <f>[1]Result_notebook_retravaill!E516</f>
        <v>100% CAN</v>
      </c>
      <c r="F516" t="str">
        <f>[1]Result_notebook_retravaill!F516</f>
        <v>Integrated</v>
      </c>
      <c r="G516">
        <f>[1]Result_notebook_retravaill!G516</f>
        <v>1855.5643647638899</v>
      </c>
      <c r="H516" s="3">
        <f>IF([1]Result_notebook_retravaill!I516&gt;[1]Result_notebook_retravaill!G516,[1]Result_notebook_retravaill!I516/[1]Result_notebook_retravaill!N516,[1]Result_notebook_retravaill!H516)</f>
        <v>54975.01391443688</v>
      </c>
      <c r="I516" s="3">
        <f>[1]Result_notebook_retravaill!K516</f>
        <v>0</v>
      </c>
      <c r="J516" s="3">
        <f>MIN(G516,[1]Result_notebook_retravaill!I516)</f>
        <v>1855.5643647638899</v>
      </c>
      <c r="K516" s="3">
        <f>IF([1]Result_notebook_retravaill!I516&gt;[1]Result_notebook_retravaill!G516,0,IF([1]Result_notebook_retravaill!I516+[1]Result_notebook_retravaill!J516&gt;[1]Result_notebook_retravaill!G516,[1]Result_notebook_retravaill!G516-[1]Result_notebook_retravaill!I516,[1]Result_notebook_retravaill!J516))</f>
        <v>0</v>
      </c>
      <c r="L516" s="3">
        <f>IF([1]Result_notebook_retravaill!I516&gt;[1]Result_notebook_retravaill!G516,0,IF([1]Result_notebook_retravaill!I516+[1]Result_notebook_retravaill!J516&gt;[1]Result_notebook_retravaill!G516,0,[1]Result_notebook_retravaill!M516))</f>
        <v>0</v>
      </c>
    </row>
    <row r="517" spans="1:12">
      <c r="A517">
        <f>[1]Result_notebook_retravaill!A517</f>
        <v>2030</v>
      </c>
      <c r="B517" t="str">
        <f>[1]Result_notebook_retravaill!B517</f>
        <v>Graphite</v>
      </c>
      <c r="C517" t="str">
        <f>[1]Result_notebook_retravaill!C517</f>
        <v>Current Measures</v>
      </c>
      <c r="D517" t="str">
        <f>[1]Result_notebook_retravaill!D517</f>
        <v>Existing production</v>
      </c>
      <c r="E517" t="str">
        <f>[1]Result_notebook_retravaill!E517</f>
        <v>Current shares</v>
      </c>
      <c r="F517" t="str">
        <f>[1]Result_notebook_retravaill!F517</f>
        <v>NIMBY</v>
      </c>
      <c r="G517">
        <f>[1]Result_notebook_retravaill!G517</f>
        <v>872.97124354802133</v>
      </c>
      <c r="H517" s="3">
        <f>IF([1]Result_notebook_retravaill!I517&gt;[1]Result_notebook_retravaill!G517,[1]Result_notebook_retravaill!I517/[1]Result_notebook_retravaill!N517,[1]Result_notebook_retravaill!H517)</f>
        <v>0</v>
      </c>
      <c r="I517" s="3">
        <f>[1]Result_notebook_retravaill!K517</f>
        <v>872.97124354802133</v>
      </c>
      <c r="J517" s="3">
        <f>MIN(G517,[1]Result_notebook_retravaill!I517)</f>
        <v>0</v>
      </c>
      <c r="K517" s="3">
        <f>IF([1]Result_notebook_retravaill!I517&gt;[1]Result_notebook_retravaill!G517,0,IF([1]Result_notebook_retravaill!I517+[1]Result_notebook_retravaill!J517&gt;[1]Result_notebook_retravaill!G517,[1]Result_notebook_retravaill!G517-[1]Result_notebook_retravaill!I517,[1]Result_notebook_retravaill!J517))</f>
        <v>0</v>
      </c>
      <c r="L517" s="3">
        <f>IF([1]Result_notebook_retravaill!I517&gt;[1]Result_notebook_retravaill!G517,0,IF([1]Result_notebook_retravaill!I517+[1]Result_notebook_retravaill!J517&gt;[1]Result_notebook_retravaill!G517,0,[1]Result_notebook_retravaill!M517))</f>
        <v>872.97124354802133</v>
      </c>
    </row>
    <row r="518" spans="1:12">
      <c r="A518">
        <f>[1]Result_notebook_retravaill!A518</f>
        <v>2030</v>
      </c>
      <c r="B518" t="str">
        <f>[1]Result_notebook_retravaill!B518</f>
        <v>Graphite</v>
      </c>
      <c r="C518" t="str">
        <f>[1]Result_notebook_retravaill!C518</f>
        <v>Current Measures</v>
      </c>
      <c r="D518" t="str">
        <f>[1]Result_notebook_retravaill!D518</f>
        <v>Existing production</v>
      </c>
      <c r="E518" t="str">
        <f>[1]Result_notebook_retravaill!E518</f>
        <v>Current shares</v>
      </c>
      <c r="F518" t="str">
        <f>[1]Result_notebook_retravaill!F518</f>
        <v>Status Quo</v>
      </c>
      <c r="G518">
        <f>[1]Result_notebook_retravaill!G518</f>
        <v>872.97124354802133</v>
      </c>
      <c r="H518" s="3">
        <f>IF([1]Result_notebook_retravaill!I518&gt;[1]Result_notebook_retravaill!G518,[1]Result_notebook_retravaill!I518/[1]Result_notebook_retravaill!N518,[1]Result_notebook_retravaill!H518)</f>
        <v>0</v>
      </c>
      <c r="I518" s="3">
        <f>[1]Result_notebook_retravaill!K518</f>
        <v>872.97124354802133</v>
      </c>
      <c r="J518" s="3">
        <f>MIN(G518,[1]Result_notebook_retravaill!I518)</f>
        <v>0</v>
      </c>
      <c r="K518" s="3">
        <f>IF([1]Result_notebook_retravaill!I518&gt;[1]Result_notebook_retravaill!G518,0,IF([1]Result_notebook_retravaill!I518+[1]Result_notebook_retravaill!J518&gt;[1]Result_notebook_retravaill!G518,[1]Result_notebook_retravaill!G518-[1]Result_notebook_retravaill!I518,[1]Result_notebook_retravaill!J518))</f>
        <v>0</v>
      </c>
      <c r="L518" s="3">
        <f>IF([1]Result_notebook_retravaill!I518&gt;[1]Result_notebook_retravaill!G518,0,IF([1]Result_notebook_retravaill!I518+[1]Result_notebook_retravaill!J518&gt;[1]Result_notebook_retravaill!G518,0,[1]Result_notebook_retravaill!M518))</f>
        <v>872.97124354802133</v>
      </c>
    </row>
    <row r="519" spans="1:12">
      <c r="A519">
        <f>[1]Result_notebook_retravaill!A519</f>
        <v>2030</v>
      </c>
      <c r="B519" t="str">
        <f>[1]Result_notebook_retravaill!B519</f>
        <v>Graphite</v>
      </c>
      <c r="C519" t="str">
        <f>[1]Result_notebook_retravaill!C519</f>
        <v>Current Measures</v>
      </c>
      <c r="D519" t="str">
        <f>[1]Result_notebook_retravaill!D519</f>
        <v>Production potential</v>
      </c>
      <c r="E519" t="str">
        <f>[1]Result_notebook_retravaill!E519</f>
        <v>Current shares</v>
      </c>
      <c r="F519" t="str">
        <f>[1]Result_notebook_retravaill!F519</f>
        <v>Expansion Extractive</v>
      </c>
      <c r="G519">
        <f>[1]Result_notebook_retravaill!G519</f>
        <v>872.97124354802133</v>
      </c>
      <c r="H519" s="3">
        <f>IF([1]Result_notebook_retravaill!I519&gt;[1]Result_notebook_retravaill!G519,[1]Result_notebook_retravaill!I519/[1]Result_notebook_retravaill!N519,[1]Result_notebook_retravaill!H519)</f>
        <v>54975.01391443688</v>
      </c>
      <c r="I519" s="3">
        <f>[1]Result_notebook_retravaill!K519</f>
        <v>0</v>
      </c>
      <c r="J519" s="3">
        <f>MIN(G519,[1]Result_notebook_retravaill!I519)</f>
        <v>872.97124354802133</v>
      </c>
      <c r="K519" s="3">
        <f>IF([1]Result_notebook_retravaill!I519&gt;[1]Result_notebook_retravaill!G519,0,IF([1]Result_notebook_retravaill!I519+[1]Result_notebook_retravaill!J519&gt;[1]Result_notebook_retravaill!G519,[1]Result_notebook_retravaill!G519-[1]Result_notebook_retravaill!I519,[1]Result_notebook_retravaill!J519))</f>
        <v>0</v>
      </c>
      <c r="L519" s="3">
        <f>IF([1]Result_notebook_retravaill!I519&gt;[1]Result_notebook_retravaill!G519,0,IF([1]Result_notebook_retravaill!I519+[1]Result_notebook_retravaill!J519&gt;[1]Result_notebook_retravaill!G519,0,[1]Result_notebook_retravaill!M519))</f>
        <v>0</v>
      </c>
    </row>
    <row r="520" spans="1:12">
      <c r="A520">
        <f>[1]Result_notebook_retravaill!A520</f>
        <v>2030</v>
      </c>
      <c r="B520" t="str">
        <f>[1]Result_notebook_retravaill!B520</f>
        <v>Graphite</v>
      </c>
      <c r="C520" t="str">
        <f>[1]Result_notebook_retravaill!C520</f>
        <v>Current Measures</v>
      </c>
      <c r="D520" t="str">
        <f>[1]Result_notebook_retravaill!D520</f>
        <v>Production potential</v>
      </c>
      <c r="E520" t="str">
        <f>[1]Result_notebook_retravaill!E520</f>
        <v>Current shares</v>
      </c>
      <c r="F520" t="str">
        <f>[1]Result_notebook_retravaill!F520</f>
        <v>Expansion Extractive+Circularity</v>
      </c>
      <c r="G520">
        <f>[1]Result_notebook_retravaill!G520</f>
        <v>872.97124354802133</v>
      </c>
      <c r="H520" s="3">
        <f>IF([1]Result_notebook_retravaill!I520&gt;[1]Result_notebook_retravaill!G520,[1]Result_notebook_retravaill!I520/[1]Result_notebook_retravaill!N520,[1]Result_notebook_retravaill!H520)</f>
        <v>54975.01391443688</v>
      </c>
      <c r="I520" s="3">
        <f>[1]Result_notebook_retravaill!K520</f>
        <v>0</v>
      </c>
      <c r="J520" s="3">
        <f>MIN(G520,[1]Result_notebook_retravaill!I520)</f>
        <v>872.97124354802133</v>
      </c>
      <c r="K520" s="3">
        <f>IF([1]Result_notebook_retravaill!I520&gt;[1]Result_notebook_retravaill!G520,0,IF([1]Result_notebook_retravaill!I520+[1]Result_notebook_retravaill!J520&gt;[1]Result_notebook_retravaill!G520,[1]Result_notebook_retravaill!G520-[1]Result_notebook_retravaill!I520,[1]Result_notebook_retravaill!J520))</f>
        <v>0</v>
      </c>
      <c r="L520" s="3">
        <f>IF([1]Result_notebook_retravaill!I520&gt;[1]Result_notebook_retravaill!G520,0,IF([1]Result_notebook_retravaill!I520+[1]Result_notebook_retravaill!J520&gt;[1]Result_notebook_retravaill!G520,0,[1]Result_notebook_retravaill!M520))</f>
        <v>0</v>
      </c>
    </row>
    <row r="521" spans="1:12">
      <c r="A521">
        <f>[1]Result_notebook_retravaill!A521</f>
        <v>2030</v>
      </c>
      <c r="B521" t="str">
        <f>[1]Result_notebook_retravaill!B521</f>
        <v>Graphite</v>
      </c>
      <c r="C521" t="str">
        <f>[1]Result_notebook_retravaill!C521</f>
        <v>Current Measures</v>
      </c>
      <c r="D521" t="str">
        <f>[1]Result_notebook_retravaill!D521</f>
        <v>Production potential</v>
      </c>
      <c r="E521" t="str">
        <f>[1]Result_notebook_retravaill!E521</f>
        <v>100% CAN</v>
      </c>
      <c r="F521" t="str">
        <f>[1]Result_notebook_retravaill!F521</f>
        <v>Integrated</v>
      </c>
      <c r="G521">
        <f>[1]Result_notebook_retravaill!G521</f>
        <v>872.97124354802133</v>
      </c>
      <c r="H521" s="3">
        <f>IF([1]Result_notebook_retravaill!I521&gt;[1]Result_notebook_retravaill!G521,[1]Result_notebook_retravaill!I521/[1]Result_notebook_retravaill!N521,[1]Result_notebook_retravaill!H521)</f>
        <v>54975.01391443688</v>
      </c>
      <c r="I521" s="3">
        <f>[1]Result_notebook_retravaill!K521</f>
        <v>0</v>
      </c>
      <c r="J521" s="3">
        <f>MIN(G521,[1]Result_notebook_retravaill!I521)</f>
        <v>872.97124354802133</v>
      </c>
      <c r="K521" s="3">
        <f>IF([1]Result_notebook_retravaill!I521&gt;[1]Result_notebook_retravaill!G521,0,IF([1]Result_notebook_retravaill!I521+[1]Result_notebook_retravaill!J521&gt;[1]Result_notebook_retravaill!G521,[1]Result_notebook_retravaill!G521-[1]Result_notebook_retravaill!I521,[1]Result_notebook_retravaill!J521))</f>
        <v>0</v>
      </c>
      <c r="L521" s="3">
        <f>IF([1]Result_notebook_retravaill!I521&gt;[1]Result_notebook_retravaill!G521,0,IF([1]Result_notebook_retravaill!I521+[1]Result_notebook_retravaill!J521&gt;[1]Result_notebook_retravaill!G521,0,[1]Result_notebook_retravaill!M521))</f>
        <v>0</v>
      </c>
    </row>
    <row r="522" spans="1:12">
      <c r="A522">
        <f>[1]Result_notebook_retravaill!A522</f>
        <v>2030</v>
      </c>
      <c r="B522" t="str">
        <f>[1]Result_notebook_retravaill!B522</f>
        <v>Graphite</v>
      </c>
      <c r="C522" t="str">
        <f>[1]Result_notebook_retravaill!C522</f>
        <v>Global Net-zero</v>
      </c>
      <c r="D522" t="str">
        <f>[1]Result_notebook_retravaill!D522</f>
        <v>Existing production</v>
      </c>
      <c r="E522" t="str">
        <f>[1]Result_notebook_retravaill!E522</f>
        <v>Current shares</v>
      </c>
      <c r="F522" t="str">
        <f>[1]Result_notebook_retravaill!F522</f>
        <v>NIMBY</v>
      </c>
      <c r="G522">
        <f>[1]Result_notebook_retravaill!G522</f>
        <v>1761.827543456644</v>
      </c>
      <c r="H522" s="3">
        <f>IF([1]Result_notebook_retravaill!I522&gt;[1]Result_notebook_retravaill!G522,[1]Result_notebook_retravaill!I522/[1]Result_notebook_retravaill!N522,[1]Result_notebook_retravaill!H522)</f>
        <v>0</v>
      </c>
      <c r="I522" s="3">
        <f>[1]Result_notebook_retravaill!K522</f>
        <v>1761.827543456644</v>
      </c>
      <c r="J522" s="3">
        <f>MIN(G522,[1]Result_notebook_retravaill!I522)</f>
        <v>0</v>
      </c>
      <c r="K522" s="3">
        <f>IF([1]Result_notebook_retravaill!I522&gt;[1]Result_notebook_retravaill!G522,0,IF([1]Result_notebook_retravaill!I522+[1]Result_notebook_retravaill!J522&gt;[1]Result_notebook_retravaill!G522,[1]Result_notebook_retravaill!G522-[1]Result_notebook_retravaill!I522,[1]Result_notebook_retravaill!J522))</f>
        <v>0</v>
      </c>
      <c r="L522" s="3">
        <f>IF([1]Result_notebook_retravaill!I522&gt;[1]Result_notebook_retravaill!G522,0,IF([1]Result_notebook_retravaill!I522+[1]Result_notebook_retravaill!J522&gt;[1]Result_notebook_retravaill!G522,0,[1]Result_notebook_retravaill!M522))</f>
        <v>1761.827543456644</v>
      </c>
    </row>
    <row r="523" spans="1:12">
      <c r="A523">
        <f>[1]Result_notebook_retravaill!A523</f>
        <v>2030</v>
      </c>
      <c r="B523" t="str">
        <f>[1]Result_notebook_retravaill!B523</f>
        <v>Graphite</v>
      </c>
      <c r="C523" t="str">
        <f>[1]Result_notebook_retravaill!C523</f>
        <v>Global Net-zero</v>
      </c>
      <c r="D523" t="str">
        <f>[1]Result_notebook_retravaill!D523</f>
        <v>Existing production</v>
      </c>
      <c r="E523" t="str">
        <f>[1]Result_notebook_retravaill!E523</f>
        <v>Current shares</v>
      </c>
      <c r="F523" t="str">
        <f>[1]Result_notebook_retravaill!F523</f>
        <v>Status Quo</v>
      </c>
      <c r="G523">
        <f>[1]Result_notebook_retravaill!G523</f>
        <v>1761.827543456644</v>
      </c>
      <c r="H523" s="3">
        <f>IF([1]Result_notebook_retravaill!I523&gt;[1]Result_notebook_retravaill!G523,[1]Result_notebook_retravaill!I523/[1]Result_notebook_retravaill!N523,[1]Result_notebook_retravaill!H523)</f>
        <v>0</v>
      </c>
      <c r="I523" s="3">
        <f>[1]Result_notebook_retravaill!K523</f>
        <v>1761.827543456644</v>
      </c>
      <c r="J523" s="3">
        <f>MIN(G523,[1]Result_notebook_retravaill!I523)</f>
        <v>0</v>
      </c>
      <c r="K523" s="3">
        <f>IF([1]Result_notebook_retravaill!I523&gt;[1]Result_notebook_retravaill!G523,0,IF([1]Result_notebook_retravaill!I523+[1]Result_notebook_retravaill!J523&gt;[1]Result_notebook_retravaill!G523,[1]Result_notebook_retravaill!G523-[1]Result_notebook_retravaill!I523,[1]Result_notebook_retravaill!J523))</f>
        <v>0</v>
      </c>
      <c r="L523" s="3">
        <f>IF([1]Result_notebook_retravaill!I523&gt;[1]Result_notebook_retravaill!G523,0,IF([1]Result_notebook_retravaill!I523+[1]Result_notebook_retravaill!J523&gt;[1]Result_notebook_retravaill!G523,0,[1]Result_notebook_retravaill!M523))</f>
        <v>1761.827543456644</v>
      </c>
    </row>
    <row r="524" spans="1:12">
      <c r="A524">
        <f>[1]Result_notebook_retravaill!A524</f>
        <v>2030</v>
      </c>
      <c r="B524" t="str">
        <f>[1]Result_notebook_retravaill!B524</f>
        <v>Graphite</v>
      </c>
      <c r="C524" t="str">
        <f>[1]Result_notebook_retravaill!C524</f>
        <v>Global Net-zero</v>
      </c>
      <c r="D524" t="str">
        <f>[1]Result_notebook_retravaill!D524</f>
        <v>Production potential</v>
      </c>
      <c r="E524" t="str">
        <f>[1]Result_notebook_retravaill!E524</f>
        <v>Current shares</v>
      </c>
      <c r="F524" t="str">
        <f>[1]Result_notebook_retravaill!F524</f>
        <v>Expansion Extractive</v>
      </c>
      <c r="G524">
        <f>[1]Result_notebook_retravaill!G524</f>
        <v>1761.827543456644</v>
      </c>
      <c r="H524" s="3">
        <f>IF([1]Result_notebook_retravaill!I524&gt;[1]Result_notebook_retravaill!G524,[1]Result_notebook_retravaill!I524/[1]Result_notebook_retravaill!N524,[1]Result_notebook_retravaill!H524)</f>
        <v>54975.01391443688</v>
      </c>
      <c r="I524" s="3">
        <f>[1]Result_notebook_retravaill!K524</f>
        <v>0</v>
      </c>
      <c r="J524" s="3">
        <f>MIN(G524,[1]Result_notebook_retravaill!I524)</f>
        <v>1761.827543456644</v>
      </c>
      <c r="K524" s="3">
        <f>IF([1]Result_notebook_retravaill!I524&gt;[1]Result_notebook_retravaill!G524,0,IF([1]Result_notebook_retravaill!I524+[1]Result_notebook_retravaill!J524&gt;[1]Result_notebook_retravaill!G524,[1]Result_notebook_retravaill!G524-[1]Result_notebook_retravaill!I524,[1]Result_notebook_retravaill!J524))</f>
        <v>0</v>
      </c>
      <c r="L524" s="3">
        <f>IF([1]Result_notebook_retravaill!I524&gt;[1]Result_notebook_retravaill!G524,0,IF([1]Result_notebook_retravaill!I524+[1]Result_notebook_retravaill!J524&gt;[1]Result_notebook_retravaill!G524,0,[1]Result_notebook_retravaill!M524))</f>
        <v>0</v>
      </c>
    </row>
    <row r="525" spans="1:12">
      <c r="A525">
        <f>[1]Result_notebook_retravaill!A525</f>
        <v>2030</v>
      </c>
      <c r="B525" t="str">
        <f>[1]Result_notebook_retravaill!B525</f>
        <v>Graphite</v>
      </c>
      <c r="C525" t="str">
        <f>[1]Result_notebook_retravaill!C525</f>
        <v>Global Net-zero</v>
      </c>
      <c r="D525" t="str">
        <f>[1]Result_notebook_retravaill!D525</f>
        <v>Production potential</v>
      </c>
      <c r="E525" t="str">
        <f>[1]Result_notebook_retravaill!E525</f>
        <v>Current shares</v>
      </c>
      <c r="F525" t="str">
        <f>[1]Result_notebook_retravaill!F525</f>
        <v>Expansion Extractive+Circularity</v>
      </c>
      <c r="G525">
        <f>[1]Result_notebook_retravaill!G525</f>
        <v>1761.827543456644</v>
      </c>
      <c r="H525" s="3">
        <f>IF([1]Result_notebook_retravaill!I525&gt;[1]Result_notebook_retravaill!G525,[1]Result_notebook_retravaill!I525/[1]Result_notebook_retravaill!N525,[1]Result_notebook_retravaill!H525)</f>
        <v>54975.01391443688</v>
      </c>
      <c r="I525" s="3">
        <f>[1]Result_notebook_retravaill!K525</f>
        <v>0</v>
      </c>
      <c r="J525" s="3">
        <f>MIN(G525,[1]Result_notebook_retravaill!I525)</f>
        <v>1761.827543456644</v>
      </c>
      <c r="K525" s="3">
        <f>IF([1]Result_notebook_retravaill!I525&gt;[1]Result_notebook_retravaill!G525,0,IF([1]Result_notebook_retravaill!I525+[1]Result_notebook_retravaill!J525&gt;[1]Result_notebook_retravaill!G525,[1]Result_notebook_retravaill!G525-[1]Result_notebook_retravaill!I525,[1]Result_notebook_retravaill!J525))</f>
        <v>0</v>
      </c>
      <c r="L525" s="3">
        <f>IF([1]Result_notebook_retravaill!I525&gt;[1]Result_notebook_retravaill!G525,0,IF([1]Result_notebook_retravaill!I525+[1]Result_notebook_retravaill!J525&gt;[1]Result_notebook_retravaill!G525,0,[1]Result_notebook_retravaill!M525))</f>
        <v>0</v>
      </c>
    </row>
    <row r="526" spans="1:12">
      <c r="A526">
        <f>[1]Result_notebook_retravaill!A526</f>
        <v>2030</v>
      </c>
      <c r="B526" t="str">
        <f>[1]Result_notebook_retravaill!B526</f>
        <v>Graphite</v>
      </c>
      <c r="C526" t="str">
        <f>[1]Result_notebook_retravaill!C526</f>
        <v>Global Net-zero</v>
      </c>
      <c r="D526" t="str">
        <f>[1]Result_notebook_retravaill!D526</f>
        <v>Production potential</v>
      </c>
      <c r="E526" t="str">
        <f>[1]Result_notebook_retravaill!E526</f>
        <v>100% CAN</v>
      </c>
      <c r="F526" t="str">
        <f>[1]Result_notebook_retravaill!F526</f>
        <v>Integrated</v>
      </c>
      <c r="G526">
        <f>[1]Result_notebook_retravaill!G526</f>
        <v>1761.827543456644</v>
      </c>
      <c r="H526" s="3">
        <f>IF([1]Result_notebook_retravaill!I526&gt;[1]Result_notebook_retravaill!G526,[1]Result_notebook_retravaill!I526/[1]Result_notebook_retravaill!N526,[1]Result_notebook_retravaill!H526)</f>
        <v>54975.01391443688</v>
      </c>
      <c r="I526" s="3">
        <f>[1]Result_notebook_retravaill!K526</f>
        <v>0</v>
      </c>
      <c r="J526" s="3">
        <f>MIN(G526,[1]Result_notebook_retravaill!I526)</f>
        <v>1761.827543456644</v>
      </c>
      <c r="K526" s="3">
        <f>IF([1]Result_notebook_retravaill!I526&gt;[1]Result_notebook_retravaill!G526,0,IF([1]Result_notebook_retravaill!I526+[1]Result_notebook_retravaill!J526&gt;[1]Result_notebook_retravaill!G526,[1]Result_notebook_retravaill!G526-[1]Result_notebook_retravaill!I526,[1]Result_notebook_retravaill!J526))</f>
        <v>0</v>
      </c>
      <c r="L526" s="3">
        <f>IF([1]Result_notebook_retravaill!I526&gt;[1]Result_notebook_retravaill!G526,0,IF([1]Result_notebook_retravaill!I526+[1]Result_notebook_retravaill!J526&gt;[1]Result_notebook_retravaill!G526,0,[1]Result_notebook_retravaill!M526))</f>
        <v>0</v>
      </c>
    </row>
    <row r="527" spans="1:12">
      <c r="A527">
        <f>[1]Result_notebook_retravaill!A527</f>
        <v>2030</v>
      </c>
      <c r="B527" t="str">
        <f>[1]Result_notebook_retravaill!B527</f>
        <v>Lithium</v>
      </c>
      <c r="C527" t="str">
        <f>[1]Result_notebook_retravaill!C527</f>
        <v>Canada Net-zero</v>
      </c>
      <c r="D527" t="str">
        <f>[1]Result_notebook_retravaill!D527</f>
        <v>Existing production</v>
      </c>
      <c r="E527" t="str">
        <f>[1]Result_notebook_retravaill!E527</f>
        <v>Current shares</v>
      </c>
      <c r="F527" t="str">
        <f>[1]Result_notebook_retravaill!F527</f>
        <v>NIMBY</v>
      </c>
      <c r="G527">
        <f>[1]Result_notebook_retravaill!G527</f>
        <v>30338.572462274031</v>
      </c>
      <c r="H527" s="3">
        <f>IF([1]Result_notebook_retravaill!I527&gt;[1]Result_notebook_retravaill!G527,[1]Result_notebook_retravaill!I527/[1]Result_notebook_retravaill!N527,[1]Result_notebook_retravaill!H527)</f>
        <v>0</v>
      </c>
      <c r="I527" s="3">
        <f>[1]Result_notebook_retravaill!K527</f>
        <v>43340.817803248618</v>
      </c>
      <c r="J527" s="3">
        <f>MIN(G527,[1]Result_notebook_retravaill!I527)</f>
        <v>0</v>
      </c>
      <c r="K527" s="3">
        <f>IF([1]Result_notebook_retravaill!I527&gt;[1]Result_notebook_retravaill!G527,0,IF([1]Result_notebook_retravaill!I527+[1]Result_notebook_retravaill!J527&gt;[1]Result_notebook_retravaill!G527,[1]Result_notebook_retravaill!G527-[1]Result_notebook_retravaill!I527,[1]Result_notebook_retravaill!J527))</f>
        <v>0</v>
      </c>
      <c r="L527" s="3">
        <f>IF([1]Result_notebook_retravaill!I527&gt;[1]Result_notebook_retravaill!G527,0,IF([1]Result_notebook_retravaill!I527+[1]Result_notebook_retravaill!J527&gt;[1]Result_notebook_retravaill!G527,0,[1]Result_notebook_retravaill!M527))</f>
        <v>30338.572462274031</v>
      </c>
    </row>
    <row r="528" spans="1:12">
      <c r="A528">
        <f>[1]Result_notebook_retravaill!A528</f>
        <v>2030</v>
      </c>
      <c r="B528" t="str">
        <f>[1]Result_notebook_retravaill!B528</f>
        <v>Lithium</v>
      </c>
      <c r="C528" t="str">
        <f>[1]Result_notebook_retravaill!C528</f>
        <v>Canada Net-zero</v>
      </c>
      <c r="D528" t="str">
        <f>[1]Result_notebook_retravaill!D528</f>
        <v>Existing production</v>
      </c>
      <c r="E528" t="str">
        <f>[1]Result_notebook_retravaill!E528</f>
        <v>Current shares</v>
      </c>
      <c r="F528" t="str">
        <f>[1]Result_notebook_retravaill!F528</f>
        <v>Status Quo</v>
      </c>
      <c r="G528">
        <f>[1]Result_notebook_retravaill!G528</f>
        <v>30338.572462274031</v>
      </c>
      <c r="H528" s="3">
        <f>IF([1]Result_notebook_retravaill!I528&gt;[1]Result_notebook_retravaill!G528,[1]Result_notebook_retravaill!I528/[1]Result_notebook_retravaill!N528,[1]Result_notebook_retravaill!H528)</f>
        <v>38979</v>
      </c>
      <c r="I528" s="3">
        <f>[1]Result_notebook_retravaill!K528</f>
        <v>4361.8178032486176</v>
      </c>
      <c r="J528" s="3">
        <f>MIN(G528,[1]Result_notebook_retravaill!I528)</f>
        <v>27252.965785816788</v>
      </c>
      <c r="K528" s="3">
        <f>IF([1]Result_notebook_retravaill!I528&gt;[1]Result_notebook_retravaill!G528,0,IF([1]Result_notebook_retravaill!I528+[1]Result_notebook_retravaill!J528&gt;[1]Result_notebook_retravaill!G528,[1]Result_notebook_retravaill!G528-[1]Result_notebook_retravaill!I528,[1]Result_notebook_retravaill!J528))</f>
        <v>3085.6066764572424</v>
      </c>
      <c r="L528" s="3">
        <f>IF([1]Result_notebook_retravaill!I528&gt;[1]Result_notebook_retravaill!G528,0,IF([1]Result_notebook_retravaill!I528+[1]Result_notebook_retravaill!J528&gt;[1]Result_notebook_retravaill!G528,0,[1]Result_notebook_retravaill!M528))</f>
        <v>0</v>
      </c>
    </row>
    <row r="529" spans="1:12">
      <c r="A529">
        <f>[1]Result_notebook_retravaill!A529</f>
        <v>2030</v>
      </c>
      <c r="B529" t="str">
        <f>[1]Result_notebook_retravaill!B529</f>
        <v>Lithium</v>
      </c>
      <c r="C529" t="str">
        <f>[1]Result_notebook_retravaill!C529</f>
        <v>Canada Net-zero</v>
      </c>
      <c r="D529" t="str">
        <f>[1]Result_notebook_retravaill!D529</f>
        <v>Production potential</v>
      </c>
      <c r="E529" t="str">
        <f>[1]Result_notebook_retravaill!E529</f>
        <v>Current shares</v>
      </c>
      <c r="F529" t="str">
        <f>[1]Result_notebook_retravaill!F529</f>
        <v>Expansion Extractive</v>
      </c>
      <c r="G529">
        <f>[1]Result_notebook_retravaill!G529</f>
        <v>30338.572462274031</v>
      </c>
      <c r="H529" s="3">
        <f>IF([1]Result_notebook_retravaill!I529&gt;[1]Result_notebook_retravaill!G529,[1]Result_notebook_retravaill!I529/[1]Result_notebook_retravaill!N529,[1]Result_notebook_retravaill!H529)</f>
        <v>130084.56595615151</v>
      </c>
      <c r="I529" s="3">
        <f>[1]Result_notebook_retravaill!K529</f>
        <v>0</v>
      </c>
      <c r="J529" s="3">
        <f>MIN(G529,[1]Result_notebook_retravaill!I529)</f>
        <v>30338.572462274031</v>
      </c>
      <c r="K529" s="3">
        <f>IF([1]Result_notebook_retravaill!I529&gt;[1]Result_notebook_retravaill!G529,0,IF([1]Result_notebook_retravaill!I529+[1]Result_notebook_retravaill!J529&gt;[1]Result_notebook_retravaill!G529,[1]Result_notebook_retravaill!G529-[1]Result_notebook_retravaill!I529,[1]Result_notebook_retravaill!J529))</f>
        <v>0</v>
      </c>
      <c r="L529" s="3">
        <f>IF([1]Result_notebook_retravaill!I529&gt;[1]Result_notebook_retravaill!G529,0,IF([1]Result_notebook_retravaill!I529+[1]Result_notebook_retravaill!J529&gt;[1]Result_notebook_retravaill!G529,0,[1]Result_notebook_retravaill!M529))</f>
        <v>0</v>
      </c>
    </row>
    <row r="530" spans="1:12">
      <c r="A530">
        <f>[1]Result_notebook_retravaill!A530</f>
        <v>2030</v>
      </c>
      <c r="B530" t="str">
        <f>[1]Result_notebook_retravaill!B530</f>
        <v>Lithium</v>
      </c>
      <c r="C530" t="str">
        <f>[1]Result_notebook_retravaill!C530</f>
        <v>Canada Net-zero</v>
      </c>
      <c r="D530" t="str">
        <f>[1]Result_notebook_retravaill!D530</f>
        <v>Production potential</v>
      </c>
      <c r="E530" t="str">
        <f>[1]Result_notebook_retravaill!E530</f>
        <v>Current shares</v>
      </c>
      <c r="F530" t="str">
        <f>[1]Result_notebook_retravaill!F530</f>
        <v>Expansion Extractive+Circularity</v>
      </c>
      <c r="G530">
        <f>[1]Result_notebook_retravaill!G530</f>
        <v>30338.572462274031</v>
      </c>
      <c r="H530" s="3">
        <f>IF([1]Result_notebook_retravaill!I530&gt;[1]Result_notebook_retravaill!G530,[1]Result_notebook_retravaill!I530/[1]Result_notebook_retravaill!N530,[1]Result_notebook_retravaill!H530)</f>
        <v>130084.56595615151</v>
      </c>
      <c r="I530" s="3">
        <f>[1]Result_notebook_retravaill!K530</f>
        <v>0</v>
      </c>
      <c r="J530" s="3">
        <f>MIN(G530,[1]Result_notebook_retravaill!I530)</f>
        <v>30338.572462274031</v>
      </c>
      <c r="K530" s="3">
        <f>IF([1]Result_notebook_retravaill!I530&gt;[1]Result_notebook_retravaill!G530,0,IF([1]Result_notebook_retravaill!I530+[1]Result_notebook_retravaill!J530&gt;[1]Result_notebook_retravaill!G530,[1]Result_notebook_retravaill!G530-[1]Result_notebook_retravaill!I530,[1]Result_notebook_retravaill!J530))</f>
        <v>0</v>
      </c>
      <c r="L530" s="3">
        <f>IF([1]Result_notebook_retravaill!I530&gt;[1]Result_notebook_retravaill!G530,0,IF([1]Result_notebook_retravaill!I530+[1]Result_notebook_retravaill!J530&gt;[1]Result_notebook_retravaill!G530,0,[1]Result_notebook_retravaill!M530))</f>
        <v>0</v>
      </c>
    </row>
    <row r="531" spans="1:12">
      <c r="A531">
        <f>[1]Result_notebook_retravaill!A531</f>
        <v>2030</v>
      </c>
      <c r="B531" t="str">
        <f>[1]Result_notebook_retravaill!B531</f>
        <v>Lithium</v>
      </c>
      <c r="C531" t="str">
        <f>[1]Result_notebook_retravaill!C531</f>
        <v>Canada Net-zero</v>
      </c>
      <c r="D531" t="str">
        <f>[1]Result_notebook_retravaill!D531</f>
        <v>Production potential</v>
      </c>
      <c r="E531" t="str">
        <f>[1]Result_notebook_retravaill!E531</f>
        <v>100% CAN</v>
      </c>
      <c r="F531" t="str">
        <f>[1]Result_notebook_retravaill!F531</f>
        <v>Integrated</v>
      </c>
      <c r="G531">
        <f>[1]Result_notebook_retravaill!G531</f>
        <v>30338.572462274031</v>
      </c>
      <c r="H531" s="3">
        <f>IF([1]Result_notebook_retravaill!I531&gt;[1]Result_notebook_retravaill!G531,[1]Result_notebook_retravaill!I531/[1]Result_notebook_retravaill!N531,[1]Result_notebook_retravaill!H531)</f>
        <v>130084.56595615151</v>
      </c>
      <c r="I531" s="3">
        <f>[1]Result_notebook_retravaill!K531</f>
        <v>0</v>
      </c>
      <c r="J531" s="3">
        <f>MIN(G531,[1]Result_notebook_retravaill!I531)</f>
        <v>30338.572462274031</v>
      </c>
      <c r="K531" s="3">
        <f>IF([1]Result_notebook_retravaill!I531&gt;[1]Result_notebook_retravaill!G531,0,IF([1]Result_notebook_retravaill!I531+[1]Result_notebook_retravaill!J531&gt;[1]Result_notebook_retravaill!G531,[1]Result_notebook_retravaill!G531-[1]Result_notebook_retravaill!I531,[1]Result_notebook_retravaill!J531))</f>
        <v>0</v>
      </c>
      <c r="L531" s="3">
        <f>IF([1]Result_notebook_retravaill!I531&gt;[1]Result_notebook_retravaill!G531,0,IF([1]Result_notebook_retravaill!I531+[1]Result_notebook_retravaill!J531&gt;[1]Result_notebook_retravaill!G531,0,[1]Result_notebook_retravaill!M531))</f>
        <v>0</v>
      </c>
    </row>
    <row r="532" spans="1:12">
      <c r="A532">
        <f>[1]Result_notebook_retravaill!A532</f>
        <v>2030</v>
      </c>
      <c r="B532" t="str">
        <f>[1]Result_notebook_retravaill!B532</f>
        <v>Lithium</v>
      </c>
      <c r="C532" t="str">
        <f>[1]Result_notebook_retravaill!C532</f>
        <v>Current Measures</v>
      </c>
      <c r="D532" t="str">
        <f>[1]Result_notebook_retravaill!D532</f>
        <v>Existing production</v>
      </c>
      <c r="E532" t="str">
        <f>[1]Result_notebook_retravaill!E532</f>
        <v>Current shares</v>
      </c>
      <c r="F532" t="str">
        <f>[1]Result_notebook_retravaill!F532</f>
        <v>NIMBY</v>
      </c>
      <c r="G532">
        <f>[1]Result_notebook_retravaill!G532</f>
        <v>14273.12457212076</v>
      </c>
      <c r="H532" s="3">
        <f>IF([1]Result_notebook_retravaill!I532&gt;[1]Result_notebook_retravaill!G532,[1]Result_notebook_retravaill!I532/[1]Result_notebook_retravaill!N532,[1]Result_notebook_retravaill!H532)</f>
        <v>0</v>
      </c>
      <c r="I532" s="3">
        <f>[1]Result_notebook_retravaill!K532</f>
        <v>20390.17796017251</v>
      </c>
      <c r="J532" s="3">
        <f>MIN(G532,[1]Result_notebook_retravaill!I532)</f>
        <v>0</v>
      </c>
      <c r="K532" s="3">
        <f>IF([1]Result_notebook_retravaill!I532&gt;[1]Result_notebook_retravaill!G532,0,IF([1]Result_notebook_retravaill!I532+[1]Result_notebook_retravaill!J532&gt;[1]Result_notebook_retravaill!G532,[1]Result_notebook_retravaill!G532-[1]Result_notebook_retravaill!I532,[1]Result_notebook_retravaill!J532))</f>
        <v>0</v>
      </c>
      <c r="L532" s="3">
        <f>IF([1]Result_notebook_retravaill!I532&gt;[1]Result_notebook_retravaill!G532,0,IF([1]Result_notebook_retravaill!I532+[1]Result_notebook_retravaill!J532&gt;[1]Result_notebook_retravaill!G532,0,[1]Result_notebook_retravaill!M532))</f>
        <v>14273.12457212076</v>
      </c>
    </row>
    <row r="533" spans="1:12">
      <c r="A533">
        <f>[1]Result_notebook_retravaill!A533</f>
        <v>2030</v>
      </c>
      <c r="B533" t="str">
        <f>[1]Result_notebook_retravaill!B533</f>
        <v>Lithium</v>
      </c>
      <c r="C533" t="str">
        <f>[1]Result_notebook_retravaill!C533</f>
        <v>Current Measures</v>
      </c>
      <c r="D533" t="str">
        <f>[1]Result_notebook_retravaill!D533</f>
        <v>Existing production</v>
      </c>
      <c r="E533" t="str">
        <f>[1]Result_notebook_retravaill!E533</f>
        <v>Current shares</v>
      </c>
      <c r="F533" t="str">
        <f>[1]Result_notebook_retravaill!F533</f>
        <v>Status Quo</v>
      </c>
      <c r="G533">
        <f>[1]Result_notebook_retravaill!G533</f>
        <v>14273.12457212076</v>
      </c>
      <c r="H533" s="3">
        <f>IF([1]Result_notebook_retravaill!I533&gt;[1]Result_notebook_retravaill!G533,[1]Result_notebook_retravaill!I533/[1]Result_notebook_retravaill!N533,[1]Result_notebook_retravaill!H533)</f>
        <v>34604.52399460059</v>
      </c>
      <c r="I533" s="3">
        <f>[1]Result_notebook_retravaill!K533</f>
        <v>0</v>
      </c>
      <c r="J533" s="3">
        <f>MIN(G533,[1]Result_notebook_retravaill!I533)</f>
        <v>14273.12457212076</v>
      </c>
      <c r="K533" s="3">
        <f>IF([1]Result_notebook_retravaill!I533&gt;[1]Result_notebook_retravaill!G533,0,IF([1]Result_notebook_retravaill!I533+[1]Result_notebook_retravaill!J533&gt;[1]Result_notebook_retravaill!G533,[1]Result_notebook_retravaill!G533-[1]Result_notebook_retravaill!I533,[1]Result_notebook_retravaill!J533))</f>
        <v>0</v>
      </c>
      <c r="L533" s="3">
        <f>IF([1]Result_notebook_retravaill!I533&gt;[1]Result_notebook_retravaill!G533,0,IF([1]Result_notebook_retravaill!I533+[1]Result_notebook_retravaill!J533&gt;[1]Result_notebook_retravaill!G533,0,[1]Result_notebook_retravaill!M533))</f>
        <v>0</v>
      </c>
    </row>
    <row r="534" spans="1:12">
      <c r="A534">
        <f>[1]Result_notebook_retravaill!A534</f>
        <v>2030</v>
      </c>
      <c r="B534" t="str">
        <f>[1]Result_notebook_retravaill!B534</f>
        <v>Lithium</v>
      </c>
      <c r="C534" t="str">
        <f>[1]Result_notebook_retravaill!C534</f>
        <v>Current Measures</v>
      </c>
      <c r="D534" t="str">
        <f>[1]Result_notebook_retravaill!D534</f>
        <v>Production potential</v>
      </c>
      <c r="E534" t="str">
        <f>[1]Result_notebook_retravaill!E534</f>
        <v>Current shares</v>
      </c>
      <c r="F534" t="str">
        <f>[1]Result_notebook_retravaill!F534</f>
        <v>Expansion Extractive</v>
      </c>
      <c r="G534">
        <f>[1]Result_notebook_retravaill!G534</f>
        <v>14273.12457212076</v>
      </c>
      <c r="H534" s="3">
        <f>IF([1]Result_notebook_retravaill!I534&gt;[1]Result_notebook_retravaill!G534,[1]Result_notebook_retravaill!I534/[1]Result_notebook_retravaill!N534,[1]Result_notebook_retravaill!H534)</f>
        <v>130084.56595615151</v>
      </c>
      <c r="I534" s="3">
        <f>[1]Result_notebook_retravaill!K534</f>
        <v>0</v>
      </c>
      <c r="J534" s="3">
        <f>MIN(G534,[1]Result_notebook_retravaill!I534)</f>
        <v>14273.12457212076</v>
      </c>
      <c r="K534" s="3">
        <f>IF([1]Result_notebook_retravaill!I534&gt;[1]Result_notebook_retravaill!G534,0,IF([1]Result_notebook_retravaill!I534+[1]Result_notebook_retravaill!J534&gt;[1]Result_notebook_retravaill!G534,[1]Result_notebook_retravaill!G534-[1]Result_notebook_retravaill!I534,[1]Result_notebook_retravaill!J534))</f>
        <v>0</v>
      </c>
      <c r="L534" s="3">
        <f>IF([1]Result_notebook_retravaill!I534&gt;[1]Result_notebook_retravaill!G534,0,IF([1]Result_notebook_retravaill!I534+[1]Result_notebook_retravaill!J534&gt;[1]Result_notebook_retravaill!G534,0,[1]Result_notebook_retravaill!M534))</f>
        <v>0</v>
      </c>
    </row>
    <row r="535" spans="1:12">
      <c r="A535">
        <f>[1]Result_notebook_retravaill!A535</f>
        <v>2030</v>
      </c>
      <c r="B535" t="str">
        <f>[1]Result_notebook_retravaill!B535</f>
        <v>Lithium</v>
      </c>
      <c r="C535" t="str">
        <f>[1]Result_notebook_retravaill!C535</f>
        <v>Current Measures</v>
      </c>
      <c r="D535" t="str">
        <f>[1]Result_notebook_retravaill!D535</f>
        <v>Production potential</v>
      </c>
      <c r="E535" t="str">
        <f>[1]Result_notebook_retravaill!E535</f>
        <v>Current shares</v>
      </c>
      <c r="F535" t="str">
        <f>[1]Result_notebook_retravaill!F535</f>
        <v>Expansion Extractive+Circularity</v>
      </c>
      <c r="G535">
        <f>[1]Result_notebook_retravaill!G535</f>
        <v>14273.12457212076</v>
      </c>
      <c r="H535" s="3">
        <f>IF([1]Result_notebook_retravaill!I535&gt;[1]Result_notebook_retravaill!G535,[1]Result_notebook_retravaill!I535/[1]Result_notebook_retravaill!N535,[1]Result_notebook_retravaill!H535)</f>
        <v>130084.56595615151</v>
      </c>
      <c r="I535" s="3">
        <f>[1]Result_notebook_retravaill!K535</f>
        <v>0</v>
      </c>
      <c r="J535" s="3">
        <f>MIN(G535,[1]Result_notebook_retravaill!I535)</f>
        <v>14273.12457212076</v>
      </c>
      <c r="K535" s="3">
        <f>IF([1]Result_notebook_retravaill!I535&gt;[1]Result_notebook_retravaill!G535,0,IF([1]Result_notebook_retravaill!I535+[1]Result_notebook_retravaill!J535&gt;[1]Result_notebook_retravaill!G535,[1]Result_notebook_retravaill!G535-[1]Result_notebook_retravaill!I535,[1]Result_notebook_retravaill!J535))</f>
        <v>0</v>
      </c>
      <c r="L535" s="3">
        <f>IF([1]Result_notebook_retravaill!I535&gt;[1]Result_notebook_retravaill!G535,0,IF([1]Result_notebook_retravaill!I535+[1]Result_notebook_retravaill!J535&gt;[1]Result_notebook_retravaill!G535,0,[1]Result_notebook_retravaill!M535))</f>
        <v>0</v>
      </c>
    </row>
    <row r="536" spans="1:12">
      <c r="A536">
        <f>[1]Result_notebook_retravaill!A536</f>
        <v>2030</v>
      </c>
      <c r="B536" t="str">
        <f>[1]Result_notebook_retravaill!B536</f>
        <v>Lithium</v>
      </c>
      <c r="C536" t="str">
        <f>[1]Result_notebook_retravaill!C536</f>
        <v>Current Measures</v>
      </c>
      <c r="D536" t="str">
        <f>[1]Result_notebook_retravaill!D536</f>
        <v>Production potential</v>
      </c>
      <c r="E536" t="str">
        <f>[1]Result_notebook_retravaill!E536</f>
        <v>100% CAN</v>
      </c>
      <c r="F536" t="str">
        <f>[1]Result_notebook_retravaill!F536</f>
        <v>Integrated</v>
      </c>
      <c r="G536">
        <f>[1]Result_notebook_retravaill!G536</f>
        <v>14273.12457212076</v>
      </c>
      <c r="H536" s="3">
        <f>IF([1]Result_notebook_retravaill!I536&gt;[1]Result_notebook_retravaill!G536,[1]Result_notebook_retravaill!I536/[1]Result_notebook_retravaill!N536,[1]Result_notebook_retravaill!H536)</f>
        <v>130084.56595615151</v>
      </c>
      <c r="I536" s="3">
        <f>[1]Result_notebook_retravaill!K536</f>
        <v>0</v>
      </c>
      <c r="J536" s="3">
        <f>MIN(G536,[1]Result_notebook_retravaill!I536)</f>
        <v>14273.12457212076</v>
      </c>
      <c r="K536" s="3">
        <f>IF([1]Result_notebook_retravaill!I536&gt;[1]Result_notebook_retravaill!G536,0,IF([1]Result_notebook_retravaill!I536+[1]Result_notebook_retravaill!J536&gt;[1]Result_notebook_retravaill!G536,[1]Result_notebook_retravaill!G536-[1]Result_notebook_retravaill!I536,[1]Result_notebook_retravaill!J536))</f>
        <v>0</v>
      </c>
      <c r="L536" s="3">
        <f>IF([1]Result_notebook_retravaill!I536&gt;[1]Result_notebook_retravaill!G536,0,IF([1]Result_notebook_retravaill!I536+[1]Result_notebook_retravaill!J536&gt;[1]Result_notebook_retravaill!G536,0,[1]Result_notebook_retravaill!M536))</f>
        <v>0</v>
      </c>
    </row>
    <row r="537" spans="1:12">
      <c r="A537">
        <f>[1]Result_notebook_retravaill!A537</f>
        <v>2030</v>
      </c>
      <c r="B537" t="str">
        <f>[1]Result_notebook_retravaill!B537</f>
        <v>Lithium</v>
      </c>
      <c r="C537" t="str">
        <f>[1]Result_notebook_retravaill!C537</f>
        <v>Global Net-zero</v>
      </c>
      <c r="D537" t="str">
        <f>[1]Result_notebook_retravaill!D537</f>
        <v>Existing production</v>
      </c>
      <c r="E537" t="str">
        <f>[1]Result_notebook_retravaill!E537</f>
        <v>Current shares</v>
      </c>
      <c r="F537" t="str">
        <f>[1]Result_notebook_retravaill!F537</f>
        <v>NIMBY</v>
      </c>
      <c r="G537">
        <f>[1]Result_notebook_retravaill!G537</f>
        <v>28805.97062985264</v>
      </c>
      <c r="H537" s="3">
        <f>IF([1]Result_notebook_retravaill!I537&gt;[1]Result_notebook_retravaill!G537,[1]Result_notebook_retravaill!I537/[1]Result_notebook_retravaill!N537,[1]Result_notebook_retravaill!H537)</f>
        <v>0</v>
      </c>
      <c r="I537" s="3">
        <f>[1]Result_notebook_retravaill!K537</f>
        <v>41151.3866140752</v>
      </c>
      <c r="J537" s="3">
        <f>MIN(G537,[1]Result_notebook_retravaill!I537)</f>
        <v>0</v>
      </c>
      <c r="K537" s="3">
        <f>IF([1]Result_notebook_retravaill!I537&gt;[1]Result_notebook_retravaill!G537,0,IF([1]Result_notebook_retravaill!I537+[1]Result_notebook_retravaill!J537&gt;[1]Result_notebook_retravaill!G537,[1]Result_notebook_retravaill!G537-[1]Result_notebook_retravaill!I537,[1]Result_notebook_retravaill!J537))</f>
        <v>0</v>
      </c>
      <c r="L537" s="3">
        <f>IF([1]Result_notebook_retravaill!I537&gt;[1]Result_notebook_retravaill!G537,0,IF([1]Result_notebook_retravaill!I537+[1]Result_notebook_retravaill!J537&gt;[1]Result_notebook_retravaill!G537,0,[1]Result_notebook_retravaill!M537))</f>
        <v>28805.97062985264</v>
      </c>
    </row>
    <row r="538" spans="1:12">
      <c r="A538">
        <f>[1]Result_notebook_retravaill!A538</f>
        <v>2030</v>
      </c>
      <c r="B538" t="str">
        <f>[1]Result_notebook_retravaill!B538</f>
        <v>Lithium</v>
      </c>
      <c r="C538" t="str">
        <f>[1]Result_notebook_retravaill!C538</f>
        <v>Global Net-zero</v>
      </c>
      <c r="D538" t="str">
        <f>[1]Result_notebook_retravaill!D538</f>
        <v>Existing production</v>
      </c>
      <c r="E538" t="str">
        <f>[1]Result_notebook_retravaill!E538</f>
        <v>Current shares</v>
      </c>
      <c r="F538" t="str">
        <f>[1]Result_notebook_retravaill!F538</f>
        <v>Status Quo</v>
      </c>
      <c r="G538">
        <f>[1]Result_notebook_retravaill!G538</f>
        <v>28805.97062985264</v>
      </c>
      <c r="H538" s="3">
        <f>IF([1]Result_notebook_retravaill!I538&gt;[1]Result_notebook_retravaill!G538,[1]Result_notebook_retravaill!I538/[1]Result_notebook_retravaill!N538,[1]Result_notebook_retravaill!H538)</f>
        <v>38979</v>
      </c>
      <c r="I538" s="3">
        <f>[1]Result_notebook_retravaill!K538</f>
        <v>2172.3866140752002</v>
      </c>
      <c r="J538" s="3">
        <f>MIN(G538,[1]Result_notebook_retravaill!I538)</f>
        <v>27252.965785816788</v>
      </c>
      <c r="K538" s="3">
        <f>IF([1]Result_notebook_retravaill!I538&gt;[1]Result_notebook_retravaill!G538,0,IF([1]Result_notebook_retravaill!I538+[1]Result_notebook_retravaill!J538&gt;[1]Result_notebook_retravaill!G538,[1]Result_notebook_retravaill!G538-[1]Result_notebook_retravaill!I538,[1]Result_notebook_retravaill!J538))</f>
        <v>1553.0048440358514</v>
      </c>
      <c r="L538" s="3">
        <f>IF([1]Result_notebook_retravaill!I538&gt;[1]Result_notebook_retravaill!G538,0,IF([1]Result_notebook_retravaill!I538+[1]Result_notebook_retravaill!J538&gt;[1]Result_notebook_retravaill!G538,0,[1]Result_notebook_retravaill!M538))</f>
        <v>0</v>
      </c>
    </row>
    <row r="539" spans="1:12">
      <c r="A539">
        <f>[1]Result_notebook_retravaill!A539</f>
        <v>2030</v>
      </c>
      <c r="B539" t="str">
        <f>[1]Result_notebook_retravaill!B539</f>
        <v>Lithium</v>
      </c>
      <c r="C539" t="str">
        <f>[1]Result_notebook_retravaill!C539</f>
        <v>Global Net-zero</v>
      </c>
      <c r="D539" t="str">
        <f>[1]Result_notebook_retravaill!D539</f>
        <v>Production potential</v>
      </c>
      <c r="E539" t="str">
        <f>[1]Result_notebook_retravaill!E539</f>
        <v>Current shares</v>
      </c>
      <c r="F539" t="str">
        <f>[1]Result_notebook_retravaill!F539</f>
        <v>Expansion Extractive</v>
      </c>
      <c r="G539">
        <f>[1]Result_notebook_retravaill!G539</f>
        <v>28805.97062985264</v>
      </c>
      <c r="H539" s="3">
        <f>IF([1]Result_notebook_retravaill!I539&gt;[1]Result_notebook_retravaill!G539,[1]Result_notebook_retravaill!I539/[1]Result_notebook_retravaill!N539,[1]Result_notebook_retravaill!H539)</f>
        <v>130084.56595615151</v>
      </c>
      <c r="I539" s="3">
        <f>[1]Result_notebook_retravaill!K539</f>
        <v>0</v>
      </c>
      <c r="J539" s="3">
        <f>MIN(G539,[1]Result_notebook_retravaill!I539)</f>
        <v>28805.97062985264</v>
      </c>
      <c r="K539" s="3">
        <f>IF([1]Result_notebook_retravaill!I539&gt;[1]Result_notebook_retravaill!G539,0,IF([1]Result_notebook_retravaill!I539+[1]Result_notebook_retravaill!J539&gt;[1]Result_notebook_retravaill!G539,[1]Result_notebook_retravaill!G539-[1]Result_notebook_retravaill!I539,[1]Result_notebook_retravaill!J539))</f>
        <v>0</v>
      </c>
      <c r="L539" s="3">
        <f>IF([1]Result_notebook_retravaill!I539&gt;[1]Result_notebook_retravaill!G539,0,IF([1]Result_notebook_retravaill!I539+[1]Result_notebook_retravaill!J539&gt;[1]Result_notebook_retravaill!G539,0,[1]Result_notebook_retravaill!M539))</f>
        <v>0</v>
      </c>
    </row>
    <row r="540" spans="1:12">
      <c r="A540">
        <f>[1]Result_notebook_retravaill!A540</f>
        <v>2030</v>
      </c>
      <c r="B540" t="str">
        <f>[1]Result_notebook_retravaill!B540</f>
        <v>Lithium</v>
      </c>
      <c r="C540" t="str">
        <f>[1]Result_notebook_retravaill!C540</f>
        <v>Global Net-zero</v>
      </c>
      <c r="D540" t="str">
        <f>[1]Result_notebook_retravaill!D540</f>
        <v>Production potential</v>
      </c>
      <c r="E540" t="str">
        <f>[1]Result_notebook_retravaill!E540</f>
        <v>Current shares</v>
      </c>
      <c r="F540" t="str">
        <f>[1]Result_notebook_retravaill!F540</f>
        <v>Expansion Extractive+Circularity</v>
      </c>
      <c r="G540">
        <f>[1]Result_notebook_retravaill!G540</f>
        <v>28805.97062985264</v>
      </c>
      <c r="H540" s="3">
        <f>IF([1]Result_notebook_retravaill!I540&gt;[1]Result_notebook_retravaill!G540,[1]Result_notebook_retravaill!I540/[1]Result_notebook_retravaill!N540,[1]Result_notebook_retravaill!H540)</f>
        <v>130084.56595615151</v>
      </c>
      <c r="I540" s="3">
        <f>[1]Result_notebook_retravaill!K540</f>
        <v>0</v>
      </c>
      <c r="J540" s="3">
        <f>MIN(G540,[1]Result_notebook_retravaill!I540)</f>
        <v>28805.97062985264</v>
      </c>
      <c r="K540" s="3">
        <f>IF([1]Result_notebook_retravaill!I540&gt;[1]Result_notebook_retravaill!G540,0,IF([1]Result_notebook_retravaill!I540+[1]Result_notebook_retravaill!J540&gt;[1]Result_notebook_retravaill!G540,[1]Result_notebook_retravaill!G540-[1]Result_notebook_retravaill!I540,[1]Result_notebook_retravaill!J540))</f>
        <v>0</v>
      </c>
      <c r="L540" s="3">
        <f>IF([1]Result_notebook_retravaill!I540&gt;[1]Result_notebook_retravaill!G540,0,IF([1]Result_notebook_retravaill!I540+[1]Result_notebook_retravaill!J540&gt;[1]Result_notebook_retravaill!G540,0,[1]Result_notebook_retravaill!M540))</f>
        <v>0</v>
      </c>
    </row>
    <row r="541" spans="1:12">
      <c r="A541">
        <f>[1]Result_notebook_retravaill!A541</f>
        <v>2030</v>
      </c>
      <c r="B541" t="str">
        <f>[1]Result_notebook_retravaill!B541</f>
        <v>Lithium</v>
      </c>
      <c r="C541" t="str">
        <f>[1]Result_notebook_retravaill!C541</f>
        <v>Global Net-zero</v>
      </c>
      <c r="D541" t="str">
        <f>[1]Result_notebook_retravaill!D541</f>
        <v>Production potential</v>
      </c>
      <c r="E541" t="str">
        <f>[1]Result_notebook_retravaill!E541</f>
        <v>100% CAN</v>
      </c>
      <c r="F541" t="str">
        <f>[1]Result_notebook_retravaill!F541</f>
        <v>Integrated</v>
      </c>
      <c r="G541">
        <f>[1]Result_notebook_retravaill!G541</f>
        <v>28805.97062985264</v>
      </c>
      <c r="H541" s="3">
        <f>IF([1]Result_notebook_retravaill!I541&gt;[1]Result_notebook_retravaill!G541,[1]Result_notebook_retravaill!I541/[1]Result_notebook_retravaill!N541,[1]Result_notebook_retravaill!H541)</f>
        <v>130084.56595615151</v>
      </c>
      <c r="I541" s="3">
        <f>[1]Result_notebook_retravaill!K541</f>
        <v>0</v>
      </c>
      <c r="J541" s="3">
        <f>MIN(G541,[1]Result_notebook_retravaill!I541)</f>
        <v>28805.97062985264</v>
      </c>
      <c r="K541" s="3">
        <f>IF([1]Result_notebook_retravaill!I541&gt;[1]Result_notebook_retravaill!G541,0,IF([1]Result_notebook_retravaill!I541+[1]Result_notebook_retravaill!J541&gt;[1]Result_notebook_retravaill!G541,[1]Result_notebook_retravaill!G541-[1]Result_notebook_retravaill!I541,[1]Result_notebook_retravaill!J541))</f>
        <v>0</v>
      </c>
      <c r="L541" s="3">
        <f>IF([1]Result_notebook_retravaill!I541&gt;[1]Result_notebook_retravaill!G541,0,IF([1]Result_notebook_retravaill!I541+[1]Result_notebook_retravaill!J541&gt;[1]Result_notebook_retravaill!G541,0,[1]Result_notebook_retravaill!M541))</f>
        <v>0</v>
      </c>
    </row>
    <row r="542" spans="1:12">
      <c r="A542">
        <f>[1]Result_notebook_retravaill!A542</f>
        <v>2031</v>
      </c>
      <c r="B542" t="str">
        <f>[1]Result_notebook_retravaill!B542</f>
        <v>Cobalt</v>
      </c>
      <c r="C542" t="str">
        <f>[1]Result_notebook_retravaill!C542</f>
        <v>Canada Net-zero</v>
      </c>
      <c r="D542" t="str">
        <f>[1]Result_notebook_retravaill!D542</f>
        <v>Existing production</v>
      </c>
      <c r="E542" t="str">
        <f>[1]Result_notebook_retravaill!E542</f>
        <v>Current shares</v>
      </c>
      <c r="F542" t="str">
        <f>[1]Result_notebook_retravaill!F542</f>
        <v>NIMBY</v>
      </c>
      <c r="G542">
        <f>[1]Result_notebook_retravaill!G542</f>
        <v>74634.661248827935</v>
      </c>
      <c r="H542" s="3">
        <f>IF([1]Result_notebook_retravaill!I542&gt;[1]Result_notebook_retravaill!G542,[1]Result_notebook_retravaill!I542/[1]Result_notebook_retravaill!N542,[1]Result_notebook_retravaill!H542)</f>
        <v>0</v>
      </c>
      <c r="I542" s="3">
        <f>[1]Result_notebook_retravaill!K542</f>
        <v>169624.2301109726</v>
      </c>
      <c r="J542" s="3">
        <f>MIN(G542,[1]Result_notebook_retravaill!I542)</f>
        <v>0</v>
      </c>
      <c r="K542" s="3">
        <f>IF([1]Result_notebook_retravaill!I542&gt;[1]Result_notebook_retravaill!G542,0,IF([1]Result_notebook_retravaill!I542+[1]Result_notebook_retravaill!J542&gt;[1]Result_notebook_retravaill!G542,[1]Result_notebook_retravaill!G542-[1]Result_notebook_retravaill!I542,[1]Result_notebook_retravaill!J542))</f>
        <v>0</v>
      </c>
      <c r="L542" s="3">
        <f>IF([1]Result_notebook_retravaill!I542&gt;[1]Result_notebook_retravaill!G542,0,IF([1]Result_notebook_retravaill!I542+[1]Result_notebook_retravaill!J542&gt;[1]Result_notebook_retravaill!G542,0,[1]Result_notebook_retravaill!M542))</f>
        <v>74634.661248827935</v>
      </c>
    </row>
    <row r="543" spans="1:12">
      <c r="A543">
        <f>[1]Result_notebook_retravaill!A543</f>
        <v>2031</v>
      </c>
      <c r="B543" t="str">
        <f>[1]Result_notebook_retravaill!B543</f>
        <v>Cobalt</v>
      </c>
      <c r="C543" t="str">
        <f>[1]Result_notebook_retravaill!C543</f>
        <v>Canada Net-zero</v>
      </c>
      <c r="D543" t="str">
        <f>[1]Result_notebook_retravaill!D543</f>
        <v>Existing production</v>
      </c>
      <c r="E543" t="str">
        <f>[1]Result_notebook_retravaill!E543</f>
        <v>Current shares</v>
      </c>
      <c r="F543" t="str">
        <f>[1]Result_notebook_retravaill!F543</f>
        <v>Status Quo</v>
      </c>
      <c r="G543">
        <f>[1]Result_notebook_retravaill!G543</f>
        <v>74634.661248827935</v>
      </c>
      <c r="H543" s="3">
        <f>IF([1]Result_notebook_retravaill!I543&gt;[1]Result_notebook_retravaill!G543,[1]Result_notebook_retravaill!I543/[1]Result_notebook_retravaill!N543,[1]Result_notebook_retravaill!H543)</f>
        <v>3707</v>
      </c>
      <c r="I543" s="3">
        <f>[1]Result_notebook_retravaill!K543</f>
        <v>165917.2301109726</v>
      </c>
      <c r="J543" s="3">
        <f>MIN(G543,[1]Result_notebook_retravaill!I543)</f>
        <v>1572.4420377809411</v>
      </c>
      <c r="K543" s="3">
        <f>IF([1]Result_notebook_retravaill!I543&gt;[1]Result_notebook_retravaill!G543,0,IF([1]Result_notebook_retravaill!I543+[1]Result_notebook_retravaill!J543&gt;[1]Result_notebook_retravaill!G543,[1]Result_notebook_retravaill!G543-[1]Result_notebook_retravaill!I543,[1]Result_notebook_retravaill!J543))</f>
        <v>56.215681220686292</v>
      </c>
      <c r="L543" s="3">
        <f>IF([1]Result_notebook_retravaill!I543&gt;[1]Result_notebook_retravaill!G543,0,IF([1]Result_notebook_retravaill!I543+[1]Result_notebook_retravaill!J543&gt;[1]Result_notebook_retravaill!G543,0,[1]Result_notebook_retravaill!M543))</f>
        <v>73006.00352982631</v>
      </c>
    </row>
    <row r="544" spans="1:12">
      <c r="A544">
        <f>[1]Result_notebook_retravaill!A544</f>
        <v>2031</v>
      </c>
      <c r="B544" t="str">
        <f>[1]Result_notebook_retravaill!B544</f>
        <v>Cobalt</v>
      </c>
      <c r="C544" t="str">
        <f>[1]Result_notebook_retravaill!C544</f>
        <v>Canada Net-zero</v>
      </c>
      <c r="D544" t="str">
        <f>[1]Result_notebook_retravaill!D544</f>
        <v>Production potential</v>
      </c>
      <c r="E544" t="str">
        <f>[1]Result_notebook_retravaill!E544</f>
        <v>Current shares</v>
      </c>
      <c r="F544" t="str">
        <f>[1]Result_notebook_retravaill!F544</f>
        <v>Expansion Extractive</v>
      </c>
      <c r="G544">
        <f>[1]Result_notebook_retravaill!G544</f>
        <v>74634.661248827935</v>
      </c>
      <c r="H544" s="3">
        <f>IF([1]Result_notebook_retravaill!I544&gt;[1]Result_notebook_retravaill!G544,[1]Result_notebook_retravaill!I544/[1]Result_notebook_retravaill!N544,[1]Result_notebook_retravaill!H544)</f>
        <v>8876.0777297221903</v>
      </c>
      <c r="I544" s="3">
        <f>[1]Result_notebook_retravaill!K544</f>
        <v>160748.1523812504</v>
      </c>
      <c r="J544" s="3">
        <f>MIN(G544,[1]Result_notebook_retravaill!I544)</f>
        <v>3765.070880179765</v>
      </c>
      <c r="K544" s="3">
        <f>IF([1]Result_notebook_retravaill!I544&gt;[1]Result_notebook_retravaill!G544,0,IF([1]Result_notebook_retravaill!I544+[1]Result_notebook_retravaill!J544&gt;[1]Result_notebook_retravaill!G544,[1]Result_notebook_retravaill!G544-[1]Result_notebook_retravaill!I544,[1]Result_notebook_retravaill!J544))</f>
        <v>134.60338714434783</v>
      </c>
      <c r="L544" s="3">
        <f>IF([1]Result_notebook_retravaill!I544&gt;[1]Result_notebook_retravaill!G544,0,IF([1]Result_notebook_retravaill!I544+[1]Result_notebook_retravaill!J544&gt;[1]Result_notebook_retravaill!G544,0,[1]Result_notebook_retravaill!M544))</f>
        <v>70734.986981503826</v>
      </c>
    </row>
    <row r="545" spans="1:12">
      <c r="A545">
        <f>[1]Result_notebook_retravaill!A545</f>
        <v>2031</v>
      </c>
      <c r="B545" t="str">
        <f>[1]Result_notebook_retravaill!B545</f>
        <v>Cobalt</v>
      </c>
      <c r="C545" t="str">
        <f>[1]Result_notebook_retravaill!C545</f>
        <v>Canada Net-zero</v>
      </c>
      <c r="D545" t="str">
        <f>[1]Result_notebook_retravaill!D545</f>
        <v>Production potential</v>
      </c>
      <c r="E545" t="str">
        <f>[1]Result_notebook_retravaill!E545</f>
        <v>Current shares</v>
      </c>
      <c r="F545" t="str">
        <f>[1]Result_notebook_retravaill!F545</f>
        <v>Expansion Extractive+Circularity</v>
      </c>
      <c r="G545">
        <f>[1]Result_notebook_retravaill!G545</f>
        <v>74634.661248827935</v>
      </c>
      <c r="H545" s="3">
        <f>IF([1]Result_notebook_retravaill!I545&gt;[1]Result_notebook_retravaill!G545,[1]Result_notebook_retravaill!I545/[1]Result_notebook_retravaill!N545,[1]Result_notebook_retravaill!H545)</f>
        <v>8876.0777297221903</v>
      </c>
      <c r="I545" s="3">
        <f>[1]Result_notebook_retravaill!K545</f>
        <v>160748.1523812504</v>
      </c>
      <c r="J545" s="3">
        <f>MIN(G545,[1]Result_notebook_retravaill!I545)</f>
        <v>3765.070880179765</v>
      </c>
      <c r="K545" s="3">
        <f>IF([1]Result_notebook_retravaill!I545&gt;[1]Result_notebook_retravaill!G545,0,IF([1]Result_notebook_retravaill!I545+[1]Result_notebook_retravaill!J545&gt;[1]Result_notebook_retravaill!G545,[1]Result_notebook_retravaill!G545-[1]Result_notebook_retravaill!I545,[1]Result_notebook_retravaill!J545))</f>
        <v>134.60338714434783</v>
      </c>
      <c r="L545" s="3">
        <f>IF([1]Result_notebook_retravaill!I545&gt;[1]Result_notebook_retravaill!G545,0,IF([1]Result_notebook_retravaill!I545+[1]Result_notebook_retravaill!J545&gt;[1]Result_notebook_retravaill!G545,0,[1]Result_notebook_retravaill!M545))</f>
        <v>70734.986981503826</v>
      </c>
    </row>
    <row r="546" spans="1:12">
      <c r="A546">
        <f>[1]Result_notebook_retravaill!A546</f>
        <v>2031</v>
      </c>
      <c r="B546" t="str">
        <f>[1]Result_notebook_retravaill!B546</f>
        <v>Cobalt</v>
      </c>
      <c r="C546" t="str">
        <f>[1]Result_notebook_retravaill!C546</f>
        <v>Canada Net-zero</v>
      </c>
      <c r="D546" t="str">
        <f>[1]Result_notebook_retravaill!D546</f>
        <v>Production potential</v>
      </c>
      <c r="E546" t="str">
        <f>[1]Result_notebook_retravaill!E546</f>
        <v>100% CAN</v>
      </c>
      <c r="F546" t="str">
        <f>[1]Result_notebook_retravaill!F546</f>
        <v>Integrated</v>
      </c>
      <c r="G546">
        <f>[1]Result_notebook_retravaill!G546</f>
        <v>74634.661248827935</v>
      </c>
      <c r="H546" s="3">
        <f>IF([1]Result_notebook_retravaill!I546&gt;[1]Result_notebook_retravaill!G546,[1]Result_notebook_retravaill!I546/[1]Result_notebook_retravaill!N546,[1]Result_notebook_retravaill!H546)</f>
        <v>8876.0777297221903</v>
      </c>
      <c r="I546" s="3">
        <f>[1]Result_notebook_retravaill!K546</f>
        <v>160748.1523812504</v>
      </c>
      <c r="J546" s="3">
        <f>MIN(G546,[1]Result_notebook_retravaill!I546)</f>
        <v>3899.674267324116</v>
      </c>
      <c r="K546" s="3">
        <f>IF([1]Result_notebook_retravaill!I546&gt;[1]Result_notebook_retravaill!G546,0,IF([1]Result_notebook_retravaill!I546+[1]Result_notebook_retravaill!J546&gt;[1]Result_notebook_retravaill!G546,[1]Result_notebook_retravaill!G546-[1]Result_notebook_retravaill!I546,[1]Result_notebook_retravaill!J546))</f>
        <v>0</v>
      </c>
      <c r="L546" s="3">
        <f>IF([1]Result_notebook_retravaill!I546&gt;[1]Result_notebook_retravaill!G546,0,IF([1]Result_notebook_retravaill!I546+[1]Result_notebook_retravaill!J546&gt;[1]Result_notebook_retravaill!G546,0,[1]Result_notebook_retravaill!M546))</f>
        <v>70734.986981503826</v>
      </c>
    </row>
    <row r="547" spans="1:12">
      <c r="A547">
        <f>[1]Result_notebook_retravaill!A547</f>
        <v>2031</v>
      </c>
      <c r="B547" t="str">
        <f>[1]Result_notebook_retravaill!B547</f>
        <v>Cobalt</v>
      </c>
      <c r="C547" t="str">
        <f>[1]Result_notebook_retravaill!C547</f>
        <v>Current Measures</v>
      </c>
      <c r="D547" t="str">
        <f>[1]Result_notebook_retravaill!D547</f>
        <v>Existing production</v>
      </c>
      <c r="E547" t="str">
        <f>[1]Result_notebook_retravaill!E547</f>
        <v>Current shares</v>
      </c>
      <c r="F547" t="str">
        <f>[1]Result_notebook_retravaill!F547</f>
        <v>NIMBY</v>
      </c>
      <c r="G547">
        <f>[1]Result_notebook_retravaill!G547</f>
        <v>33266.833134093657</v>
      </c>
      <c r="H547" s="3">
        <f>IF([1]Result_notebook_retravaill!I547&gt;[1]Result_notebook_retravaill!G547,[1]Result_notebook_retravaill!I547/[1]Result_notebook_retravaill!N547,[1]Result_notebook_retravaill!H547)</f>
        <v>0</v>
      </c>
      <c r="I547" s="3">
        <f>[1]Result_notebook_retravaill!K547</f>
        <v>75606.438941121945</v>
      </c>
      <c r="J547" s="3">
        <f>MIN(G547,[1]Result_notebook_retravaill!I547)</f>
        <v>0</v>
      </c>
      <c r="K547" s="3">
        <f>IF([1]Result_notebook_retravaill!I547&gt;[1]Result_notebook_retravaill!G547,0,IF([1]Result_notebook_retravaill!I547+[1]Result_notebook_retravaill!J547&gt;[1]Result_notebook_retravaill!G547,[1]Result_notebook_retravaill!G547-[1]Result_notebook_retravaill!I547,[1]Result_notebook_retravaill!J547))</f>
        <v>0</v>
      </c>
      <c r="L547" s="3">
        <f>IF([1]Result_notebook_retravaill!I547&gt;[1]Result_notebook_retravaill!G547,0,IF([1]Result_notebook_retravaill!I547+[1]Result_notebook_retravaill!J547&gt;[1]Result_notebook_retravaill!G547,0,[1]Result_notebook_retravaill!M547))</f>
        <v>33266.833134093657</v>
      </c>
    </row>
    <row r="548" spans="1:12">
      <c r="A548">
        <f>[1]Result_notebook_retravaill!A548</f>
        <v>2031</v>
      </c>
      <c r="B548" t="str">
        <f>[1]Result_notebook_retravaill!B548</f>
        <v>Cobalt</v>
      </c>
      <c r="C548" t="str">
        <f>[1]Result_notebook_retravaill!C548</f>
        <v>Current Measures</v>
      </c>
      <c r="D548" t="str">
        <f>[1]Result_notebook_retravaill!D548</f>
        <v>Existing production</v>
      </c>
      <c r="E548" t="str">
        <f>[1]Result_notebook_retravaill!E548</f>
        <v>Current shares</v>
      </c>
      <c r="F548" t="str">
        <f>[1]Result_notebook_retravaill!F548</f>
        <v>Status Quo</v>
      </c>
      <c r="G548">
        <f>[1]Result_notebook_retravaill!G548</f>
        <v>33266.833134093657</v>
      </c>
      <c r="H548" s="3">
        <f>IF([1]Result_notebook_retravaill!I548&gt;[1]Result_notebook_retravaill!G548,[1]Result_notebook_retravaill!I548/[1]Result_notebook_retravaill!N548,[1]Result_notebook_retravaill!H548)</f>
        <v>3707</v>
      </c>
      <c r="I548" s="3">
        <f>[1]Result_notebook_retravaill!K548</f>
        <v>71899.438941121945</v>
      </c>
      <c r="J548" s="3">
        <f>MIN(G548,[1]Result_notebook_retravaill!I548)</f>
        <v>1572.4420377809411</v>
      </c>
      <c r="K548" s="3">
        <f>IF([1]Result_notebook_retravaill!I548&gt;[1]Result_notebook_retravaill!G548,0,IF([1]Result_notebook_retravaill!I548+[1]Result_notebook_retravaill!J548&gt;[1]Result_notebook_retravaill!G548,[1]Result_notebook_retravaill!G548-[1]Result_notebook_retravaill!I548,[1]Result_notebook_retravaill!J548))</f>
        <v>56.215681220686292</v>
      </c>
      <c r="L548" s="3">
        <f>IF([1]Result_notebook_retravaill!I548&gt;[1]Result_notebook_retravaill!G548,0,IF([1]Result_notebook_retravaill!I548+[1]Result_notebook_retravaill!J548&gt;[1]Result_notebook_retravaill!G548,0,[1]Result_notebook_retravaill!M548))</f>
        <v>31638.175415092035</v>
      </c>
    </row>
    <row r="549" spans="1:12">
      <c r="A549">
        <f>[1]Result_notebook_retravaill!A549</f>
        <v>2031</v>
      </c>
      <c r="B549" t="str">
        <f>[1]Result_notebook_retravaill!B549</f>
        <v>Cobalt</v>
      </c>
      <c r="C549" t="str">
        <f>[1]Result_notebook_retravaill!C549</f>
        <v>Current Measures</v>
      </c>
      <c r="D549" t="str">
        <f>[1]Result_notebook_retravaill!D549</f>
        <v>Production potential</v>
      </c>
      <c r="E549" t="str">
        <f>[1]Result_notebook_retravaill!E549</f>
        <v>Current shares</v>
      </c>
      <c r="F549" t="str">
        <f>[1]Result_notebook_retravaill!F549</f>
        <v>Expansion Extractive</v>
      </c>
      <c r="G549">
        <f>[1]Result_notebook_retravaill!G549</f>
        <v>33266.833134093657</v>
      </c>
      <c r="H549" s="3">
        <f>IF([1]Result_notebook_retravaill!I549&gt;[1]Result_notebook_retravaill!G549,[1]Result_notebook_retravaill!I549/[1]Result_notebook_retravaill!N549,[1]Result_notebook_retravaill!H549)</f>
        <v>8876.0777297221903</v>
      </c>
      <c r="I549" s="3">
        <f>[1]Result_notebook_retravaill!K549</f>
        <v>66730.361211399751</v>
      </c>
      <c r="J549" s="3">
        <f>MIN(G549,[1]Result_notebook_retravaill!I549)</f>
        <v>3765.070880179765</v>
      </c>
      <c r="K549" s="3">
        <f>IF([1]Result_notebook_retravaill!I549&gt;[1]Result_notebook_retravaill!G549,0,IF([1]Result_notebook_retravaill!I549+[1]Result_notebook_retravaill!J549&gt;[1]Result_notebook_retravaill!G549,[1]Result_notebook_retravaill!G549-[1]Result_notebook_retravaill!I549,[1]Result_notebook_retravaill!J549))</f>
        <v>134.60338714434783</v>
      </c>
      <c r="L549" s="3">
        <f>IF([1]Result_notebook_retravaill!I549&gt;[1]Result_notebook_retravaill!G549,0,IF([1]Result_notebook_retravaill!I549+[1]Result_notebook_retravaill!J549&gt;[1]Result_notebook_retravaill!G549,0,[1]Result_notebook_retravaill!M549))</f>
        <v>29367.158866769543</v>
      </c>
    </row>
    <row r="550" spans="1:12">
      <c r="A550">
        <f>[1]Result_notebook_retravaill!A550</f>
        <v>2031</v>
      </c>
      <c r="B550" t="str">
        <f>[1]Result_notebook_retravaill!B550</f>
        <v>Cobalt</v>
      </c>
      <c r="C550" t="str">
        <f>[1]Result_notebook_retravaill!C550</f>
        <v>Current Measures</v>
      </c>
      <c r="D550" t="str">
        <f>[1]Result_notebook_retravaill!D550</f>
        <v>Production potential</v>
      </c>
      <c r="E550" t="str">
        <f>[1]Result_notebook_retravaill!E550</f>
        <v>Current shares</v>
      </c>
      <c r="F550" t="str">
        <f>[1]Result_notebook_retravaill!F550</f>
        <v>Expansion Extractive+Circularity</v>
      </c>
      <c r="G550">
        <f>[1]Result_notebook_retravaill!G550</f>
        <v>33266.833134093657</v>
      </c>
      <c r="H550" s="3">
        <f>IF([1]Result_notebook_retravaill!I550&gt;[1]Result_notebook_retravaill!G550,[1]Result_notebook_retravaill!I550/[1]Result_notebook_retravaill!N550,[1]Result_notebook_retravaill!H550)</f>
        <v>8876.0777297221903</v>
      </c>
      <c r="I550" s="3">
        <f>[1]Result_notebook_retravaill!K550</f>
        <v>66730.361211399751</v>
      </c>
      <c r="J550" s="3">
        <f>MIN(G550,[1]Result_notebook_retravaill!I550)</f>
        <v>3765.070880179765</v>
      </c>
      <c r="K550" s="3">
        <f>IF([1]Result_notebook_retravaill!I550&gt;[1]Result_notebook_retravaill!G550,0,IF([1]Result_notebook_retravaill!I550+[1]Result_notebook_retravaill!J550&gt;[1]Result_notebook_retravaill!G550,[1]Result_notebook_retravaill!G550-[1]Result_notebook_retravaill!I550,[1]Result_notebook_retravaill!J550))</f>
        <v>134.60338714434783</v>
      </c>
      <c r="L550" s="3">
        <f>IF([1]Result_notebook_retravaill!I550&gt;[1]Result_notebook_retravaill!G550,0,IF([1]Result_notebook_retravaill!I550+[1]Result_notebook_retravaill!J550&gt;[1]Result_notebook_retravaill!G550,0,[1]Result_notebook_retravaill!M550))</f>
        <v>29367.158866769543</v>
      </c>
    </row>
    <row r="551" spans="1:12">
      <c r="A551">
        <f>[1]Result_notebook_retravaill!A551</f>
        <v>2031</v>
      </c>
      <c r="B551" t="str">
        <f>[1]Result_notebook_retravaill!B551</f>
        <v>Cobalt</v>
      </c>
      <c r="C551" t="str">
        <f>[1]Result_notebook_retravaill!C551</f>
        <v>Current Measures</v>
      </c>
      <c r="D551" t="str">
        <f>[1]Result_notebook_retravaill!D551</f>
        <v>Production potential</v>
      </c>
      <c r="E551" t="str">
        <f>[1]Result_notebook_retravaill!E551</f>
        <v>100% CAN</v>
      </c>
      <c r="F551" t="str">
        <f>[1]Result_notebook_retravaill!F551</f>
        <v>Integrated</v>
      </c>
      <c r="G551">
        <f>[1]Result_notebook_retravaill!G551</f>
        <v>33266.833134093657</v>
      </c>
      <c r="H551" s="3">
        <f>IF([1]Result_notebook_retravaill!I551&gt;[1]Result_notebook_retravaill!G551,[1]Result_notebook_retravaill!I551/[1]Result_notebook_retravaill!N551,[1]Result_notebook_retravaill!H551)</f>
        <v>8876.0777297221903</v>
      </c>
      <c r="I551" s="3">
        <f>[1]Result_notebook_retravaill!K551</f>
        <v>66730.361211399751</v>
      </c>
      <c r="J551" s="3">
        <f>MIN(G551,[1]Result_notebook_retravaill!I551)</f>
        <v>3899.674267324116</v>
      </c>
      <c r="K551" s="3">
        <f>IF([1]Result_notebook_retravaill!I551&gt;[1]Result_notebook_retravaill!G551,0,IF([1]Result_notebook_retravaill!I551+[1]Result_notebook_retravaill!J551&gt;[1]Result_notebook_retravaill!G551,[1]Result_notebook_retravaill!G551-[1]Result_notebook_retravaill!I551,[1]Result_notebook_retravaill!J551))</f>
        <v>0</v>
      </c>
      <c r="L551" s="3">
        <f>IF([1]Result_notebook_retravaill!I551&gt;[1]Result_notebook_retravaill!G551,0,IF([1]Result_notebook_retravaill!I551+[1]Result_notebook_retravaill!J551&gt;[1]Result_notebook_retravaill!G551,0,[1]Result_notebook_retravaill!M551))</f>
        <v>29367.15886676954</v>
      </c>
    </row>
    <row r="552" spans="1:12">
      <c r="A552">
        <f>[1]Result_notebook_retravaill!A552</f>
        <v>2031</v>
      </c>
      <c r="B552" t="str">
        <f>[1]Result_notebook_retravaill!B552</f>
        <v>Cobalt</v>
      </c>
      <c r="C552" t="str">
        <f>[1]Result_notebook_retravaill!C552</f>
        <v>Global Net-zero</v>
      </c>
      <c r="D552" t="str">
        <f>[1]Result_notebook_retravaill!D552</f>
        <v>Existing production</v>
      </c>
      <c r="E552" t="str">
        <f>[1]Result_notebook_retravaill!E552</f>
        <v>Current shares</v>
      </c>
      <c r="F552" t="str">
        <f>[1]Result_notebook_retravaill!F552</f>
        <v>NIMBY</v>
      </c>
      <c r="G552">
        <f>[1]Result_notebook_retravaill!G552</f>
        <v>70618.965487702415</v>
      </c>
      <c r="H552" s="3">
        <f>IF([1]Result_notebook_retravaill!I552&gt;[1]Result_notebook_retravaill!G552,[1]Result_notebook_retravaill!I552/[1]Result_notebook_retravaill!N552,[1]Result_notebook_retravaill!H552)</f>
        <v>0</v>
      </c>
      <c r="I552" s="3">
        <f>[1]Result_notebook_retravaill!K552</f>
        <v>160497.64883568729</v>
      </c>
      <c r="J552" s="3">
        <f>MIN(G552,[1]Result_notebook_retravaill!I552)</f>
        <v>0</v>
      </c>
      <c r="K552" s="3">
        <f>IF([1]Result_notebook_retravaill!I552&gt;[1]Result_notebook_retravaill!G552,0,IF([1]Result_notebook_retravaill!I552+[1]Result_notebook_retravaill!J552&gt;[1]Result_notebook_retravaill!G552,[1]Result_notebook_retravaill!G552-[1]Result_notebook_retravaill!I552,[1]Result_notebook_retravaill!J552))</f>
        <v>0</v>
      </c>
      <c r="L552" s="3">
        <f>IF([1]Result_notebook_retravaill!I552&gt;[1]Result_notebook_retravaill!G552,0,IF([1]Result_notebook_retravaill!I552+[1]Result_notebook_retravaill!J552&gt;[1]Result_notebook_retravaill!G552,0,[1]Result_notebook_retravaill!M552))</f>
        <v>70618.965487702415</v>
      </c>
    </row>
    <row r="553" spans="1:12">
      <c r="A553">
        <f>[1]Result_notebook_retravaill!A553</f>
        <v>2031</v>
      </c>
      <c r="B553" t="str">
        <f>[1]Result_notebook_retravaill!B553</f>
        <v>Cobalt</v>
      </c>
      <c r="C553" t="str">
        <f>[1]Result_notebook_retravaill!C553</f>
        <v>Global Net-zero</v>
      </c>
      <c r="D553" t="str">
        <f>[1]Result_notebook_retravaill!D553</f>
        <v>Existing production</v>
      </c>
      <c r="E553" t="str">
        <f>[1]Result_notebook_retravaill!E553</f>
        <v>Current shares</v>
      </c>
      <c r="F553" t="str">
        <f>[1]Result_notebook_retravaill!F553</f>
        <v>Status Quo</v>
      </c>
      <c r="G553">
        <f>[1]Result_notebook_retravaill!G553</f>
        <v>70618.965487702415</v>
      </c>
      <c r="H553" s="3">
        <f>IF([1]Result_notebook_retravaill!I553&gt;[1]Result_notebook_retravaill!G553,[1]Result_notebook_retravaill!I553/[1]Result_notebook_retravaill!N553,[1]Result_notebook_retravaill!H553)</f>
        <v>3707</v>
      </c>
      <c r="I553" s="3">
        <f>[1]Result_notebook_retravaill!K553</f>
        <v>156790.64883568729</v>
      </c>
      <c r="J553" s="3">
        <f>MIN(G553,[1]Result_notebook_retravaill!I553)</f>
        <v>1572.4420377809411</v>
      </c>
      <c r="K553" s="3">
        <f>IF([1]Result_notebook_retravaill!I553&gt;[1]Result_notebook_retravaill!G553,0,IF([1]Result_notebook_retravaill!I553+[1]Result_notebook_retravaill!J553&gt;[1]Result_notebook_retravaill!G553,[1]Result_notebook_retravaill!G553-[1]Result_notebook_retravaill!I553,[1]Result_notebook_retravaill!J553))</f>
        <v>56.215681220686292</v>
      </c>
      <c r="L553" s="3">
        <f>IF([1]Result_notebook_retravaill!I553&gt;[1]Result_notebook_retravaill!G553,0,IF([1]Result_notebook_retravaill!I553+[1]Result_notebook_retravaill!J553&gt;[1]Result_notebook_retravaill!G553,0,[1]Result_notebook_retravaill!M553))</f>
        <v>68990.30776870079</v>
      </c>
    </row>
    <row r="554" spans="1:12">
      <c r="A554">
        <f>[1]Result_notebook_retravaill!A554</f>
        <v>2031</v>
      </c>
      <c r="B554" t="str">
        <f>[1]Result_notebook_retravaill!B554</f>
        <v>Cobalt</v>
      </c>
      <c r="C554" t="str">
        <f>[1]Result_notebook_retravaill!C554</f>
        <v>Global Net-zero</v>
      </c>
      <c r="D554" t="str">
        <f>[1]Result_notebook_retravaill!D554</f>
        <v>Production potential</v>
      </c>
      <c r="E554" t="str">
        <f>[1]Result_notebook_retravaill!E554</f>
        <v>Current shares</v>
      </c>
      <c r="F554" t="str">
        <f>[1]Result_notebook_retravaill!F554</f>
        <v>Expansion Extractive</v>
      </c>
      <c r="G554">
        <f>[1]Result_notebook_retravaill!G554</f>
        <v>70618.965487702415</v>
      </c>
      <c r="H554" s="3">
        <f>IF([1]Result_notebook_retravaill!I554&gt;[1]Result_notebook_retravaill!G554,[1]Result_notebook_retravaill!I554/[1]Result_notebook_retravaill!N554,[1]Result_notebook_retravaill!H554)</f>
        <v>8876.0777297221903</v>
      </c>
      <c r="I554" s="3">
        <f>[1]Result_notebook_retravaill!K554</f>
        <v>151621.57110596509</v>
      </c>
      <c r="J554" s="3">
        <f>MIN(G554,[1]Result_notebook_retravaill!I554)</f>
        <v>3765.070880179765</v>
      </c>
      <c r="K554" s="3">
        <f>IF([1]Result_notebook_retravaill!I554&gt;[1]Result_notebook_retravaill!G554,0,IF([1]Result_notebook_retravaill!I554+[1]Result_notebook_retravaill!J554&gt;[1]Result_notebook_retravaill!G554,[1]Result_notebook_retravaill!G554-[1]Result_notebook_retravaill!I554,[1]Result_notebook_retravaill!J554))</f>
        <v>134.60338714434783</v>
      </c>
      <c r="L554" s="3">
        <f>IF([1]Result_notebook_retravaill!I554&gt;[1]Result_notebook_retravaill!G554,0,IF([1]Result_notebook_retravaill!I554+[1]Result_notebook_retravaill!J554&gt;[1]Result_notebook_retravaill!G554,0,[1]Result_notebook_retravaill!M554))</f>
        <v>66719.291220378305</v>
      </c>
    </row>
    <row r="555" spans="1:12">
      <c r="A555">
        <f>[1]Result_notebook_retravaill!A555</f>
        <v>2031</v>
      </c>
      <c r="B555" t="str">
        <f>[1]Result_notebook_retravaill!B555</f>
        <v>Cobalt</v>
      </c>
      <c r="C555" t="str">
        <f>[1]Result_notebook_retravaill!C555</f>
        <v>Global Net-zero</v>
      </c>
      <c r="D555" t="str">
        <f>[1]Result_notebook_retravaill!D555</f>
        <v>Production potential</v>
      </c>
      <c r="E555" t="str">
        <f>[1]Result_notebook_retravaill!E555</f>
        <v>Current shares</v>
      </c>
      <c r="F555" t="str">
        <f>[1]Result_notebook_retravaill!F555</f>
        <v>Expansion Extractive+Circularity</v>
      </c>
      <c r="G555">
        <f>[1]Result_notebook_retravaill!G555</f>
        <v>70618.965487702415</v>
      </c>
      <c r="H555" s="3">
        <f>IF([1]Result_notebook_retravaill!I555&gt;[1]Result_notebook_retravaill!G555,[1]Result_notebook_retravaill!I555/[1]Result_notebook_retravaill!N555,[1]Result_notebook_retravaill!H555)</f>
        <v>8876.0777297221903</v>
      </c>
      <c r="I555" s="3">
        <f>[1]Result_notebook_retravaill!K555</f>
        <v>151621.57110596509</v>
      </c>
      <c r="J555" s="3">
        <f>MIN(G555,[1]Result_notebook_retravaill!I555)</f>
        <v>3765.070880179765</v>
      </c>
      <c r="K555" s="3">
        <f>IF([1]Result_notebook_retravaill!I555&gt;[1]Result_notebook_retravaill!G555,0,IF([1]Result_notebook_retravaill!I555+[1]Result_notebook_retravaill!J555&gt;[1]Result_notebook_retravaill!G555,[1]Result_notebook_retravaill!G555-[1]Result_notebook_retravaill!I555,[1]Result_notebook_retravaill!J555))</f>
        <v>134.60338714434783</v>
      </c>
      <c r="L555" s="3">
        <f>IF([1]Result_notebook_retravaill!I555&gt;[1]Result_notebook_retravaill!G555,0,IF([1]Result_notebook_retravaill!I555+[1]Result_notebook_retravaill!J555&gt;[1]Result_notebook_retravaill!G555,0,[1]Result_notebook_retravaill!M555))</f>
        <v>66719.291220378305</v>
      </c>
    </row>
    <row r="556" spans="1:12">
      <c r="A556">
        <f>[1]Result_notebook_retravaill!A556</f>
        <v>2031</v>
      </c>
      <c r="B556" t="str">
        <f>[1]Result_notebook_retravaill!B556</f>
        <v>Cobalt</v>
      </c>
      <c r="C556" t="str">
        <f>[1]Result_notebook_retravaill!C556</f>
        <v>Global Net-zero</v>
      </c>
      <c r="D556" t="str">
        <f>[1]Result_notebook_retravaill!D556</f>
        <v>Production potential</v>
      </c>
      <c r="E556" t="str">
        <f>[1]Result_notebook_retravaill!E556</f>
        <v>100% CAN</v>
      </c>
      <c r="F556" t="str">
        <f>[1]Result_notebook_retravaill!F556</f>
        <v>Integrated</v>
      </c>
      <c r="G556">
        <f>[1]Result_notebook_retravaill!G556</f>
        <v>70618.965487702415</v>
      </c>
      <c r="H556" s="3">
        <f>IF([1]Result_notebook_retravaill!I556&gt;[1]Result_notebook_retravaill!G556,[1]Result_notebook_retravaill!I556/[1]Result_notebook_retravaill!N556,[1]Result_notebook_retravaill!H556)</f>
        <v>8876.0777297221903</v>
      </c>
      <c r="I556" s="3">
        <f>[1]Result_notebook_retravaill!K556</f>
        <v>151621.57110596509</v>
      </c>
      <c r="J556" s="3">
        <f>MIN(G556,[1]Result_notebook_retravaill!I556)</f>
        <v>3899.674267324116</v>
      </c>
      <c r="K556" s="3">
        <f>IF([1]Result_notebook_retravaill!I556&gt;[1]Result_notebook_retravaill!G556,0,IF([1]Result_notebook_retravaill!I556+[1]Result_notebook_retravaill!J556&gt;[1]Result_notebook_retravaill!G556,[1]Result_notebook_retravaill!G556-[1]Result_notebook_retravaill!I556,[1]Result_notebook_retravaill!J556))</f>
        <v>0</v>
      </c>
      <c r="L556" s="3">
        <f>IF([1]Result_notebook_retravaill!I556&gt;[1]Result_notebook_retravaill!G556,0,IF([1]Result_notebook_retravaill!I556+[1]Result_notebook_retravaill!J556&gt;[1]Result_notebook_retravaill!G556,0,[1]Result_notebook_retravaill!M556))</f>
        <v>66719.291220378305</v>
      </c>
    </row>
    <row r="557" spans="1:12">
      <c r="A557">
        <f>[1]Result_notebook_retravaill!A557</f>
        <v>2031</v>
      </c>
      <c r="B557" t="str">
        <f>[1]Result_notebook_retravaill!B557</f>
        <v>Copper</v>
      </c>
      <c r="C557" t="str">
        <f>[1]Result_notebook_retravaill!C557</f>
        <v>Canada Net-zero</v>
      </c>
      <c r="D557" t="str">
        <f>[1]Result_notebook_retravaill!D557</f>
        <v>Existing production</v>
      </c>
      <c r="E557" t="str">
        <f>[1]Result_notebook_retravaill!E557</f>
        <v>Current shares</v>
      </c>
      <c r="F557" t="str">
        <f>[1]Result_notebook_retravaill!F557</f>
        <v>NIMBY</v>
      </c>
      <c r="G557">
        <f>[1]Result_notebook_retravaill!G557</f>
        <v>1075624.1200135939</v>
      </c>
      <c r="H557" s="3">
        <f>IF([1]Result_notebook_retravaill!I557&gt;[1]Result_notebook_retravaill!G557,[1]Result_notebook_retravaill!I557/[1]Result_notebook_retravaill!N557,[1]Result_notebook_retravaill!H557)</f>
        <v>0</v>
      </c>
      <c r="I557" s="3">
        <f>[1]Result_notebook_retravaill!K557</f>
        <v>1295932.674715173</v>
      </c>
      <c r="J557" s="3">
        <f>MIN(G557,[1]Result_notebook_retravaill!I557)</f>
        <v>0</v>
      </c>
      <c r="K557" s="3">
        <f>IF([1]Result_notebook_retravaill!I557&gt;[1]Result_notebook_retravaill!G557,0,IF([1]Result_notebook_retravaill!I557+[1]Result_notebook_retravaill!J557&gt;[1]Result_notebook_retravaill!G557,[1]Result_notebook_retravaill!G557-[1]Result_notebook_retravaill!I557,[1]Result_notebook_retravaill!J557))</f>
        <v>0</v>
      </c>
      <c r="L557" s="3">
        <f>IF([1]Result_notebook_retravaill!I557&gt;[1]Result_notebook_retravaill!G557,0,IF([1]Result_notebook_retravaill!I557+[1]Result_notebook_retravaill!J557&gt;[1]Result_notebook_retravaill!G557,0,[1]Result_notebook_retravaill!M557))</f>
        <v>1075624.1200135939</v>
      </c>
    </row>
    <row r="558" spans="1:12">
      <c r="A558">
        <f>[1]Result_notebook_retravaill!A558</f>
        <v>2031</v>
      </c>
      <c r="B558" t="str">
        <f>[1]Result_notebook_retravaill!B558</f>
        <v>Copper</v>
      </c>
      <c r="C558" t="str">
        <f>[1]Result_notebook_retravaill!C558</f>
        <v>Canada Net-zero</v>
      </c>
      <c r="D558" t="str">
        <f>[1]Result_notebook_retravaill!D558</f>
        <v>Existing production</v>
      </c>
      <c r="E558" t="str">
        <f>[1]Result_notebook_retravaill!E558</f>
        <v>Current shares</v>
      </c>
      <c r="F558" t="str">
        <f>[1]Result_notebook_retravaill!F558</f>
        <v>Status Quo</v>
      </c>
      <c r="G558">
        <f>[1]Result_notebook_retravaill!G558</f>
        <v>1075624.1200135939</v>
      </c>
      <c r="H558" s="3">
        <f>IF([1]Result_notebook_retravaill!I558&gt;[1]Result_notebook_retravaill!G558,[1]Result_notebook_retravaill!I558/[1]Result_notebook_retravaill!N558,[1]Result_notebook_retravaill!H558)</f>
        <v>311145</v>
      </c>
      <c r="I558" s="3">
        <f>[1]Result_notebook_retravaill!K558</f>
        <v>984787.67471517343</v>
      </c>
      <c r="J558" s="3">
        <f>MIN(G558,[1]Result_notebook_retravaill!I558)</f>
        <v>163540.51506665381</v>
      </c>
      <c r="K558" s="3">
        <f>IF([1]Result_notebook_retravaill!I558&gt;[1]Result_notebook_retravaill!G558,0,IF([1]Result_notebook_retravaill!I558+[1]Result_notebook_retravaill!J558&gt;[1]Result_notebook_retravaill!G558,[1]Result_notebook_retravaill!G558-[1]Result_notebook_retravaill!I558,[1]Result_notebook_retravaill!J558))</f>
        <v>96186.455272329098</v>
      </c>
      <c r="L558" s="3">
        <f>IF([1]Result_notebook_retravaill!I558&gt;[1]Result_notebook_retravaill!G558,0,IF([1]Result_notebook_retravaill!I558+[1]Result_notebook_retravaill!J558&gt;[1]Result_notebook_retravaill!G558,0,[1]Result_notebook_retravaill!M558))</f>
        <v>815897.14967461093</v>
      </c>
    </row>
    <row r="559" spans="1:12">
      <c r="A559">
        <f>[1]Result_notebook_retravaill!A559</f>
        <v>2031</v>
      </c>
      <c r="B559" t="str">
        <f>[1]Result_notebook_retravaill!B559</f>
        <v>Copper</v>
      </c>
      <c r="C559" t="str">
        <f>[1]Result_notebook_retravaill!C559</f>
        <v>Canada Net-zero</v>
      </c>
      <c r="D559" t="str">
        <f>[1]Result_notebook_retravaill!D559</f>
        <v>Production potential</v>
      </c>
      <c r="E559" t="str">
        <f>[1]Result_notebook_retravaill!E559</f>
        <v>Current shares</v>
      </c>
      <c r="F559" t="str">
        <f>[1]Result_notebook_retravaill!F559</f>
        <v>Expansion Extractive</v>
      </c>
      <c r="G559">
        <f>[1]Result_notebook_retravaill!G559</f>
        <v>1075624.1200135939</v>
      </c>
      <c r="H559" s="3">
        <f>IF([1]Result_notebook_retravaill!I559&gt;[1]Result_notebook_retravaill!G559,[1]Result_notebook_retravaill!I559/[1]Result_notebook_retravaill!N559,[1]Result_notebook_retravaill!H559)</f>
        <v>721363.36247679312</v>
      </c>
      <c r="I559" s="3">
        <f>[1]Result_notebook_retravaill!K559</f>
        <v>574569.31223838031</v>
      </c>
      <c r="J559" s="3">
        <f>MIN(G559,[1]Result_notebook_retravaill!I559)</f>
        <v>379154.85014918452</v>
      </c>
      <c r="K559" s="3">
        <f>IF([1]Result_notebook_retravaill!I559&gt;[1]Result_notebook_retravaill!G559,0,IF([1]Result_notebook_retravaill!I559+[1]Result_notebook_retravaill!J559&gt;[1]Result_notebook_retravaill!G559,[1]Result_notebook_retravaill!G559-[1]Result_notebook_retravaill!I559,[1]Result_notebook_retravaill!J559))</f>
        <v>223000.16005390097</v>
      </c>
      <c r="L559" s="3">
        <f>IF([1]Result_notebook_retravaill!I559&gt;[1]Result_notebook_retravaill!G559,0,IF([1]Result_notebook_retravaill!I559+[1]Result_notebook_retravaill!J559&gt;[1]Result_notebook_retravaill!G559,0,[1]Result_notebook_retravaill!M559))</f>
        <v>473469.1098105085</v>
      </c>
    </row>
    <row r="560" spans="1:12">
      <c r="A560">
        <f>[1]Result_notebook_retravaill!A560</f>
        <v>2031</v>
      </c>
      <c r="B560" t="str">
        <f>[1]Result_notebook_retravaill!B560</f>
        <v>Copper</v>
      </c>
      <c r="C560" t="str">
        <f>[1]Result_notebook_retravaill!C560</f>
        <v>Canada Net-zero</v>
      </c>
      <c r="D560" t="str">
        <f>[1]Result_notebook_retravaill!D560</f>
        <v>Production potential</v>
      </c>
      <c r="E560" t="str">
        <f>[1]Result_notebook_retravaill!E560</f>
        <v>Current shares</v>
      </c>
      <c r="F560" t="str">
        <f>[1]Result_notebook_retravaill!F560</f>
        <v>Expansion Extractive+Circularity</v>
      </c>
      <c r="G560">
        <f>[1]Result_notebook_retravaill!G560</f>
        <v>1075624.1200135939</v>
      </c>
      <c r="H560" s="3">
        <f>IF([1]Result_notebook_retravaill!I560&gt;[1]Result_notebook_retravaill!G560,[1]Result_notebook_retravaill!I560/[1]Result_notebook_retravaill!N560,[1]Result_notebook_retravaill!H560)</f>
        <v>721363.36247679312</v>
      </c>
      <c r="I560" s="3">
        <f>[1]Result_notebook_retravaill!K560</f>
        <v>574569.31223838031</v>
      </c>
      <c r="J560" s="3">
        <f>MIN(G560,[1]Result_notebook_retravaill!I560)</f>
        <v>379154.85014918452</v>
      </c>
      <c r="K560" s="3">
        <f>IF([1]Result_notebook_retravaill!I560&gt;[1]Result_notebook_retravaill!G560,0,IF([1]Result_notebook_retravaill!I560+[1]Result_notebook_retravaill!J560&gt;[1]Result_notebook_retravaill!G560,[1]Result_notebook_retravaill!G560-[1]Result_notebook_retravaill!I560,[1]Result_notebook_retravaill!J560))</f>
        <v>223000.16005390097</v>
      </c>
      <c r="L560" s="3">
        <f>IF([1]Result_notebook_retravaill!I560&gt;[1]Result_notebook_retravaill!G560,0,IF([1]Result_notebook_retravaill!I560+[1]Result_notebook_retravaill!J560&gt;[1]Result_notebook_retravaill!G560,0,[1]Result_notebook_retravaill!M560))</f>
        <v>473469.1098105085</v>
      </c>
    </row>
    <row r="561" spans="1:12">
      <c r="A561">
        <f>[1]Result_notebook_retravaill!A561</f>
        <v>2031</v>
      </c>
      <c r="B561" t="str">
        <f>[1]Result_notebook_retravaill!B561</f>
        <v>Copper</v>
      </c>
      <c r="C561" t="str">
        <f>[1]Result_notebook_retravaill!C561</f>
        <v>Canada Net-zero</v>
      </c>
      <c r="D561" t="str">
        <f>[1]Result_notebook_retravaill!D561</f>
        <v>Production potential</v>
      </c>
      <c r="E561" t="str">
        <f>[1]Result_notebook_retravaill!E561</f>
        <v>100% CAN</v>
      </c>
      <c r="F561" t="str">
        <f>[1]Result_notebook_retravaill!F561</f>
        <v>Integrated</v>
      </c>
      <c r="G561">
        <f>[1]Result_notebook_retravaill!G561</f>
        <v>1075624.1200135939</v>
      </c>
      <c r="H561" s="3">
        <f>IF([1]Result_notebook_retravaill!I561&gt;[1]Result_notebook_retravaill!G561,[1]Result_notebook_retravaill!I561/[1]Result_notebook_retravaill!N561,[1]Result_notebook_retravaill!H561)</f>
        <v>721363.36247679312</v>
      </c>
      <c r="I561" s="3">
        <f>[1]Result_notebook_retravaill!K561</f>
        <v>574569.31223838031</v>
      </c>
      <c r="J561" s="3">
        <f>MIN(G561,[1]Result_notebook_retravaill!I561)</f>
        <v>602155.01020308572</v>
      </c>
      <c r="K561" s="3">
        <f>IF([1]Result_notebook_retravaill!I561&gt;[1]Result_notebook_retravaill!G561,0,IF([1]Result_notebook_retravaill!I561+[1]Result_notebook_retravaill!J561&gt;[1]Result_notebook_retravaill!G561,[1]Result_notebook_retravaill!G561-[1]Result_notebook_retravaill!I561,[1]Result_notebook_retravaill!J561))</f>
        <v>0</v>
      </c>
      <c r="L561" s="3">
        <f>IF([1]Result_notebook_retravaill!I561&gt;[1]Result_notebook_retravaill!G561,0,IF([1]Result_notebook_retravaill!I561+[1]Result_notebook_retravaill!J561&gt;[1]Result_notebook_retravaill!G561,0,[1]Result_notebook_retravaill!M561))</f>
        <v>473469.10981050821</v>
      </c>
    </row>
    <row r="562" spans="1:12">
      <c r="A562">
        <f>[1]Result_notebook_retravaill!A562</f>
        <v>2031</v>
      </c>
      <c r="B562" t="str">
        <f>[1]Result_notebook_retravaill!B562</f>
        <v>Copper</v>
      </c>
      <c r="C562" t="str">
        <f>[1]Result_notebook_retravaill!C562</f>
        <v>Current Measures</v>
      </c>
      <c r="D562" t="str">
        <f>[1]Result_notebook_retravaill!D562</f>
        <v>Existing production</v>
      </c>
      <c r="E562" t="str">
        <f>[1]Result_notebook_retravaill!E562</f>
        <v>Current shares</v>
      </c>
      <c r="F562" t="str">
        <f>[1]Result_notebook_retravaill!F562</f>
        <v>NIMBY</v>
      </c>
      <c r="G562">
        <f>[1]Result_notebook_retravaill!G562</f>
        <v>961084.55032117816</v>
      </c>
      <c r="H562" s="3">
        <f>IF([1]Result_notebook_retravaill!I562&gt;[1]Result_notebook_retravaill!G562,[1]Result_notebook_retravaill!I562/[1]Result_notebook_retravaill!N562,[1]Result_notebook_retravaill!H562)</f>
        <v>0</v>
      </c>
      <c r="I562" s="3">
        <f>[1]Result_notebook_retravaill!K562</f>
        <v>1157933.1931580461</v>
      </c>
      <c r="J562" s="3">
        <f>MIN(G562,[1]Result_notebook_retravaill!I562)</f>
        <v>0</v>
      </c>
      <c r="K562" s="3">
        <f>IF([1]Result_notebook_retravaill!I562&gt;[1]Result_notebook_retravaill!G562,0,IF([1]Result_notebook_retravaill!I562+[1]Result_notebook_retravaill!J562&gt;[1]Result_notebook_retravaill!G562,[1]Result_notebook_retravaill!G562-[1]Result_notebook_retravaill!I562,[1]Result_notebook_retravaill!J562))</f>
        <v>0</v>
      </c>
      <c r="L562" s="3">
        <f>IF([1]Result_notebook_retravaill!I562&gt;[1]Result_notebook_retravaill!G562,0,IF([1]Result_notebook_retravaill!I562+[1]Result_notebook_retravaill!J562&gt;[1]Result_notebook_retravaill!G562,0,[1]Result_notebook_retravaill!M562))</f>
        <v>961084.55032117816</v>
      </c>
    </row>
    <row r="563" spans="1:12">
      <c r="A563">
        <f>[1]Result_notebook_retravaill!A563</f>
        <v>2031</v>
      </c>
      <c r="B563" t="str">
        <f>[1]Result_notebook_retravaill!B563</f>
        <v>Copper</v>
      </c>
      <c r="C563" t="str">
        <f>[1]Result_notebook_retravaill!C563</f>
        <v>Current Measures</v>
      </c>
      <c r="D563" t="str">
        <f>[1]Result_notebook_retravaill!D563</f>
        <v>Existing production</v>
      </c>
      <c r="E563" t="str">
        <f>[1]Result_notebook_retravaill!E563</f>
        <v>Current shares</v>
      </c>
      <c r="F563" t="str">
        <f>[1]Result_notebook_retravaill!F563</f>
        <v>Status Quo</v>
      </c>
      <c r="G563">
        <f>[1]Result_notebook_retravaill!G563</f>
        <v>961084.55032117816</v>
      </c>
      <c r="H563" s="3">
        <f>IF([1]Result_notebook_retravaill!I563&gt;[1]Result_notebook_retravaill!G563,[1]Result_notebook_retravaill!I563/[1]Result_notebook_retravaill!N563,[1]Result_notebook_retravaill!H563)</f>
        <v>311145</v>
      </c>
      <c r="I563" s="3">
        <f>[1]Result_notebook_retravaill!K563</f>
        <v>846788.19315804611</v>
      </c>
      <c r="J563" s="3">
        <f>MIN(G563,[1]Result_notebook_retravaill!I563)</f>
        <v>163540.51506665381</v>
      </c>
      <c r="K563" s="3">
        <f>IF([1]Result_notebook_retravaill!I563&gt;[1]Result_notebook_retravaill!G563,0,IF([1]Result_notebook_retravaill!I563+[1]Result_notebook_retravaill!J563&gt;[1]Result_notebook_retravaill!G563,[1]Result_notebook_retravaill!G563-[1]Result_notebook_retravaill!I563,[1]Result_notebook_retravaill!J563))</f>
        <v>96186.455272329098</v>
      </c>
      <c r="L563" s="3">
        <f>IF([1]Result_notebook_retravaill!I563&gt;[1]Result_notebook_retravaill!G563,0,IF([1]Result_notebook_retravaill!I563+[1]Result_notebook_retravaill!J563&gt;[1]Result_notebook_retravaill!G563,0,[1]Result_notebook_retravaill!M563))</f>
        <v>701357.57998219528</v>
      </c>
    </row>
    <row r="564" spans="1:12">
      <c r="A564">
        <f>[1]Result_notebook_retravaill!A564</f>
        <v>2031</v>
      </c>
      <c r="B564" t="str">
        <f>[1]Result_notebook_retravaill!B564</f>
        <v>Copper</v>
      </c>
      <c r="C564" t="str">
        <f>[1]Result_notebook_retravaill!C564</f>
        <v>Current Measures</v>
      </c>
      <c r="D564" t="str">
        <f>[1]Result_notebook_retravaill!D564</f>
        <v>Production potential</v>
      </c>
      <c r="E564" t="str">
        <f>[1]Result_notebook_retravaill!E564</f>
        <v>Current shares</v>
      </c>
      <c r="F564" t="str">
        <f>[1]Result_notebook_retravaill!F564</f>
        <v>Expansion Extractive</v>
      </c>
      <c r="G564">
        <f>[1]Result_notebook_retravaill!G564</f>
        <v>961084.55032117816</v>
      </c>
      <c r="H564" s="3">
        <f>IF([1]Result_notebook_retravaill!I564&gt;[1]Result_notebook_retravaill!G564,[1]Result_notebook_retravaill!I564/[1]Result_notebook_retravaill!N564,[1]Result_notebook_retravaill!H564)</f>
        <v>721363.36247679312</v>
      </c>
      <c r="I564" s="3">
        <f>[1]Result_notebook_retravaill!K564</f>
        <v>436569.83068125299</v>
      </c>
      <c r="J564" s="3">
        <f>MIN(G564,[1]Result_notebook_retravaill!I564)</f>
        <v>379154.85014918452</v>
      </c>
      <c r="K564" s="3">
        <f>IF([1]Result_notebook_retravaill!I564&gt;[1]Result_notebook_retravaill!G564,0,IF([1]Result_notebook_retravaill!I564+[1]Result_notebook_retravaill!J564&gt;[1]Result_notebook_retravaill!G564,[1]Result_notebook_retravaill!G564-[1]Result_notebook_retravaill!I564,[1]Result_notebook_retravaill!J564))</f>
        <v>223000.16005390097</v>
      </c>
      <c r="L564" s="3">
        <f>IF([1]Result_notebook_retravaill!I564&gt;[1]Result_notebook_retravaill!G564,0,IF([1]Result_notebook_retravaill!I564+[1]Result_notebook_retravaill!J564&gt;[1]Result_notebook_retravaill!G564,0,[1]Result_notebook_retravaill!M564))</f>
        <v>358929.54011809261</v>
      </c>
    </row>
    <row r="565" spans="1:12">
      <c r="A565">
        <f>[1]Result_notebook_retravaill!A565</f>
        <v>2031</v>
      </c>
      <c r="B565" t="str">
        <f>[1]Result_notebook_retravaill!B565</f>
        <v>Copper</v>
      </c>
      <c r="C565" t="str">
        <f>[1]Result_notebook_retravaill!C565</f>
        <v>Current Measures</v>
      </c>
      <c r="D565" t="str">
        <f>[1]Result_notebook_retravaill!D565</f>
        <v>Production potential</v>
      </c>
      <c r="E565" t="str">
        <f>[1]Result_notebook_retravaill!E565</f>
        <v>Current shares</v>
      </c>
      <c r="F565" t="str">
        <f>[1]Result_notebook_retravaill!F565</f>
        <v>Expansion Extractive+Circularity</v>
      </c>
      <c r="G565">
        <f>[1]Result_notebook_retravaill!G565</f>
        <v>961084.55032117816</v>
      </c>
      <c r="H565" s="3">
        <f>IF([1]Result_notebook_retravaill!I565&gt;[1]Result_notebook_retravaill!G565,[1]Result_notebook_retravaill!I565/[1]Result_notebook_retravaill!N565,[1]Result_notebook_retravaill!H565)</f>
        <v>721363.36247679312</v>
      </c>
      <c r="I565" s="3">
        <f>[1]Result_notebook_retravaill!K565</f>
        <v>436569.83068125299</v>
      </c>
      <c r="J565" s="3">
        <f>MIN(G565,[1]Result_notebook_retravaill!I565)</f>
        <v>379154.85014918452</v>
      </c>
      <c r="K565" s="3">
        <f>IF([1]Result_notebook_retravaill!I565&gt;[1]Result_notebook_retravaill!G565,0,IF([1]Result_notebook_retravaill!I565+[1]Result_notebook_retravaill!J565&gt;[1]Result_notebook_retravaill!G565,[1]Result_notebook_retravaill!G565-[1]Result_notebook_retravaill!I565,[1]Result_notebook_retravaill!J565))</f>
        <v>223000.16005390097</v>
      </c>
      <c r="L565" s="3">
        <f>IF([1]Result_notebook_retravaill!I565&gt;[1]Result_notebook_retravaill!G565,0,IF([1]Result_notebook_retravaill!I565+[1]Result_notebook_retravaill!J565&gt;[1]Result_notebook_retravaill!G565,0,[1]Result_notebook_retravaill!M565))</f>
        <v>358929.54011809261</v>
      </c>
    </row>
    <row r="566" spans="1:12">
      <c r="A566">
        <f>[1]Result_notebook_retravaill!A566</f>
        <v>2031</v>
      </c>
      <c r="B566" t="str">
        <f>[1]Result_notebook_retravaill!B566</f>
        <v>Copper</v>
      </c>
      <c r="C566" t="str">
        <f>[1]Result_notebook_retravaill!C566</f>
        <v>Current Measures</v>
      </c>
      <c r="D566" t="str">
        <f>[1]Result_notebook_retravaill!D566</f>
        <v>Production potential</v>
      </c>
      <c r="E566" t="str">
        <f>[1]Result_notebook_retravaill!E566</f>
        <v>100% CAN</v>
      </c>
      <c r="F566" t="str">
        <f>[1]Result_notebook_retravaill!F566</f>
        <v>Integrated</v>
      </c>
      <c r="G566">
        <f>[1]Result_notebook_retravaill!G566</f>
        <v>961084.55032117816</v>
      </c>
      <c r="H566" s="3">
        <f>IF([1]Result_notebook_retravaill!I566&gt;[1]Result_notebook_retravaill!G566,[1]Result_notebook_retravaill!I566/[1]Result_notebook_retravaill!N566,[1]Result_notebook_retravaill!H566)</f>
        <v>721363.36247679312</v>
      </c>
      <c r="I566" s="3">
        <f>[1]Result_notebook_retravaill!K566</f>
        <v>436569.83068125299</v>
      </c>
      <c r="J566" s="3">
        <f>MIN(G566,[1]Result_notebook_retravaill!I566)</f>
        <v>602155.01020308572</v>
      </c>
      <c r="K566" s="3">
        <f>IF([1]Result_notebook_retravaill!I566&gt;[1]Result_notebook_retravaill!G566,0,IF([1]Result_notebook_retravaill!I566+[1]Result_notebook_retravaill!J566&gt;[1]Result_notebook_retravaill!G566,[1]Result_notebook_retravaill!G566-[1]Result_notebook_retravaill!I566,[1]Result_notebook_retravaill!J566))</f>
        <v>0</v>
      </c>
      <c r="L566" s="3">
        <f>IF([1]Result_notebook_retravaill!I566&gt;[1]Result_notebook_retravaill!G566,0,IF([1]Result_notebook_retravaill!I566+[1]Result_notebook_retravaill!J566&gt;[1]Result_notebook_retravaill!G566,0,[1]Result_notebook_retravaill!M566))</f>
        <v>358929.54011809238</v>
      </c>
    </row>
    <row r="567" spans="1:12">
      <c r="A567">
        <f>[1]Result_notebook_retravaill!A567</f>
        <v>2031</v>
      </c>
      <c r="B567" t="str">
        <f>[1]Result_notebook_retravaill!B567</f>
        <v>Copper</v>
      </c>
      <c r="C567" t="str">
        <f>[1]Result_notebook_retravaill!C567</f>
        <v>Global Net-zero</v>
      </c>
      <c r="D567" t="str">
        <f>[1]Result_notebook_retravaill!D567</f>
        <v>Existing production</v>
      </c>
      <c r="E567" t="str">
        <f>[1]Result_notebook_retravaill!E567</f>
        <v>Current shares</v>
      </c>
      <c r="F567" t="str">
        <f>[1]Result_notebook_retravaill!F567</f>
        <v>NIMBY</v>
      </c>
      <c r="G567">
        <f>[1]Result_notebook_retravaill!G567</f>
        <v>1040489.0683717401</v>
      </c>
      <c r="H567" s="3">
        <f>IF([1]Result_notebook_retravaill!I567&gt;[1]Result_notebook_retravaill!G567,[1]Result_notebook_retravaill!I567/[1]Result_notebook_retravaill!N567,[1]Result_notebook_retravaill!H567)</f>
        <v>0</v>
      </c>
      <c r="I567" s="3">
        <f>[1]Result_notebook_retravaill!K567</f>
        <v>1253601.2871948681</v>
      </c>
      <c r="J567" s="3">
        <f>MIN(G567,[1]Result_notebook_retravaill!I567)</f>
        <v>0</v>
      </c>
      <c r="K567" s="3">
        <f>IF([1]Result_notebook_retravaill!I567&gt;[1]Result_notebook_retravaill!G567,0,IF([1]Result_notebook_retravaill!I567+[1]Result_notebook_retravaill!J567&gt;[1]Result_notebook_retravaill!G567,[1]Result_notebook_retravaill!G567-[1]Result_notebook_retravaill!I567,[1]Result_notebook_retravaill!J567))</f>
        <v>0</v>
      </c>
      <c r="L567" s="3">
        <f>IF([1]Result_notebook_retravaill!I567&gt;[1]Result_notebook_retravaill!G567,0,IF([1]Result_notebook_retravaill!I567+[1]Result_notebook_retravaill!J567&gt;[1]Result_notebook_retravaill!G567,0,[1]Result_notebook_retravaill!M567))</f>
        <v>1040489.0683717401</v>
      </c>
    </row>
    <row r="568" spans="1:12">
      <c r="A568">
        <f>[1]Result_notebook_retravaill!A568</f>
        <v>2031</v>
      </c>
      <c r="B568" t="str">
        <f>[1]Result_notebook_retravaill!B568</f>
        <v>Copper</v>
      </c>
      <c r="C568" t="str">
        <f>[1]Result_notebook_retravaill!C568</f>
        <v>Global Net-zero</v>
      </c>
      <c r="D568" t="str">
        <f>[1]Result_notebook_retravaill!D568</f>
        <v>Existing production</v>
      </c>
      <c r="E568" t="str">
        <f>[1]Result_notebook_retravaill!E568</f>
        <v>Current shares</v>
      </c>
      <c r="F568" t="str">
        <f>[1]Result_notebook_retravaill!F568</f>
        <v>Status Quo</v>
      </c>
      <c r="G568">
        <f>[1]Result_notebook_retravaill!G568</f>
        <v>1040489.0683717401</v>
      </c>
      <c r="H568" s="3">
        <f>IF([1]Result_notebook_retravaill!I568&gt;[1]Result_notebook_retravaill!G568,[1]Result_notebook_retravaill!I568/[1]Result_notebook_retravaill!N568,[1]Result_notebook_retravaill!H568)</f>
        <v>311145</v>
      </c>
      <c r="I568" s="3">
        <f>[1]Result_notebook_retravaill!K568</f>
        <v>942456.28719486762</v>
      </c>
      <c r="J568" s="3">
        <f>MIN(G568,[1]Result_notebook_retravaill!I568)</f>
        <v>163540.51506665381</v>
      </c>
      <c r="K568" s="3">
        <f>IF([1]Result_notebook_retravaill!I568&gt;[1]Result_notebook_retravaill!G568,0,IF([1]Result_notebook_retravaill!I568+[1]Result_notebook_retravaill!J568&gt;[1]Result_notebook_retravaill!G568,[1]Result_notebook_retravaill!G568-[1]Result_notebook_retravaill!I568,[1]Result_notebook_retravaill!J568))</f>
        <v>96186.455272329098</v>
      </c>
      <c r="L568" s="3">
        <f>IF([1]Result_notebook_retravaill!I568&gt;[1]Result_notebook_retravaill!G568,0,IF([1]Result_notebook_retravaill!I568+[1]Result_notebook_retravaill!J568&gt;[1]Result_notebook_retravaill!G568,0,[1]Result_notebook_retravaill!M568))</f>
        <v>780762.09803275717</v>
      </c>
    </row>
    <row r="569" spans="1:12">
      <c r="A569">
        <f>[1]Result_notebook_retravaill!A569</f>
        <v>2031</v>
      </c>
      <c r="B569" t="str">
        <f>[1]Result_notebook_retravaill!B569</f>
        <v>Copper</v>
      </c>
      <c r="C569" t="str">
        <f>[1]Result_notebook_retravaill!C569</f>
        <v>Global Net-zero</v>
      </c>
      <c r="D569" t="str">
        <f>[1]Result_notebook_retravaill!D569</f>
        <v>Production potential</v>
      </c>
      <c r="E569" t="str">
        <f>[1]Result_notebook_retravaill!E569</f>
        <v>Current shares</v>
      </c>
      <c r="F569" t="str">
        <f>[1]Result_notebook_retravaill!F569</f>
        <v>Expansion Extractive</v>
      </c>
      <c r="G569">
        <f>[1]Result_notebook_retravaill!G569</f>
        <v>1040489.0683717401</v>
      </c>
      <c r="H569" s="3">
        <f>IF([1]Result_notebook_retravaill!I569&gt;[1]Result_notebook_retravaill!G569,[1]Result_notebook_retravaill!I569/[1]Result_notebook_retravaill!N569,[1]Result_notebook_retravaill!H569)</f>
        <v>721363.36247679312</v>
      </c>
      <c r="I569" s="3">
        <f>[1]Result_notebook_retravaill!K569</f>
        <v>532237.9247180745</v>
      </c>
      <c r="J569" s="3">
        <f>MIN(G569,[1]Result_notebook_retravaill!I569)</f>
        <v>379154.85014918452</v>
      </c>
      <c r="K569" s="3">
        <f>IF([1]Result_notebook_retravaill!I569&gt;[1]Result_notebook_retravaill!G569,0,IF([1]Result_notebook_retravaill!I569+[1]Result_notebook_retravaill!J569&gt;[1]Result_notebook_retravaill!G569,[1]Result_notebook_retravaill!G569-[1]Result_notebook_retravaill!I569,[1]Result_notebook_retravaill!J569))</f>
        <v>223000.16005390097</v>
      </c>
      <c r="L569" s="3">
        <f>IF([1]Result_notebook_retravaill!I569&gt;[1]Result_notebook_retravaill!G569,0,IF([1]Result_notebook_retravaill!I569+[1]Result_notebook_retravaill!J569&gt;[1]Result_notebook_retravaill!G569,0,[1]Result_notebook_retravaill!M569))</f>
        <v>438334.0581686545</v>
      </c>
    </row>
    <row r="570" spans="1:12">
      <c r="A570">
        <f>[1]Result_notebook_retravaill!A570</f>
        <v>2031</v>
      </c>
      <c r="B570" t="str">
        <f>[1]Result_notebook_retravaill!B570</f>
        <v>Copper</v>
      </c>
      <c r="C570" t="str">
        <f>[1]Result_notebook_retravaill!C570</f>
        <v>Global Net-zero</v>
      </c>
      <c r="D570" t="str">
        <f>[1]Result_notebook_retravaill!D570</f>
        <v>Production potential</v>
      </c>
      <c r="E570" t="str">
        <f>[1]Result_notebook_retravaill!E570</f>
        <v>Current shares</v>
      </c>
      <c r="F570" t="str">
        <f>[1]Result_notebook_retravaill!F570</f>
        <v>Expansion Extractive+Circularity</v>
      </c>
      <c r="G570">
        <f>[1]Result_notebook_retravaill!G570</f>
        <v>1040489.0683717401</v>
      </c>
      <c r="H570" s="3">
        <f>IF([1]Result_notebook_retravaill!I570&gt;[1]Result_notebook_retravaill!G570,[1]Result_notebook_retravaill!I570/[1]Result_notebook_retravaill!N570,[1]Result_notebook_retravaill!H570)</f>
        <v>721363.36247679312</v>
      </c>
      <c r="I570" s="3">
        <f>[1]Result_notebook_retravaill!K570</f>
        <v>532237.9247180745</v>
      </c>
      <c r="J570" s="3">
        <f>MIN(G570,[1]Result_notebook_retravaill!I570)</f>
        <v>379154.85014918452</v>
      </c>
      <c r="K570" s="3">
        <f>IF([1]Result_notebook_retravaill!I570&gt;[1]Result_notebook_retravaill!G570,0,IF([1]Result_notebook_retravaill!I570+[1]Result_notebook_retravaill!J570&gt;[1]Result_notebook_retravaill!G570,[1]Result_notebook_retravaill!G570-[1]Result_notebook_retravaill!I570,[1]Result_notebook_retravaill!J570))</f>
        <v>223000.16005390097</v>
      </c>
      <c r="L570" s="3">
        <f>IF([1]Result_notebook_retravaill!I570&gt;[1]Result_notebook_retravaill!G570,0,IF([1]Result_notebook_retravaill!I570+[1]Result_notebook_retravaill!J570&gt;[1]Result_notebook_retravaill!G570,0,[1]Result_notebook_retravaill!M570))</f>
        <v>438334.0581686545</v>
      </c>
    </row>
    <row r="571" spans="1:12">
      <c r="A571">
        <f>[1]Result_notebook_retravaill!A571</f>
        <v>2031</v>
      </c>
      <c r="B571" t="str">
        <f>[1]Result_notebook_retravaill!B571</f>
        <v>Copper</v>
      </c>
      <c r="C571" t="str">
        <f>[1]Result_notebook_retravaill!C571</f>
        <v>Global Net-zero</v>
      </c>
      <c r="D571" t="str">
        <f>[1]Result_notebook_retravaill!D571</f>
        <v>Production potential</v>
      </c>
      <c r="E571" t="str">
        <f>[1]Result_notebook_retravaill!E571</f>
        <v>100% CAN</v>
      </c>
      <c r="F571" t="str">
        <f>[1]Result_notebook_retravaill!F571</f>
        <v>Integrated</v>
      </c>
      <c r="G571">
        <f>[1]Result_notebook_retravaill!G571</f>
        <v>1040489.0683717401</v>
      </c>
      <c r="H571" s="3">
        <f>IF([1]Result_notebook_retravaill!I571&gt;[1]Result_notebook_retravaill!G571,[1]Result_notebook_retravaill!I571/[1]Result_notebook_retravaill!N571,[1]Result_notebook_retravaill!H571)</f>
        <v>721363.36247679312</v>
      </c>
      <c r="I571" s="3">
        <f>[1]Result_notebook_retravaill!K571</f>
        <v>532237.9247180745</v>
      </c>
      <c r="J571" s="3">
        <f>MIN(G571,[1]Result_notebook_retravaill!I571)</f>
        <v>602155.01020308572</v>
      </c>
      <c r="K571" s="3">
        <f>IF([1]Result_notebook_retravaill!I571&gt;[1]Result_notebook_retravaill!G571,0,IF([1]Result_notebook_retravaill!I571+[1]Result_notebook_retravaill!J571&gt;[1]Result_notebook_retravaill!G571,[1]Result_notebook_retravaill!G571-[1]Result_notebook_retravaill!I571,[1]Result_notebook_retravaill!J571))</f>
        <v>0</v>
      </c>
      <c r="L571" s="3">
        <f>IF([1]Result_notebook_retravaill!I571&gt;[1]Result_notebook_retravaill!G571,0,IF([1]Result_notebook_retravaill!I571+[1]Result_notebook_retravaill!J571&gt;[1]Result_notebook_retravaill!G571,0,[1]Result_notebook_retravaill!M571))</f>
        <v>438334.05816865427</v>
      </c>
    </row>
    <row r="572" spans="1:12">
      <c r="A572">
        <f>[1]Result_notebook_retravaill!A572</f>
        <v>2031</v>
      </c>
      <c r="B572" t="str">
        <f>[1]Result_notebook_retravaill!B572</f>
        <v>Neodymium</v>
      </c>
      <c r="C572" t="str">
        <f>[1]Result_notebook_retravaill!C572</f>
        <v>Canada Net-zero</v>
      </c>
      <c r="D572" t="str">
        <f>[1]Result_notebook_retravaill!D572</f>
        <v>Existing production</v>
      </c>
      <c r="E572" t="str">
        <f>[1]Result_notebook_retravaill!E572</f>
        <v>Current shares</v>
      </c>
      <c r="F572" t="str">
        <f>[1]Result_notebook_retravaill!F572</f>
        <v>NIMBY</v>
      </c>
      <c r="G572">
        <f>[1]Result_notebook_retravaill!G572</f>
        <v>2673.374204195637</v>
      </c>
      <c r="H572" s="3">
        <f>IF([1]Result_notebook_retravaill!I572&gt;[1]Result_notebook_retravaill!G572,[1]Result_notebook_retravaill!I572/[1]Result_notebook_retravaill!N572,[1]Result_notebook_retravaill!H572)</f>
        <v>0</v>
      </c>
      <c r="I572" s="3">
        <f>[1]Result_notebook_retravaill!K572</f>
        <v>4455.6236736593964</v>
      </c>
      <c r="J572" s="3">
        <f>MIN(G572,[1]Result_notebook_retravaill!I572)</f>
        <v>0</v>
      </c>
      <c r="K572" s="3">
        <f>IF([1]Result_notebook_retravaill!I572&gt;[1]Result_notebook_retravaill!G572,0,IF([1]Result_notebook_retravaill!I572+[1]Result_notebook_retravaill!J572&gt;[1]Result_notebook_retravaill!G572,[1]Result_notebook_retravaill!G572-[1]Result_notebook_retravaill!I572,[1]Result_notebook_retravaill!J572))</f>
        <v>0</v>
      </c>
      <c r="L572" s="3">
        <f>IF([1]Result_notebook_retravaill!I572&gt;[1]Result_notebook_retravaill!G572,0,IF([1]Result_notebook_retravaill!I572+[1]Result_notebook_retravaill!J572&gt;[1]Result_notebook_retravaill!G572,0,[1]Result_notebook_retravaill!M572))</f>
        <v>2673.374204195637</v>
      </c>
    </row>
    <row r="573" spans="1:12">
      <c r="A573">
        <f>[1]Result_notebook_retravaill!A573</f>
        <v>2031</v>
      </c>
      <c r="B573" t="str">
        <f>[1]Result_notebook_retravaill!B573</f>
        <v>Neodymium</v>
      </c>
      <c r="C573" t="str">
        <f>[1]Result_notebook_retravaill!C573</f>
        <v>Canada Net-zero</v>
      </c>
      <c r="D573" t="str">
        <f>[1]Result_notebook_retravaill!D573</f>
        <v>Existing production</v>
      </c>
      <c r="E573" t="str">
        <f>[1]Result_notebook_retravaill!E573</f>
        <v>Current shares</v>
      </c>
      <c r="F573" t="str">
        <f>[1]Result_notebook_retravaill!F573</f>
        <v>Status Quo</v>
      </c>
      <c r="G573">
        <f>[1]Result_notebook_retravaill!G573</f>
        <v>2673.374204195637</v>
      </c>
      <c r="H573" s="3">
        <f>IF([1]Result_notebook_retravaill!I573&gt;[1]Result_notebook_retravaill!G573,[1]Result_notebook_retravaill!I573/[1]Result_notebook_retravaill!N573,[1]Result_notebook_retravaill!H573)</f>
        <v>0</v>
      </c>
      <c r="I573" s="3">
        <f>[1]Result_notebook_retravaill!K573</f>
        <v>4455.6236736593964</v>
      </c>
      <c r="J573" s="3">
        <f>MIN(G573,[1]Result_notebook_retravaill!I573)</f>
        <v>0</v>
      </c>
      <c r="K573" s="3">
        <f>IF([1]Result_notebook_retravaill!I573&gt;[1]Result_notebook_retravaill!G573,0,IF([1]Result_notebook_retravaill!I573+[1]Result_notebook_retravaill!J573&gt;[1]Result_notebook_retravaill!G573,[1]Result_notebook_retravaill!G573-[1]Result_notebook_retravaill!I573,[1]Result_notebook_retravaill!J573))</f>
        <v>0</v>
      </c>
      <c r="L573" s="3">
        <f>IF([1]Result_notebook_retravaill!I573&gt;[1]Result_notebook_retravaill!G573,0,IF([1]Result_notebook_retravaill!I573+[1]Result_notebook_retravaill!J573&gt;[1]Result_notebook_retravaill!G573,0,[1]Result_notebook_retravaill!M573))</f>
        <v>2673.374204195637</v>
      </c>
    </row>
    <row r="574" spans="1:12">
      <c r="A574">
        <f>[1]Result_notebook_retravaill!A574</f>
        <v>2031</v>
      </c>
      <c r="B574" t="str">
        <f>[1]Result_notebook_retravaill!B574</f>
        <v>Neodymium</v>
      </c>
      <c r="C574" t="str">
        <f>[1]Result_notebook_retravaill!C574</f>
        <v>Canada Net-zero</v>
      </c>
      <c r="D574" t="str">
        <f>[1]Result_notebook_retravaill!D574</f>
        <v>Production potential</v>
      </c>
      <c r="E574" t="str">
        <f>[1]Result_notebook_retravaill!E574</f>
        <v>Current shares</v>
      </c>
      <c r="F574" t="str">
        <f>[1]Result_notebook_retravaill!F574</f>
        <v>Expansion Extractive</v>
      </c>
      <c r="G574">
        <f>[1]Result_notebook_retravaill!G574</f>
        <v>2673.374204195637</v>
      </c>
      <c r="H574" s="3">
        <f>IF([1]Result_notebook_retravaill!I574&gt;[1]Result_notebook_retravaill!G574,[1]Result_notebook_retravaill!I574/[1]Result_notebook_retravaill!N574,[1]Result_notebook_retravaill!H574)</f>
        <v>20.77942225145344</v>
      </c>
      <c r="I574" s="3">
        <f>[1]Result_notebook_retravaill!K574</f>
        <v>4434.8442514079416</v>
      </c>
      <c r="J574" s="3">
        <f>MIN(G574,[1]Result_notebook_retravaill!I574)</f>
        <v>12.437396724835169</v>
      </c>
      <c r="K574" s="3">
        <f>IF([1]Result_notebook_retravaill!I574&gt;[1]Result_notebook_retravaill!G574,0,IF([1]Result_notebook_retravaill!I574+[1]Result_notebook_retravaill!J574&gt;[1]Result_notebook_retravaill!G574,[1]Result_notebook_retravaill!G574-[1]Result_notebook_retravaill!I574,[1]Result_notebook_retravaill!J574))</f>
        <v>8.3420255266182703</v>
      </c>
      <c r="L574" s="3">
        <f>IF([1]Result_notebook_retravaill!I574&gt;[1]Result_notebook_retravaill!G574,0,IF([1]Result_notebook_retravaill!I574+[1]Result_notebook_retravaill!J574&gt;[1]Result_notebook_retravaill!G574,0,[1]Result_notebook_retravaill!M574))</f>
        <v>2652.5947819441835</v>
      </c>
    </row>
    <row r="575" spans="1:12">
      <c r="A575">
        <f>[1]Result_notebook_retravaill!A575</f>
        <v>2031</v>
      </c>
      <c r="B575" t="str">
        <f>[1]Result_notebook_retravaill!B575</f>
        <v>Neodymium</v>
      </c>
      <c r="C575" t="str">
        <f>[1]Result_notebook_retravaill!C575</f>
        <v>Canada Net-zero</v>
      </c>
      <c r="D575" t="str">
        <f>[1]Result_notebook_retravaill!D575</f>
        <v>Production potential</v>
      </c>
      <c r="E575" t="str">
        <f>[1]Result_notebook_retravaill!E575</f>
        <v>Current shares</v>
      </c>
      <c r="F575" t="str">
        <f>[1]Result_notebook_retravaill!F575</f>
        <v>Expansion Extractive+Circularity</v>
      </c>
      <c r="G575">
        <f>[1]Result_notebook_retravaill!G575</f>
        <v>2673.374204195637</v>
      </c>
      <c r="H575" s="3">
        <f>IF([1]Result_notebook_retravaill!I575&gt;[1]Result_notebook_retravaill!G575,[1]Result_notebook_retravaill!I575/[1]Result_notebook_retravaill!N575,[1]Result_notebook_retravaill!H575)</f>
        <v>20.77942225145344</v>
      </c>
      <c r="I575" s="3">
        <f>[1]Result_notebook_retravaill!K575</f>
        <v>4434.8442514079416</v>
      </c>
      <c r="J575" s="3">
        <f>MIN(G575,[1]Result_notebook_retravaill!I575)</f>
        <v>12.437396724835169</v>
      </c>
      <c r="K575" s="3">
        <f>IF([1]Result_notebook_retravaill!I575&gt;[1]Result_notebook_retravaill!G575,0,IF([1]Result_notebook_retravaill!I575+[1]Result_notebook_retravaill!J575&gt;[1]Result_notebook_retravaill!G575,[1]Result_notebook_retravaill!G575-[1]Result_notebook_retravaill!I575,[1]Result_notebook_retravaill!J575))</f>
        <v>8.3420255266182703</v>
      </c>
      <c r="L575" s="3">
        <f>IF([1]Result_notebook_retravaill!I575&gt;[1]Result_notebook_retravaill!G575,0,IF([1]Result_notebook_retravaill!I575+[1]Result_notebook_retravaill!J575&gt;[1]Result_notebook_retravaill!G575,0,[1]Result_notebook_retravaill!M575))</f>
        <v>2652.5947819441835</v>
      </c>
    </row>
    <row r="576" spans="1:12">
      <c r="A576">
        <f>[1]Result_notebook_retravaill!A576</f>
        <v>2031</v>
      </c>
      <c r="B576" t="str">
        <f>[1]Result_notebook_retravaill!B576</f>
        <v>Neodymium</v>
      </c>
      <c r="C576" t="str">
        <f>[1]Result_notebook_retravaill!C576</f>
        <v>Canada Net-zero</v>
      </c>
      <c r="D576" t="str">
        <f>[1]Result_notebook_retravaill!D576</f>
        <v>Production potential</v>
      </c>
      <c r="E576" t="str">
        <f>[1]Result_notebook_retravaill!E576</f>
        <v>100% CAN</v>
      </c>
      <c r="F576" t="str">
        <f>[1]Result_notebook_retravaill!F576</f>
        <v>Integrated</v>
      </c>
      <c r="G576">
        <f>[1]Result_notebook_retravaill!G576</f>
        <v>2673.374204195637</v>
      </c>
      <c r="H576" s="3">
        <f>IF([1]Result_notebook_retravaill!I576&gt;[1]Result_notebook_retravaill!G576,[1]Result_notebook_retravaill!I576/[1]Result_notebook_retravaill!N576,[1]Result_notebook_retravaill!H576)</f>
        <v>20.77942225145344</v>
      </c>
      <c r="I576" s="3">
        <f>[1]Result_notebook_retravaill!K576</f>
        <v>4434.8442514079416</v>
      </c>
      <c r="J576" s="3">
        <f>MIN(G576,[1]Result_notebook_retravaill!I576)</f>
        <v>12.437396724835169</v>
      </c>
      <c r="K576" s="3">
        <f>IF([1]Result_notebook_retravaill!I576&gt;[1]Result_notebook_retravaill!G576,0,IF([1]Result_notebook_retravaill!I576+[1]Result_notebook_retravaill!J576&gt;[1]Result_notebook_retravaill!G576,[1]Result_notebook_retravaill!G576-[1]Result_notebook_retravaill!I576,[1]Result_notebook_retravaill!J576))</f>
        <v>8.3420255266182703</v>
      </c>
      <c r="L576" s="3">
        <f>IF([1]Result_notebook_retravaill!I576&gt;[1]Result_notebook_retravaill!G576,0,IF([1]Result_notebook_retravaill!I576+[1]Result_notebook_retravaill!J576&gt;[1]Result_notebook_retravaill!G576,0,[1]Result_notebook_retravaill!M576))</f>
        <v>2652.5947819441835</v>
      </c>
    </row>
    <row r="577" spans="1:12">
      <c r="A577">
        <f>[1]Result_notebook_retravaill!A577</f>
        <v>2031</v>
      </c>
      <c r="B577" t="str">
        <f>[1]Result_notebook_retravaill!B577</f>
        <v>Neodymium</v>
      </c>
      <c r="C577" t="str">
        <f>[1]Result_notebook_retravaill!C577</f>
        <v>Current Measures</v>
      </c>
      <c r="D577" t="str">
        <f>[1]Result_notebook_retravaill!D577</f>
        <v>Existing production</v>
      </c>
      <c r="E577" t="str">
        <f>[1]Result_notebook_retravaill!E577</f>
        <v>Current shares</v>
      </c>
      <c r="F577" t="str">
        <f>[1]Result_notebook_retravaill!F577</f>
        <v>NIMBY</v>
      </c>
      <c r="G577">
        <f>[1]Result_notebook_retravaill!G577</f>
        <v>995.76153396036739</v>
      </c>
      <c r="H577" s="3">
        <f>IF([1]Result_notebook_retravaill!I577&gt;[1]Result_notebook_retravaill!G577,[1]Result_notebook_retravaill!I577/[1]Result_notebook_retravaill!N577,[1]Result_notebook_retravaill!H577)</f>
        <v>0</v>
      </c>
      <c r="I577" s="3">
        <f>[1]Result_notebook_retravaill!K577</f>
        <v>1659.6025566006119</v>
      </c>
      <c r="J577" s="3">
        <f>MIN(G577,[1]Result_notebook_retravaill!I577)</f>
        <v>0</v>
      </c>
      <c r="K577" s="3">
        <f>IF([1]Result_notebook_retravaill!I577&gt;[1]Result_notebook_retravaill!G577,0,IF([1]Result_notebook_retravaill!I577+[1]Result_notebook_retravaill!J577&gt;[1]Result_notebook_retravaill!G577,[1]Result_notebook_retravaill!G577-[1]Result_notebook_retravaill!I577,[1]Result_notebook_retravaill!J577))</f>
        <v>0</v>
      </c>
      <c r="L577" s="3">
        <f>IF([1]Result_notebook_retravaill!I577&gt;[1]Result_notebook_retravaill!G577,0,IF([1]Result_notebook_retravaill!I577+[1]Result_notebook_retravaill!J577&gt;[1]Result_notebook_retravaill!G577,0,[1]Result_notebook_retravaill!M577))</f>
        <v>995.76153396036739</v>
      </c>
    </row>
    <row r="578" spans="1:12">
      <c r="A578">
        <f>[1]Result_notebook_retravaill!A578</f>
        <v>2031</v>
      </c>
      <c r="B578" t="str">
        <f>[1]Result_notebook_retravaill!B578</f>
        <v>Neodymium</v>
      </c>
      <c r="C578" t="str">
        <f>[1]Result_notebook_retravaill!C578</f>
        <v>Current Measures</v>
      </c>
      <c r="D578" t="str">
        <f>[1]Result_notebook_retravaill!D578</f>
        <v>Existing production</v>
      </c>
      <c r="E578" t="str">
        <f>[1]Result_notebook_retravaill!E578</f>
        <v>Current shares</v>
      </c>
      <c r="F578" t="str">
        <f>[1]Result_notebook_retravaill!F578</f>
        <v>Status Quo</v>
      </c>
      <c r="G578">
        <f>[1]Result_notebook_retravaill!G578</f>
        <v>995.76153396036739</v>
      </c>
      <c r="H578" s="3">
        <f>IF([1]Result_notebook_retravaill!I578&gt;[1]Result_notebook_retravaill!G578,[1]Result_notebook_retravaill!I578/[1]Result_notebook_retravaill!N578,[1]Result_notebook_retravaill!H578)</f>
        <v>0</v>
      </c>
      <c r="I578" s="3">
        <f>[1]Result_notebook_retravaill!K578</f>
        <v>1659.6025566006119</v>
      </c>
      <c r="J578" s="3">
        <f>MIN(G578,[1]Result_notebook_retravaill!I578)</f>
        <v>0</v>
      </c>
      <c r="K578" s="3">
        <f>IF([1]Result_notebook_retravaill!I578&gt;[1]Result_notebook_retravaill!G578,0,IF([1]Result_notebook_retravaill!I578+[1]Result_notebook_retravaill!J578&gt;[1]Result_notebook_retravaill!G578,[1]Result_notebook_retravaill!G578-[1]Result_notebook_retravaill!I578,[1]Result_notebook_retravaill!J578))</f>
        <v>0</v>
      </c>
      <c r="L578" s="3">
        <f>IF([1]Result_notebook_retravaill!I578&gt;[1]Result_notebook_retravaill!G578,0,IF([1]Result_notebook_retravaill!I578+[1]Result_notebook_retravaill!J578&gt;[1]Result_notebook_retravaill!G578,0,[1]Result_notebook_retravaill!M578))</f>
        <v>995.76153396036739</v>
      </c>
    </row>
    <row r="579" spans="1:12">
      <c r="A579">
        <f>[1]Result_notebook_retravaill!A579</f>
        <v>2031</v>
      </c>
      <c r="B579" t="str">
        <f>[1]Result_notebook_retravaill!B579</f>
        <v>Neodymium</v>
      </c>
      <c r="C579" t="str">
        <f>[1]Result_notebook_retravaill!C579</f>
        <v>Current Measures</v>
      </c>
      <c r="D579" t="str">
        <f>[1]Result_notebook_retravaill!D579</f>
        <v>Production potential</v>
      </c>
      <c r="E579" t="str">
        <f>[1]Result_notebook_retravaill!E579</f>
        <v>Current shares</v>
      </c>
      <c r="F579" t="str">
        <f>[1]Result_notebook_retravaill!F579</f>
        <v>Expansion Extractive</v>
      </c>
      <c r="G579">
        <f>[1]Result_notebook_retravaill!G579</f>
        <v>995.76153396036739</v>
      </c>
      <c r="H579" s="3">
        <f>IF([1]Result_notebook_retravaill!I579&gt;[1]Result_notebook_retravaill!G579,[1]Result_notebook_retravaill!I579/[1]Result_notebook_retravaill!N579,[1]Result_notebook_retravaill!H579)</f>
        <v>20.77942225145344</v>
      </c>
      <c r="I579" s="3">
        <f>[1]Result_notebook_retravaill!K579</f>
        <v>1638.8231343491591</v>
      </c>
      <c r="J579" s="3">
        <f>MIN(G579,[1]Result_notebook_retravaill!I579)</f>
        <v>12.437396724835169</v>
      </c>
      <c r="K579" s="3">
        <f>IF([1]Result_notebook_retravaill!I579&gt;[1]Result_notebook_retravaill!G579,0,IF([1]Result_notebook_retravaill!I579+[1]Result_notebook_retravaill!J579&gt;[1]Result_notebook_retravaill!G579,[1]Result_notebook_retravaill!G579-[1]Result_notebook_retravaill!I579,[1]Result_notebook_retravaill!J579))</f>
        <v>8.3420255266182703</v>
      </c>
      <c r="L579" s="3">
        <f>IF([1]Result_notebook_retravaill!I579&gt;[1]Result_notebook_retravaill!G579,0,IF([1]Result_notebook_retravaill!I579+[1]Result_notebook_retravaill!J579&gt;[1]Result_notebook_retravaill!G579,0,[1]Result_notebook_retravaill!M579))</f>
        <v>974.98211170891398</v>
      </c>
    </row>
    <row r="580" spans="1:12">
      <c r="A580">
        <f>[1]Result_notebook_retravaill!A580</f>
        <v>2031</v>
      </c>
      <c r="B580" t="str">
        <f>[1]Result_notebook_retravaill!B580</f>
        <v>Neodymium</v>
      </c>
      <c r="C580" t="str">
        <f>[1]Result_notebook_retravaill!C580</f>
        <v>Current Measures</v>
      </c>
      <c r="D580" t="str">
        <f>[1]Result_notebook_retravaill!D580</f>
        <v>Production potential</v>
      </c>
      <c r="E580" t="str">
        <f>[1]Result_notebook_retravaill!E580</f>
        <v>Current shares</v>
      </c>
      <c r="F580" t="str">
        <f>[1]Result_notebook_retravaill!F580</f>
        <v>Expansion Extractive+Circularity</v>
      </c>
      <c r="G580">
        <f>[1]Result_notebook_retravaill!G580</f>
        <v>995.76153396036739</v>
      </c>
      <c r="H580" s="3">
        <f>IF([1]Result_notebook_retravaill!I580&gt;[1]Result_notebook_retravaill!G580,[1]Result_notebook_retravaill!I580/[1]Result_notebook_retravaill!N580,[1]Result_notebook_retravaill!H580)</f>
        <v>20.77942225145344</v>
      </c>
      <c r="I580" s="3">
        <f>[1]Result_notebook_retravaill!K580</f>
        <v>1638.8231343491591</v>
      </c>
      <c r="J580" s="3">
        <f>MIN(G580,[1]Result_notebook_retravaill!I580)</f>
        <v>12.437396724835169</v>
      </c>
      <c r="K580" s="3">
        <f>IF([1]Result_notebook_retravaill!I580&gt;[1]Result_notebook_retravaill!G580,0,IF([1]Result_notebook_retravaill!I580+[1]Result_notebook_retravaill!J580&gt;[1]Result_notebook_retravaill!G580,[1]Result_notebook_retravaill!G580-[1]Result_notebook_retravaill!I580,[1]Result_notebook_retravaill!J580))</f>
        <v>8.3420255266182703</v>
      </c>
      <c r="L580" s="3">
        <f>IF([1]Result_notebook_retravaill!I580&gt;[1]Result_notebook_retravaill!G580,0,IF([1]Result_notebook_retravaill!I580+[1]Result_notebook_retravaill!J580&gt;[1]Result_notebook_retravaill!G580,0,[1]Result_notebook_retravaill!M580))</f>
        <v>974.98211170891398</v>
      </c>
    </row>
    <row r="581" spans="1:12">
      <c r="A581">
        <f>[1]Result_notebook_retravaill!A581</f>
        <v>2031</v>
      </c>
      <c r="B581" t="str">
        <f>[1]Result_notebook_retravaill!B581</f>
        <v>Neodymium</v>
      </c>
      <c r="C581" t="str">
        <f>[1]Result_notebook_retravaill!C581</f>
        <v>Current Measures</v>
      </c>
      <c r="D581" t="str">
        <f>[1]Result_notebook_retravaill!D581</f>
        <v>Production potential</v>
      </c>
      <c r="E581" t="str">
        <f>[1]Result_notebook_retravaill!E581</f>
        <v>100% CAN</v>
      </c>
      <c r="F581" t="str">
        <f>[1]Result_notebook_retravaill!F581</f>
        <v>Integrated</v>
      </c>
      <c r="G581">
        <f>[1]Result_notebook_retravaill!G581</f>
        <v>995.76153396036739</v>
      </c>
      <c r="H581" s="3">
        <f>IF([1]Result_notebook_retravaill!I581&gt;[1]Result_notebook_retravaill!G581,[1]Result_notebook_retravaill!I581/[1]Result_notebook_retravaill!N581,[1]Result_notebook_retravaill!H581)</f>
        <v>20.77942225145344</v>
      </c>
      <c r="I581" s="3">
        <f>[1]Result_notebook_retravaill!K581</f>
        <v>1638.8231343491591</v>
      </c>
      <c r="J581" s="3">
        <f>MIN(G581,[1]Result_notebook_retravaill!I581)</f>
        <v>12.437396724835169</v>
      </c>
      <c r="K581" s="3">
        <f>IF([1]Result_notebook_retravaill!I581&gt;[1]Result_notebook_retravaill!G581,0,IF([1]Result_notebook_retravaill!I581+[1]Result_notebook_retravaill!J581&gt;[1]Result_notebook_retravaill!G581,[1]Result_notebook_retravaill!G581-[1]Result_notebook_retravaill!I581,[1]Result_notebook_retravaill!J581))</f>
        <v>8.3420255266182703</v>
      </c>
      <c r="L581" s="3">
        <f>IF([1]Result_notebook_retravaill!I581&gt;[1]Result_notebook_retravaill!G581,0,IF([1]Result_notebook_retravaill!I581+[1]Result_notebook_retravaill!J581&gt;[1]Result_notebook_retravaill!G581,0,[1]Result_notebook_retravaill!M581))</f>
        <v>974.98211170891398</v>
      </c>
    </row>
    <row r="582" spans="1:12">
      <c r="A582">
        <f>[1]Result_notebook_retravaill!A582</f>
        <v>2031</v>
      </c>
      <c r="B582" t="str">
        <f>[1]Result_notebook_retravaill!B582</f>
        <v>Neodymium</v>
      </c>
      <c r="C582" t="str">
        <f>[1]Result_notebook_retravaill!C582</f>
        <v>Global Net-zero</v>
      </c>
      <c r="D582" t="str">
        <f>[1]Result_notebook_retravaill!D582</f>
        <v>Existing production</v>
      </c>
      <c r="E582" t="str">
        <f>[1]Result_notebook_retravaill!E582</f>
        <v>Current shares</v>
      </c>
      <c r="F582" t="str">
        <f>[1]Result_notebook_retravaill!F582</f>
        <v>NIMBY</v>
      </c>
      <c r="G582">
        <f>[1]Result_notebook_retravaill!G582</f>
        <v>2554.0345257736349</v>
      </c>
      <c r="H582" s="3">
        <f>IF([1]Result_notebook_retravaill!I582&gt;[1]Result_notebook_retravaill!G582,[1]Result_notebook_retravaill!I582/[1]Result_notebook_retravaill!N582,[1]Result_notebook_retravaill!H582)</f>
        <v>0</v>
      </c>
      <c r="I582" s="3">
        <f>[1]Result_notebook_retravaill!K582</f>
        <v>4256.7242096227246</v>
      </c>
      <c r="J582" s="3">
        <f>MIN(G582,[1]Result_notebook_retravaill!I582)</f>
        <v>0</v>
      </c>
      <c r="K582" s="3">
        <f>IF([1]Result_notebook_retravaill!I582&gt;[1]Result_notebook_retravaill!G582,0,IF([1]Result_notebook_retravaill!I582+[1]Result_notebook_retravaill!J582&gt;[1]Result_notebook_retravaill!G582,[1]Result_notebook_retravaill!G582-[1]Result_notebook_retravaill!I582,[1]Result_notebook_retravaill!J582))</f>
        <v>0</v>
      </c>
      <c r="L582" s="3">
        <f>IF([1]Result_notebook_retravaill!I582&gt;[1]Result_notebook_retravaill!G582,0,IF([1]Result_notebook_retravaill!I582+[1]Result_notebook_retravaill!J582&gt;[1]Result_notebook_retravaill!G582,0,[1]Result_notebook_retravaill!M582))</f>
        <v>2554.0345257736349</v>
      </c>
    </row>
    <row r="583" spans="1:12">
      <c r="A583">
        <f>[1]Result_notebook_retravaill!A583</f>
        <v>2031</v>
      </c>
      <c r="B583" t="str">
        <f>[1]Result_notebook_retravaill!B583</f>
        <v>Neodymium</v>
      </c>
      <c r="C583" t="str">
        <f>[1]Result_notebook_retravaill!C583</f>
        <v>Global Net-zero</v>
      </c>
      <c r="D583" t="str">
        <f>[1]Result_notebook_retravaill!D583</f>
        <v>Existing production</v>
      </c>
      <c r="E583" t="str">
        <f>[1]Result_notebook_retravaill!E583</f>
        <v>Current shares</v>
      </c>
      <c r="F583" t="str">
        <f>[1]Result_notebook_retravaill!F583</f>
        <v>Status Quo</v>
      </c>
      <c r="G583">
        <f>[1]Result_notebook_retravaill!G583</f>
        <v>2554.0345257736349</v>
      </c>
      <c r="H583" s="3">
        <f>IF([1]Result_notebook_retravaill!I583&gt;[1]Result_notebook_retravaill!G583,[1]Result_notebook_retravaill!I583/[1]Result_notebook_retravaill!N583,[1]Result_notebook_retravaill!H583)</f>
        <v>0</v>
      </c>
      <c r="I583" s="3">
        <f>[1]Result_notebook_retravaill!K583</f>
        <v>4256.7242096227246</v>
      </c>
      <c r="J583" s="3">
        <f>MIN(G583,[1]Result_notebook_retravaill!I583)</f>
        <v>0</v>
      </c>
      <c r="K583" s="3">
        <f>IF([1]Result_notebook_retravaill!I583&gt;[1]Result_notebook_retravaill!G583,0,IF([1]Result_notebook_retravaill!I583+[1]Result_notebook_retravaill!J583&gt;[1]Result_notebook_retravaill!G583,[1]Result_notebook_retravaill!G583-[1]Result_notebook_retravaill!I583,[1]Result_notebook_retravaill!J583))</f>
        <v>0</v>
      </c>
      <c r="L583" s="3">
        <f>IF([1]Result_notebook_retravaill!I583&gt;[1]Result_notebook_retravaill!G583,0,IF([1]Result_notebook_retravaill!I583+[1]Result_notebook_retravaill!J583&gt;[1]Result_notebook_retravaill!G583,0,[1]Result_notebook_retravaill!M583))</f>
        <v>2554.0345257736349</v>
      </c>
    </row>
    <row r="584" spans="1:12">
      <c r="A584">
        <f>[1]Result_notebook_retravaill!A584</f>
        <v>2031</v>
      </c>
      <c r="B584" t="str">
        <f>[1]Result_notebook_retravaill!B584</f>
        <v>Neodymium</v>
      </c>
      <c r="C584" t="str">
        <f>[1]Result_notebook_retravaill!C584</f>
        <v>Global Net-zero</v>
      </c>
      <c r="D584" t="str">
        <f>[1]Result_notebook_retravaill!D584</f>
        <v>Production potential</v>
      </c>
      <c r="E584" t="str">
        <f>[1]Result_notebook_retravaill!E584</f>
        <v>Current shares</v>
      </c>
      <c r="F584" t="str">
        <f>[1]Result_notebook_retravaill!F584</f>
        <v>Expansion Extractive</v>
      </c>
      <c r="G584">
        <f>[1]Result_notebook_retravaill!G584</f>
        <v>2554.0345257736349</v>
      </c>
      <c r="H584" s="3">
        <f>IF([1]Result_notebook_retravaill!I584&gt;[1]Result_notebook_retravaill!G584,[1]Result_notebook_retravaill!I584/[1]Result_notebook_retravaill!N584,[1]Result_notebook_retravaill!H584)</f>
        <v>20.77942225145344</v>
      </c>
      <c r="I584" s="3">
        <f>[1]Result_notebook_retravaill!K584</f>
        <v>4235.9447873712716</v>
      </c>
      <c r="J584" s="3">
        <f>MIN(G584,[1]Result_notebook_retravaill!I584)</f>
        <v>12.437396724835169</v>
      </c>
      <c r="K584" s="3">
        <f>IF([1]Result_notebook_retravaill!I584&gt;[1]Result_notebook_retravaill!G584,0,IF([1]Result_notebook_retravaill!I584+[1]Result_notebook_retravaill!J584&gt;[1]Result_notebook_retravaill!G584,[1]Result_notebook_retravaill!G584-[1]Result_notebook_retravaill!I584,[1]Result_notebook_retravaill!J584))</f>
        <v>8.3420255266182703</v>
      </c>
      <c r="L584" s="3">
        <f>IF([1]Result_notebook_retravaill!I584&gt;[1]Result_notebook_retravaill!G584,0,IF([1]Result_notebook_retravaill!I584+[1]Result_notebook_retravaill!J584&gt;[1]Result_notebook_retravaill!G584,0,[1]Result_notebook_retravaill!M584))</f>
        <v>2533.2551035221818</v>
      </c>
    </row>
    <row r="585" spans="1:12">
      <c r="A585">
        <f>[1]Result_notebook_retravaill!A585</f>
        <v>2031</v>
      </c>
      <c r="B585" t="str">
        <f>[1]Result_notebook_retravaill!B585</f>
        <v>Neodymium</v>
      </c>
      <c r="C585" t="str">
        <f>[1]Result_notebook_retravaill!C585</f>
        <v>Global Net-zero</v>
      </c>
      <c r="D585" t="str">
        <f>[1]Result_notebook_retravaill!D585</f>
        <v>Production potential</v>
      </c>
      <c r="E585" t="str">
        <f>[1]Result_notebook_retravaill!E585</f>
        <v>Current shares</v>
      </c>
      <c r="F585" t="str">
        <f>[1]Result_notebook_retravaill!F585</f>
        <v>Expansion Extractive+Circularity</v>
      </c>
      <c r="G585">
        <f>[1]Result_notebook_retravaill!G585</f>
        <v>2554.0345257736349</v>
      </c>
      <c r="H585" s="3">
        <f>IF([1]Result_notebook_retravaill!I585&gt;[1]Result_notebook_retravaill!G585,[1]Result_notebook_retravaill!I585/[1]Result_notebook_retravaill!N585,[1]Result_notebook_retravaill!H585)</f>
        <v>20.77942225145344</v>
      </c>
      <c r="I585" s="3">
        <f>[1]Result_notebook_retravaill!K585</f>
        <v>4235.9447873712716</v>
      </c>
      <c r="J585" s="3">
        <f>MIN(G585,[1]Result_notebook_retravaill!I585)</f>
        <v>12.437396724835169</v>
      </c>
      <c r="K585" s="3">
        <f>IF([1]Result_notebook_retravaill!I585&gt;[1]Result_notebook_retravaill!G585,0,IF([1]Result_notebook_retravaill!I585+[1]Result_notebook_retravaill!J585&gt;[1]Result_notebook_retravaill!G585,[1]Result_notebook_retravaill!G585-[1]Result_notebook_retravaill!I585,[1]Result_notebook_retravaill!J585))</f>
        <v>8.3420255266182703</v>
      </c>
      <c r="L585" s="3">
        <f>IF([1]Result_notebook_retravaill!I585&gt;[1]Result_notebook_retravaill!G585,0,IF([1]Result_notebook_retravaill!I585+[1]Result_notebook_retravaill!J585&gt;[1]Result_notebook_retravaill!G585,0,[1]Result_notebook_retravaill!M585))</f>
        <v>2533.2551035221818</v>
      </c>
    </row>
    <row r="586" spans="1:12">
      <c r="A586">
        <f>[1]Result_notebook_retravaill!A586</f>
        <v>2031</v>
      </c>
      <c r="B586" t="str">
        <f>[1]Result_notebook_retravaill!B586</f>
        <v>Neodymium</v>
      </c>
      <c r="C586" t="str">
        <f>[1]Result_notebook_retravaill!C586</f>
        <v>Global Net-zero</v>
      </c>
      <c r="D586" t="str">
        <f>[1]Result_notebook_retravaill!D586</f>
        <v>Production potential</v>
      </c>
      <c r="E586" t="str">
        <f>[1]Result_notebook_retravaill!E586</f>
        <v>100% CAN</v>
      </c>
      <c r="F586" t="str">
        <f>[1]Result_notebook_retravaill!F586</f>
        <v>Integrated</v>
      </c>
      <c r="G586">
        <f>[1]Result_notebook_retravaill!G586</f>
        <v>2554.0345257736349</v>
      </c>
      <c r="H586" s="3">
        <f>IF([1]Result_notebook_retravaill!I586&gt;[1]Result_notebook_retravaill!G586,[1]Result_notebook_retravaill!I586/[1]Result_notebook_retravaill!N586,[1]Result_notebook_retravaill!H586)</f>
        <v>20.77942225145344</v>
      </c>
      <c r="I586" s="3">
        <f>[1]Result_notebook_retravaill!K586</f>
        <v>4235.9447873712716</v>
      </c>
      <c r="J586" s="3">
        <f>MIN(G586,[1]Result_notebook_retravaill!I586)</f>
        <v>12.437396724835169</v>
      </c>
      <c r="K586" s="3">
        <f>IF([1]Result_notebook_retravaill!I586&gt;[1]Result_notebook_retravaill!G586,0,IF([1]Result_notebook_retravaill!I586+[1]Result_notebook_retravaill!J586&gt;[1]Result_notebook_retravaill!G586,[1]Result_notebook_retravaill!G586-[1]Result_notebook_retravaill!I586,[1]Result_notebook_retravaill!J586))</f>
        <v>8.3420255266182703</v>
      </c>
      <c r="L586" s="3">
        <f>IF([1]Result_notebook_retravaill!I586&gt;[1]Result_notebook_retravaill!G586,0,IF([1]Result_notebook_retravaill!I586+[1]Result_notebook_retravaill!J586&gt;[1]Result_notebook_retravaill!G586,0,[1]Result_notebook_retravaill!M586))</f>
        <v>2533.2551035221818</v>
      </c>
    </row>
    <row r="587" spans="1:12">
      <c r="A587">
        <f>[1]Result_notebook_retravaill!A587</f>
        <v>2031</v>
      </c>
      <c r="B587" t="str">
        <f>[1]Result_notebook_retravaill!B587</f>
        <v>Nickel</v>
      </c>
      <c r="C587" t="str">
        <f>[1]Result_notebook_retravaill!C587</f>
        <v>Canada Net-zero</v>
      </c>
      <c r="D587" t="str">
        <f>[1]Result_notebook_retravaill!D587</f>
        <v>Existing production</v>
      </c>
      <c r="E587" t="str">
        <f>[1]Result_notebook_retravaill!E587</f>
        <v>Current shares</v>
      </c>
      <c r="F587" t="str">
        <f>[1]Result_notebook_retravaill!F587</f>
        <v>NIMBY</v>
      </c>
      <c r="G587">
        <f>[1]Result_notebook_retravaill!G587</f>
        <v>93641.810348820844</v>
      </c>
      <c r="H587" s="3">
        <f>IF([1]Result_notebook_retravaill!I587&gt;[1]Result_notebook_retravaill!G587,[1]Result_notebook_retravaill!I587/[1]Result_notebook_retravaill!N587,[1]Result_notebook_retravaill!H587)</f>
        <v>0</v>
      </c>
      <c r="I587" s="3">
        <f>[1]Result_notebook_retravaill!K587</f>
        <v>118533.9371504061</v>
      </c>
      <c r="J587" s="3">
        <f>MIN(G587,[1]Result_notebook_retravaill!I587)</f>
        <v>0</v>
      </c>
      <c r="K587" s="3">
        <f>IF([1]Result_notebook_retravaill!I587&gt;[1]Result_notebook_retravaill!G587,0,IF([1]Result_notebook_retravaill!I587+[1]Result_notebook_retravaill!J587&gt;[1]Result_notebook_retravaill!G587,[1]Result_notebook_retravaill!G587-[1]Result_notebook_retravaill!I587,[1]Result_notebook_retravaill!J587))</f>
        <v>0</v>
      </c>
      <c r="L587" s="3">
        <f>IF([1]Result_notebook_retravaill!I587&gt;[1]Result_notebook_retravaill!G587,0,IF([1]Result_notebook_retravaill!I587+[1]Result_notebook_retravaill!J587&gt;[1]Result_notebook_retravaill!G587,0,[1]Result_notebook_retravaill!M587))</f>
        <v>93641.810348820844</v>
      </c>
    </row>
    <row r="588" spans="1:12">
      <c r="A588">
        <f>[1]Result_notebook_retravaill!A588</f>
        <v>2031</v>
      </c>
      <c r="B588" t="str">
        <f>[1]Result_notebook_retravaill!B588</f>
        <v>Nickel</v>
      </c>
      <c r="C588" t="str">
        <f>[1]Result_notebook_retravaill!C588</f>
        <v>Canada Net-zero</v>
      </c>
      <c r="D588" t="str">
        <f>[1]Result_notebook_retravaill!D588</f>
        <v>Existing production</v>
      </c>
      <c r="E588" t="str">
        <f>[1]Result_notebook_retravaill!E588</f>
        <v>Current shares</v>
      </c>
      <c r="F588" t="str">
        <f>[1]Result_notebook_retravaill!F588</f>
        <v>Status Quo</v>
      </c>
      <c r="G588">
        <f>[1]Result_notebook_retravaill!G588</f>
        <v>93641.810348820844</v>
      </c>
      <c r="H588" s="3">
        <f>IF([1]Result_notebook_retravaill!I588&gt;[1]Result_notebook_retravaill!G588,[1]Result_notebook_retravaill!I588/[1]Result_notebook_retravaill!N588,[1]Result_notebook_retravaill!H588)</f>
        <v>139278</v>
      </c>
      <c r="I588" s="3">
        <f>[1]Result_notebook_retravaill!K588</f>
        <v>0</v>
      </c>
      <c r="J588" s="3">
        <f>MIN(G588,[1]Result_notebook_retravaill!I588)</f>
        <v>78118.250613288372</v>
      </c>
      <c r="K588" s="3">
        <f>IF([1]Result_notebook_retravaill!I588&gt;[1]Result_notebook_retravaill!G588,0,IF([1]Result_notebook_retravaill!I588+[1]Result_notebook_retravaill!J588&gt;[1]Result_notebook_retravaill!G588,[1]Result_notebook_retravaill!G588-[1]Result_notebook_retravaill!I588,[1]Result_notebook_retravaill!J588))</f>
        <v>15523.559735532472</v>
      </c>
      <c r="L588" s="3">
        <f>IF([1]Result_notebook_retravaill!I588&gt;[1]Result_notebook_retravaill!G588,0,IF([1]Result_notebook_retravaill!I588+[1]Result_notebook_retravaill!J588&gt;[1]Result_notebook_retravaill!G588,0,[1]Result_notebook_retravaill!M588))</f>
        <v>0</v>
      </c>
    </row>
    <row r="589" spans="1:12">
      <c r="A589">
        <f>[1]Result_notebook_retravaill!A589</f>
        <v>2031</v>
      </c>
      <c r="B589" t="str">
        <f>[1]Result_notebook_retravaill!B589</f>
        <v>Nickel</v>
      </c>
      <c r="C589" t="str">
        <f>[1]Result_notebook_retravaill!C589</f>
        <v>Canada Net-zero</v>
      </c>
      <c r="D589" t="str">
        <f>[1]Result_notebook_retravaill!D589</f>
        <v>Production potential</v>
      </c>
      <c r="E589" t="str">
        <f>[1]Result_notebook_retravaill!E589</f>
        <v>Current shares</v>
      </c>
      <c r="F589" t="str">
        <f>[1]Result_notebook_retravaill!F589</f>
        <v>Expansion Extractive</v>
      </c>
      <c r="G589">
        <f>[1]Result_notebook_retravaill!G589</f>
        <v>93641.810348820844</v>
      </c>
      <c r="H589" s="3">
        <f>IF([1]Result_notebook_retravaill!I589&gt;[1]Result_notebook_retravaill!G589,[1]Result_notebook_retravaill!I589/[1]Result_notebook_retravaill!N589,[1]Result_notebook_retravaill!H589)</f>
        <v>154668.88303689443</v>
      </c>
      <c r="I589" s="3">
        <f>[1]Result_notebook_retravaill!K589</f>
        <v>0</v>
      </c>
      <c r="J589" s="3">
        <f>MIN(G589,[1]Result_notebook_retravaill!I589)</f>
        <v>93641.810348820844</v>
      </c>
      <c r="K589" s="3">
        <f>IF([1]Result_notebook_retravaill!I589&gt;[1]Result_notebook_retravaill!G589,0,IF([1]Result_notebook_retravaill!I589+[1]Result_notebook_retravaill!J589&gt;[1]Result_notebook_retravaill!G589,[1]Result_notebook_retravaill!G589-[1]Result_notebook_retravaill!I589,[1]Result_notebook_retravaill!J589))</f>
        <v>0</v>
      </c>
      <c r="L589" s="3">
        <f>IF([1]Result_notebook_retravaill!I589&gt;[1]Result_notebook_retravaill!G589,0,IF([1]Result_notebook_retravaill!I589+[1]Result_notebook_retravaill!J589&gt;[1]Result_notebook_retravaill!G589,0,[1]Result_notebook_retravaill!M589))</f>
        <v>0</v>
      </c>
    </row>
    <row r="590" spans="1:12">
      <c r="A590">
        <f>[1]Result_notebook_retravaill!A590</f>
        <v>2031</v>
      </c>
      <c r="B590" t="str">
        <f>[1]Result_notebook_retravaill!B590</f>
        <v>Nickel</v>
      </c>
      <c r="C590" t="str">
        <f>[1]Result_notebook_retravaill!C590</f>
        <v>Canada Net-zero</v>
      </c>
      <c r="D590" t="str">
        <f>[1]Result_notebook_retravaill!D590</f>
        <v>Production potential</v>
      </c>
      <c r="E590" t="str">
        <f>[1]Result_notebook_retravaill!E590</f>
        <v>Current shares</v>
      </c>
      <c r="F590" t="str">
        <f>[1]Result_notebook_retravaill!F590</f>
        <v>Expansion Extractive+Circularity</v>
      </c>
      <c r="G590">
        <f>[1]Result_notebook_retravaill!G590</f>
        <v>93641.810348820844</v>
      </c>
      <c r="H590" s="3">
        <f>IF([1]Result_notebook_retravaill!I590&gt;[1]Result_notebook_retravaill!G590,[1]Result_notebook_retravaill!I590/[1]Result_notebook_retravaill!N590,[1]Result_notebook_retravaill!H590)</f>
        <v>154668.88303689443</v>
      </c>
      <c r="I590" s="3">
        <f>[1]Result_notebook_retravaill!K590</f>
        <v>0</v>
      </c>
      <c r="J590" s="3">
        <f>MIN(G590,[1]Result_notebook_retravaill!I590)</f>
        <v>93641.810348820844</v>
      </c>
      <c r="K590" s="3">
        <f>IF([1]Result_notebook_retravaill!I590&gt;[1]Result_notebook_retravaill!G590,0,IF([1]Result_notebook_retravaill!I590+[1]Result_notebook_retravaill!J590&gt;[1]Result_notebook_retravaill!G590,[1]Result_notebook_retravaill!G590-[1]Result_notebook_retravaill!I590,[1]Result_notebook_retravaill!J590))</f>
        <v>0</v>
      </c>
      <c r="L590" s="3">
        <f>IF([1]Result_notebook_retravaill!I590&gt;[1]Result_notebook_retravaill!G590,0,IF([1]Result_notebook_retravaill!I590+[1]Result_notebook_retravaill!J590&gt;[1]Result_notebook_retravaill!G590,0,[1]Result_notebook_retravaill!M590))</f>
        <v>0</v>
      </c>
    </row>
    <row r="591" spans="1:12">
      <c r="A591">
        <f>[1]Result_notebook_retravaill!A591</f>
        <v>2031</v>
      </c>
      <c r="B591" t="str">
        <f>[1]Result_notebook_retravaill!B591</f>
        <v>Nickel</v>
      </c>
      <c r="C591" t="str">
        <f>[1]Result_notebook_retravaill!C591</f>
        <v>Canada Net-zero</v>
      </c>
      <c r="D591" t="str">
        <f>[1]Result_notebook_retravaill!D591</f>
        <v>Production potential</v>
      </c>
      <c r="E591" t="str">
        <f>[1]Result_notebook_retravaill!E591</f>
        <v>100% CAN</v>
      </c>
      <c r="F591" t="str">
        <f>[1]Result_notebook_retravaill!F591</f>
        <v>Integrated</v>
      </c>
      <c r="G591">
        <f>[1]Result_notebook_retravaill!G591</f>
        <v>93641.810348820844</v>
      </c>
      <c r="H591" s="3">
        <f>IF([1]Result_notebook_retravaill!I591&gt;[1]Result_notebook_retravaill!G591,[1]Result_notebook_retravaill!I591/[1]Result_notebook_retravaill!N591,[1]Result_notebook_retravaill!H591)</f>
        <v>217177.0118026369</v>
      </c>
      <c r="I591" s="3">
        <f>[1]Result_notebook_retravaill!K591</f>
        <v>0</v>
      </c>
      <c r="J591" s="3">
        <f>MIN(G591,[1]Result_notebook_retravaill!I591)</f>
        <v>93641.810348820844</v>
      </c>
      <c r="K591" s="3">
        <f>IF([1]Result_notebook_retravaill!I591&gt;[1]Result_notebook_retravaill!G591,0,IF([1]Result_notebook_retravaill!I591+[1]Result_notebook_retravaill!J591&gt;[1]Result_notebook_retravaill!G591,[1]Result_notebook_retravaill!G591-[1]Result_notebook_retravaill!I591,[1]Result_notebook_retravaill!J591))</f>
        <v>0</v>
      </c>
      <c r="L591" s="3">
        <f>IF([1]Result_notebook_retravaill!I591&gt;[1]Result_notebook_retravaill!G591,0,IF([1]Result_notebook_retravaill!I591+[1]Result_notebook_retravaill!J591&gt;[1]Result_notebook_retravaill!G591,0,[1]Result_notebook_retravaill!M591))</f>
        <v>0</v>
      </c>
    </row>
    <row r="592" spans="1:12">
      <c r="A592">
        <f>[1]Result_notebook_retravaill!A592</f>
        <v>2031</v>
      </c>
      <c r="B592" t="str">
        <f>[1]Result_notebook_retravaill!B592</f>
        <v>Nickel</v>
      </c>
      <c r="C592" t="str">
        <f>[1]Result_notebook_retravaill!C592</f>
        <v>Current Measures</v>
      </c>
      <c r="D592" t="str">
        <f>[1]Result_notebook_retravaill!D592</f>
        <v>Existing production</v>
      </c>
      <c r="E592" t="str">
        <f>[1]Result_notebook_retravaill!E592</f>
        <v>Current shares</v>
      </c>
      <c r="F592" t="str">
        <f>[1]Result_notebook_retravaill!F592</f>
        <v>NIMBY</v>
      </c>
      <c r="G592">
        <f>[1]Result_notebook_retravaill!G592</f>
        <v>45309.507358348303</v>
      </c>
      <c r="H592" s="3">
        <f>IF([1]Result_notebook_retravaill!I592&gt;[1]Result_notebook_retravaill!G592,[1]Result_notebook_retravaill!I592/[1]Result_notebook_retravaill!N592,[1]Result_notebook_retravaill!H592)</f>
        <v>0</v>
      </c>
      <c r="I592" s="3">
        <f>[1]Result_notebook_retravaill!K592</f>
        <v>57353.806782719374</v>
      </c>
      <c r="J592" s="3">
        <f>MIN(G592,[1]Result_notebook_retravaill!I592)</f>
        <v>0</v>
      </c>
      <c r="K592" s="3">
        <f>IF([1]Result_notebook_retravaill!I592&gt;[1]Result_notebook_retravaill!G592,0,IF([1]Result_notebook_retravaill!I592+[1]Result_notebook_retravaill!J592&gt;[1]Result_notebook_retravaill!G592,[1]Result_notebook_retravaill!G592-[1]Result_notebook_retravaill!I592,[1]Result_notebook_retravaill!J592))</f>
        <v>0</v>
      </c>
      <c r="L592" s="3">
        <f>IF([1]Result_notebook_retravaill!I592&gt;[1]Result_notebook_retravaill!G592,0,IF([1]Result_notebook_retravaill!I592+[1]Result_notebook_retravaill!J592&gt;[1]Result_notebook_retravaill!G592,0,[1]Result_notebook_retravaill!M592))</f>
        <v>45309.507358348303</v>
      </c>
    </row>
    <row r="593" spans="1:12">
      <c r="A593">
        <f>[1]Result_notebook_retravaill!A593</f>
        <v>2031</v>
      </c>
      <c r="B593" t="str">
        <f>[1]Result_notebook_retravaill!B593</f>
        <v>Nickel</v>
      </c>
      <c r="C593" t="str">
        <f>[1]Result_notebook_retravaill!C593</f>
        <v>Current Measures</v>
      </c>
      <c r="D593" t="str">
        <f>[1]Result_notebook_retravaill!D593</f>
        <v>Existing production</v>
      </c>
      <c r="E593" t="str">
        <f>[1]Result_notebook_retravaill!E593</f>
        <v>Current shares</v>
      </c>
      <c r="F593" t="str">
        <f>[1]Result_notebook_retravaill!F593</f>
        <v>Status Quo</v>
      </c>
      <c r="G593">
        <f>[1]Result_notebook_retravaill!G593</f>
        <v>45309.507358348303</v>
      </c>
      <c r="H593" s="3">
        <f>IF([1]Result_notebook_retravaill!I593&gt;[1]Result_notebook_retravaill!G593,[1]Result_notebook_retravaill!I593/[1]Result_notebook_retravaill!N593,[1]Result_notebook_retravaill!H593)</f>
        <v>111729.90545638361</v>
      </c>
      <c r="I593" s="3">
        <f>[1]Result_notebook_retravaill!K593</f>
        <v>0</v>
      </c>
      <c r="J593" s="3">
        <f>MIN(G593,[1]Result_notebook_retravaill!I593)</f>
        <v>45309.507358348303</v>
      </c>
      <c r="K593" s="3">
        <f>IF([1]Result_notebook_retravaill!I593&gt;[1]Result_notebook_retravaill!G593,0,IF([1]Result_notebook_retravaill!I593+[1]Result_notebook_retravaill!J593&gt;[1]Result_notebook_retravaill!G593,[1]Result_notebook_retravaill!G593-[1]Result_notebook_retravaill!I593,[1]Result_notebook_retravaill!J593))</f>
        <v>0</v>
      </c>
      <c r="L593" s="3">
        <f>IF([1]Result_notebook_retravaill!I593&gt;[1]Result_notebook_retravaill!G593,0,IF([1]Result_notebook_retravaill!I593+[1]Result_notebook_retravaill!J593&gt;[1]Result_notebook_retravaill!G593,0,[1]Result_notebook_retravaill!M593))</f>
        <v>0</v>
      </c>
    </row>
    <row r="594" spans="1:12">
      <c r="A594">
        <f>[1]Result_notebook_retravaill!A594</f>
        <v>2031</v>
      </c>
      <c r="B594" t="str">
        <f>[1]Result_notebook_retravaill!B594</f>
        <v>Nickel</v>
      </c>
      <c r="C594" t="str">
        <f>[1]Result_notebook_retravaill!C594</f>
        <v>Current Measures</v>
      </c>
      <c r="D594" t="str">
        <f>[1]Result_notebook_retravaill!D594</f>
        <v>Production potential</v>
      </c>
      <c r="E594" t="str">
        <f>[1]Result_notebook_retravaill!E594</f>
        <v>Current shares</v>
      </c>
      <c r="F594" t="str">
        <f>[1]Result_notebook_retravaill!F594</f>
        <v>Expansion Extractive</v>
      </c>
      <c r="G594">
        <f>[1]Result_notebook_retravaill!G594</f>
        <v>45309.507358348303</v>
      </c>
      <c r="H594" s="3">
        <f>IF([1]Result_notebook_retravaill!I594&gt;[1]Result_notebook_retravaill!G594,[1]Result_notebook_retravaill!I594/[1]Result_notebook_retravaill!N594,[1]Result_notebook_retravaill!H594)</f>
        <v>154668.88303689443</v>
      </c>
      <c r="I594" s="3">
        <f>[1]Result_notebook_retravaill!K594</f>
        <v>0</v>
      </c>
      <c r="J594" s="3">
        <f>MIN(G594,[1]Result_notebook_retravaill!I594)</f>
        <v>45309.507358348303</v>
      </c>
      <c r="K594" s="3">
        <f>IF([1]Result_notebook_retravaill!I594&gt;[1]Result_notebook_retravaill!G594,0,IF([1]Result_notebook_retravaill!I594+[1]Result_notebook_retravaill!J594&gt;[1]Result_notebook_retravaill!G594,[1]Result_notebook_retravaill!G594-[1]Result_notebook_retravaill!I594,[1]Result_notebook_retravaill!J594))</f>
        <v>0</v>
      </c>
      <c r="L594" s="3">
        <f>IF([1]Result_notebook_retravaill!I594&gt;[1]Result_notebook_retravaill!G594,0,IF([1]Result_notebook_retravaill!I594+[1]Result_notebook_retravaill!J594&gt;[1]Result_notebook_retravaill!G594,0,[1]Result_notebook_retravaill!M594))</f>
        <v>0</v>
      </c>
    </row>
    <row r="595" spans="1:12">
      <c r="A595">
        <f>[1]Result_notebook_retravaill!A595</f>
        <v>2031</v>
      </c>
      <c r="B595" t="str">
        <f>[1]Result_notebook_retravaill!B595</f>
        <v>Nickel</v>
      </c>
      <c r="C595" t="str">
        <f>[1]Result_notebook_retravaill!C595</f>
        <v>Current Measures</v>
      </c>
      <c r="D595" t="str">
        <f>[1]Result_notebook_retravaill!D595</f>
        <v>Production potential</v>
      </c>
      <c r="E595" t="str">
        <f>[1]Result_notebook_retravaill!E595</f>
        <v>Current shares</v>
      </c>
      <c r="F595" t="str">
        <f>[1]Result_notebook_retravaill!F595</f>
        <v>Expansion Extractive+Circularity</v>
      </c>
      <c r="G595">
        <f>[1]Result_notebook_retravaill!G595</f>
        <v>45309.507358348303</v>
      </c>
      <c r="H595" s="3">
        <f>IF([1]Result_notebook_retravaill!I595&gt;[1]Result_notebook_retravaill!G595,[1]Result_notebook_retravaill!I595/[1]Result_notebook_retravaill!N595,[1]Result_notebook_retravaill!H595)</f>
        <v>154668.88303689443</v>
      </c>
      <c r="I595" s="3">
        <f>[1]Result_notebook_retravaill!K595</f>
        <v>0</v>
      </c>
      <c r="J595" s="3">
        <f>MIN(G595,[1]Result_notebook_retravaill!I595)</f>
        <v>45309.507358348303</v>
      </c>
      <c r="K595" s="3">
        <f>IF([1]Result_notebook_retravaill!I595&gt;[1]Result_notebook_retravaill!G595,0,IF([1]Result_notebook_retravaill!I595+[1]Result_notebook_retravaill!J595&gt;[1]Result_notebook_retravaill!G595,[1]Result_notebook_retravaill!G595-[1]Result_notebook_retravaill!I595,[1]Result_notebook_retravaill!J595))</f>
        <v>0</v>
      </c>
      <c r="L595" s="3">
        <f>IF([1]Result_notebook_retravaill!I595&gt;[1]Result_notebook_retravaill!G595,0,IF([1]Result_notebook_retravaill!I595+[1]Result_notebook_retravaill!J595&gt;[1]Result_notebook_retravaill!G595,0,[1]Result_notebook_retravaill!M595))</f>
        <v>0</v>
      </c>
    </row>
    <row r="596" spans="1:12">
      <c r="A596">
        <f>[1]Result_notebook_retravaill!A596</f>
        <v>2031</v>
      </c>
      <c r="B596" t="str">
        <f>[1]Result_notebook_retravaill!B596</f>
        <v>Nickel</v>
      </c>
      <c r="C596" t="str">
        <f>[1]Result_notebook_retravaill!C596</f>
        <v>Current Measures</v>
      </c>
      <c r="D596" t="str">
        <f>[1]Result_notebook_retravaill!D596</f>
        <v>Production potential</v>
      </c>
      <c r="E596" t="str">
        <f>[1]Result_notebook_retravaill!E596</f>
        <v>100% CAN</v>
      </c>
      <c r="F596" t="str">
        <f>[1]Result_notebook_retravaill!F596</f>
        <v>Integrated</v>
      </c>
      <c r="G596">
        <f>[1]Result_notebook_retravaill!G596</f>
        <v>45309.507358348303</v>
      </c>
      <c r="H596" s="3">
        <f>IF([1]Result_notebook_retravaill!I596&gt;[1]Result_notebook_retravaill!G596,[1]Result_notebook_retravaill!I596/[1]Result_notebook_retravaill!N596,[1]Result_notebook_retravaill!H596)</f>
        <v>217177.0118026369</v>
      </c>
      <c r="I596" s="3">
        <f>[1]Result_notebook_retravaill!K596</f>
        <v>0</v>
      </c>
      <c r="J596" s="3">
        <f>MIN(G596,[1]Result_notebook_retravaill!I596)</f>
        <v>45309.507358348303</v>
      </c>
      <c r="K596" s="3">
        <f>IF([1]Result_notebook_retravaill!I596&gt;[1]Result_notebook_retravaill!G596,0,IF([1]Result_notebook_retravaill!I596+[1]Result_notebook_retravaill!J596&gt;[1]Result_notebook_retravaill!G596,[1]Result_notebook_retravaill!G596-[1]Result_notebook_retravaill!I596,[1]Result_notebook_retravaill!J596))</f>
        <v>0</v>
      </c>
      <c r="L596" s="3">
        <f>IF([1]Result_notebook_retravaill!I596&gt;[1]Result_notebook_retravaill!G596,0,IF([1]Result_notebook_retravaill!I596+[1]Result_notebook_retravaill!J596&gt;[1]Result_notebook_retravaill!G596,0,[1]Result_notebook_retravaill!M596))</f>
        <v>0</v>
      </c>
    </row>
    <row r="597" spans="1:12">
      <c r="A597">
        <f>[1]Result_notebook_retravaill!A597</f>
        <v>2031</v>
      </c>
      <c r="B597" t="str">
        <f>[1]Result_notebook_retravaill!B597</f>
        <v>Nickel</v>
      </c>
      <c r="C597" t="str">
        <f>[1]Result_notebook_retravaill!C597</f>
        <v>Global Net-zero</v>
      </c>
      <c r="D597" t="str">
        <f>[1]Result_notebook_retravaill!D597</f>
        <v>Existing production</v>
      </c>
      <c r="E597" t="str">
        <f>[1]Result_notebook_retravaill!E597</f>
        <v>Current shares</v>
      </c>
      <c r="F597" t="str">
        <f>[1]Result_notebook_retravaill!F597</f>
        <v>NIMBY</v>
      </c>
      <c r="G597">
        <f>[1]Result_notebook_retravaill!G597</f>
        <v>88691.707094776124</v>
      </c>
      <c r="H597" s="3">
        <f>IF([1]Result_notebook_retravaill!I597&gt;[1]Result_notebook_retravaill!G597,[1]Result_notebook_retravaill!I597/[1]Result_notebook_retravaill!N597,[1]Result_notebook_retravaill!H597)</f>
        <v>0</v>
      </c>
      <c r="I597" s="3">
        <f>[1]Result_notebook_retravaill!K597</f>
        <v>112267.9836642736</v>
      </c>
      <c r="J597" s="3">
        <f>MIN(G597,[1]Result_notebook_retravaill!I597)</f>
        <v>0</v>
      </c>
      <c r="K597" s="3">
        <f>IF([1]Result_notebook_retravaill!I597&gt;[1]Result_notebook_retravaill!G597,0,IF([1]Result_notebook_retravaill!I597+[1]Result_notebook_retravaill!J597&gt;[1]Result_notebook_retravaill!G597,[1]Result_notebook_retravaill!G597-[1]Result_notebook_retravaill!I597,[1]Result_notebook_retravaill!J597))</f>
        <v>0</v>
      </c>
      <c r="L597" s="3">
        <f>IF([1]Result_notebook_retravaill!I597&gt;[1]Result_notebook_retravaill!G597,0,IF([1]Result_notebook_retravaill!I597+[1]Result_notebook_retravaill!J597&gt;[1]Result_notebook_retravaill!G597,0,[1]Result_notebook_retravaill!M597))</f>
        <v>88691.707094776124</v>
      </c>
    </row>
    <row r="598" spans="1:12">
      <c r="A598">
        <f>[1]Result_notebook_retravaill!A598</f>
        <v>2031</v>
      </c>
      <c r="B598" t="str">
        <f>[1]Result_notebook_retravaill!B598</f>
        <v>Nickel</v>
      </c>
      <c r="C598" t="str">
        <f>[1]Result_notebook_retravaill!C598</f>
        <v>Global Net-zero</v>
      </c>
      <c r="D598" t="str">
        <f>[1]Result_notebook_retravaill!D598</f>
        <v>Existing production</v>
      </c>
      <c r="E598" t="str">
        <f>[1]Result_notebook_retravaill!E598</f>
        <v>Current shares</v>
      </c>
      <c r="F598" t="str">
        <f>[1]Result_notebook_retravaill!F598</f>
        <v>Status Quo</v>
      </c>
      <c r="G598">
        <f>[1]Result_notebook_retravaill!G598</f>
        <v>88691.707094776124</v>
      </c>
      <c r="H598" s="3">
        <f>IF([1]Result_notebook_retravaill!I598&gt;[1]Result_notebook_retravaill!G598,[1]Result_notebook_retravaill!I598/[1]Result_notebook_retravaill!N598,[1]Result_notebook_retravaill!H598)</f>
        <v>139278</v>
      </c>
      <c r="I598" s="3">
        <f>[1]Result_notebook_retravaill!K598</f>
        <v>0</v>
      </c>
      <c r="J598" s="3">
        <f>MIN(G598,[1]Result_notebook_retravaill!I598)</f>
        <v>78118.250613288372</v>
      </c>
      <c r="K598" s="3">
        <f>IF([1]Result_notebook_retravaill!I598&gt;[1]Result_notebook_retravaill!G598,0,IF([1]Result_notebook_retravaill!I598+[1]Result_notebook_retravaill!J598&gt;[1]Result_notebook_retravaill!G598,[1]Result_notebook_retravaill!G598-[1]Result_notebook_retravaill!I598,[1]Result_notebook_retravaill!J598))</f>
        <v>10573.456481487752</v>
      </c>
      <c r="L598" s="3">
        <f>IF([1]Result_notebook_retravaill!I598&gt;[1]Result_notebook_retravaill!G598,0,IF([1]Result_notebook_retravaill!I598+[1]Result_notebook_retravaill!J598&gt;[1]Result_notebook_retravaill!G598,0,[1]Result_notebook_retravaill!M598))</f>
        <v>0</v>
      </c>
    </row>
    <row r="599" spans="1:12">
      <c r="A599">
        <f>[1]Result_notebook_retravaill!A599</f>
        <v>2031</v>
      </c>
      <c r="B599" t="str">
        <f>[1]Result_notebook_retravaill!B599</f>
        <v>Nickel</v>
      </c>
      <c r="C599" t="str">
        <f>[1]Result_notebook_retravaill!C599</f>
        <v>Global Net-zero</v>
      </c>
      <c r="D599" t="str">
        <f>[1]Result_notebook_retravaill!D599</f>
        <v>Production potential</v>
      </c>
      <c r="E599" t="str">
        <f>[1]Result_notebook_retravaill!E599</f>
        <v>Current shares</v>
      </c>
      <c r="F599" t="str">
        <f>[1]Result_notebook_retravaill!F599</f>
        <v>Expansion Extractive</v>
      </c>
      <c r="G599">
        <f>[1]Result_notebook_retravaill!G599</f>
        <v>88691.707094776124</v>
      </c>
      <c r="H599" s="3">
        <f>IF([1]Result_notebook_retravaill!I599&gt;[1]Result_notebook_retravaill!G599,[1]Result_notebook_retravaill!I599/[1]Result_notebook_retravaill!N599,[1]Result_notebook_retravaill!H599)</f>
        <v>154668.88303689443</v>
      </c>
      <c r="I599" s="3">
        <f>[1]Result_notebook_retravaill!K599</f>
        <v>0</v>
      </c>
      <c r="J599" s="3">
        <f>MIN(G599,[1]Result_notebook_retravaill!I599)</f>
        <v>88691.707094776124</v>
      </c>
      <c r="K599" s="3">
        <f>IF([1]Result_notebook_retravaill!I599&gt;[1]Result_notebook_retravaill!G599,0,IF([1]Result_notebook_retravaill!I599+[1]Result_notebook_retravaill!J599&gt;[1]Result_notebook_retravaill!G599,[1]Result_notebook_retravaill!G599-[1]Result_notebook_retravaill!I599,[1]Result_notebook_retravaill!J599))</f>
        <v>0</v>
      </c>
      <c r="L599" s="3">
        <f>IF([1]Result_notebook_retravaill!I599&gt;[1]Result_notebook_retravaill!G599,0,IF([1]Result_notebook_retravaill!I599+[1]Result_notebook_retravaill!J599&gt;[1]Result_notebook_retravaill!G599,0,[1]Result_notebook_retravaill!M599))</f>
        <v>0</v>
      </c>
    </row>
    <row r="600" spans="1:12">
      <c r="A600">
        <f>[1]Result_notebook_retravaill!A600</f>
        <v>2031</v>
      </c>
      <c r="B600" t="str">
        <f>[1]Result_notebook_retravaill!B600</f>
        <v>Nickel</v>
      </c>
      <c r="C600" t="str">
        <f>[1]Result_notebook_retravaill!C600</f>
        <v>Global Net-zero</v>
      </c>
      <c r="D600" t="str">
        <f>[1]Result_notebook_retravaill!D600</f>
        <v>Production potential</v>
      </c>
      <c r="E600" t="str">
        <f>[1]Result_notebook_retravaill!E600</f>
        <v>Current shares</v>
      </c>
      <c r="F600" t="str">
        <f>[1]Result_notebook_retravaill!F600</f>
        <v>Expansion Extractive+Circularity</v>
      </c>
      <c r="G600">
        <f>[1]Result_notebook_retravaill!G600</f>
        <v>88691.707094776124</v>
      </c>
      <c r="H600" s="3">
        <f>IF([1]Result_notebook_retravaill!I600&gt;[1]Result_notebook_retravaill!G600,[1]Result_notebook_retravaill!I600/[1]Result_notebook_retravaill!N600,[1]Result_notebook_retravaill!H600)</f>
        <v>154668.88303689443</v>
      </c>
      <c r="I600" s="3">
        <f>[1]Result_notebook_retravaill!K600</f>
        <v>0</v>
      </c>
      <c r="J600" s="3">
        <f>MIN(G600,[1]Result_notebook_retravaill!I600)</f>
        <v>88691.707094776124</v>
      </c>
      <c r="K600" s="3">
        <f>IF([1]Result_notebook_retravaill!I600&gt;[1]Result_notebook_retravaill!G600,0,IF([1]Result_notebook_retravaill!I600+[1]Result_notebook_retravaill!J600&gt;[1]Result_notebook_retravaill!G600,[1]Result_notebook_retravaill!G600-[1]Result_notebook_retravaill!I600,[1]Result_notebook_retravaill!J600))</f>
        <v>0</v>
      </c>
      <c r="L600" s="3">
        <f>IF([1]Result_notebook_retravaill!I600&gt;[1]Result_notebook_retravaill!G600,0,IF([1]Result_notebook_retravaill!I600+[1]Result_notebook_retravaill!J600&gt;[1]Result_notebook_retravaill!G600,0,[1]Result_notebook_retravaill!M600))</f>
        <v>0</v>
      </c>
    </row>
    <row r="601" spans="1:12">
      <c r="A601">
        <f>[1]Result_notebook_retravaill!A601</f>
        <v>2031</v>
      </c>
      <c r="B601" t="str">
        <f>[1]Result_notebook_retravaill!B601</f>
        <v>Nickel</v>
      </c>
      <c r="C601" t="str">
        <f>[1]Result_notebook_retravaill!C601</f>
        <v>Global Net-zero</v>
      </c>
      <c r="D601" t="str">
        <f>[1]Result_notebook_retravaill!D601</f>
        <v>Production potential</v>
      </c>
      <c r="E601" t="str">
        <f>[1]Result_notebook_retravaill!E601</f>
        <v>100% CAN</v>
      </c>
      <c r="F601" t="str">
        <f>[1]Result_notebook_retravaill!F601</f>
        <v>Integrated</v>
      </c>
      <c r="G601">
        <f>[1]Result_notebook_retravaill!G601</f>
        <v>88691.707094776124</v>
      </c>
      <c r="H601" s="3">
        <f>IF([1]Result_notebook_retravaill!I601&gt;[1]Result_notebook_retravaill!G601,[1]Result_notebook_retravaill!I601/[1]Result_notebook_retravaill!N601,[1]Result_notebook_retravaill!H601)</f>
        <v>217177.0118026369</v>
      </c>
      <c r="I601" s="3">
        <f>[1]Result_notebook_retravaill!K601</f>
        <v>0</v>
      </c>
      <c r="J601" s="3">
        <f>MIN(G601,[1]Result_notebook_retravaill!I601)</f>
        <v>88691.707094776124</v>
      </c>
      <c r="K601" s="3">
        <f>IF([1]Result_notebook_retravaill!I601&gt;[1]Result_notebook_retravaill!G601,0,IF([1]Result_notebook_retravaill!I601+[1]Result_notebook_retravaill!J601&gt;[1]Result_notebook_retravaill!G601,[1]Result_notebook_retravaill!G601-[1]Result_notebook_retravaill!I601,[1]Result_notebook_retravaill!J601))</f>
        <v>0</v>
      </c>
      <c r="L601" s="3">
        <f>IF([1]Result_notebook_retravaill!I601&gt;[1]Result_notebook_retravaill!G601,0,IF([1]Result_notebook_retravaill!I601+[1]Result_notebook_retravaill!J601&gt;[1]Result_notebook_retravaill!G601,0,[1]Result_notebook_retravaill!M601))</f>
        <v>0</v>
      </c>
    </row>
    <row r="602" spans="1:12">
      <c r="A602">
        <f>[1]Result_notebook_retravaill!A602</f>
        <v>2031</v>
      </c>
      <c r="B602" t="str">
        <f>[1]Result_notebook_retravaill!B602</f>
        <v>Graphite</v>
      </c>
      <c r="C602" t="str">
        <f>[1]Result_notebook_retravaill!C602</f>
        <v>Canada Net-zero</v>
      </c>
      <c r="D602" t="str">
        <f>[1]Result_notebook_retravaill!D602</f>
        <v>Existing production</v>
      </c>
      <c r="E602" t="str">
        <f>[1]Result_notebook_retravaill!E602</f>
        <v>Current shares</v>
      </c>
      <c r="F602" t="str">
        <f>[1]Result_notebook_retravaill!F602</f>
        <v>NIMBY</v>
      </c>
      <c r="G602">
        <f>[1]Result_notebook_retravaill!G602</f>
        <v>2159.8800640851032</v>
      </c>
      <c r="H602" s="3">
        <f>IF([1]Result_notebook_retravaill!I602&gt;[1]Result_notebook_retravaill!G602,[1]Result_notebook_retravaill!I602/[1]Result_notebook_retravaill!N602,[1]Result_notebook_retravaill!H602)</f>
        <v>0</v>
      </c>
      <c r="I602" s="3">
        <f>[1]Result_notebook_retravaill!K602</f>
        <v>2159.8800640851032</v>
      </c>
      <c r="J602" s="3">
        <f>MIN(G602,[1]Result_notebook_retravaill!I602)</f>
        <v>0</v>
      </c>
      <c r="K602" s="3">
        <f>IF([1]Result_notebook_retravaill!I602&gt;[1]Result_notebook_retravaill!G602,0,IF([1]Result_notebook_retravaill!I602+[1]Result_notebook_retravaill!J602&gt;[1]Result_notebook_retravaill!G602,[1]Result_notebook_retravaill!G602-[1]Result_notebook_retravaill!I602,[1]Result_notebook_retravaill!J602))</f>
        <v>0</v>
      </c>
      <c r="L602" s="3">
        <f>IF([1]Result_notebook_retravaill!I602&gt;[1]Result_notebook_retravaill!G602,0,IF([1]Result_notebook_retravaill!I602+[1]Result_notebook_retravaill!J602&gt;[1]Result_notebook_retravaill!G602,0,[1]Result_notebook_retravaill!M602))</f>
        <v>2159.8800640851032</v>
      </c>
    </row>
    <row r="603" spans="1:12">
      <c r="A603">
        <f>[1]Result_notebook_retravaill!A603</f>
        <v>2031</v>
      </c>
      <c r="B603" t="str">
        <f>[1]Result_notebook_retravaill!B603</f>
        <v>Graphite</v>
      </c>
      <c r="C603" t="str">
        <f>[1]Result_notebook_retravaill!C603</f>
        <v>Canada Net-zero</v>
      </c>
      <c r="D603" t="str">
        <f>[1]Result_notebook_retravaill!D603</f>
        <v>Existing production</v>
      </c>
      <c r="E603" t="str">
        <f>[1]Result_notebook_retravaill!E603</f>
        <v>Current shares</v>
      </c>
      <c r="F603" t="str">
        <f>[1]Result_notebook_retravaill!F603</f>
        <v>Status Quo</v>
      </c>
      <c r="G603">
        <f>[1]Result_notebook_retravaill!G603</f>
        <v>2159.8800640851032</v>
      </c>
      <c r="H603" s="3">
        <f>IF([1]Result_notebook_retravaill!I603&gt;[1]Result_notebook_retravaill!G603,[1]Result_notebook_retravaill!I603/[1]Result_notebook_retravaill!N603,[1]Result_notebook_retravaill!H603)</f>
        <v>0</v>
      </c>
      <c r="I603" s="3">
        <f>[1]Result_notebook_retravaill!K603</f>
        <v>2159.8800640851032</v>
      </c>
      <c r="J603" s="3">
        <f>MIN(G603,[1]Result_notebook_retravaill!I603)</f>
        <v>0</v>
      </c>
      <c r="K603" s="3">
        <f>IF([1]Result_notebook_retravaill!I603&gt;[1]Result_notebook_retravaill!G603,0,IF([1]Result_notebook_retravaill!I603+[1]Result_notebook_retravaill!J603&gt;[1]Result_notebook_retravaill!G603,[1]Result_notebook_retravaill!G603-[1]Result_notebook_retravaill!I603,[1]Result_notebook_retravaill!J603))</f>
        <v>0</v>
      </c>
      <c r="L603" s="3">
        <f>IF([1]Result_notebook_retravaill!I603&gt;[1]Result_notebook_retravaill!G603,0,IF([1]Result_notebook_retravaill!I603+[1]Result_notebook_retravaill!J603&gt;[1]Result_notebook_retravaill!G603,0,[1]Result_notebook_retravaill!M603))</f>
        <v>2159.8800640851032</v>
      </c>
    </row>
    <row r="604" spans="1:12">
      <c r="A604">
        <f>[1]Result_notebook_retravaill!A604</f>
        <v>2031</v>
      </c>
      <c r="B604" t="str">
        <f>[1]Result_notebook_retravaill!B604</f>
        <v>Graphite</v>
      </c>
      <c r="C604" t="str">
        <f>[1]Result_notebook_retravaill!C604</f>
        <v>Canada Net-zero</v>
      </c>
      <c r="D604" t="str">
        <f>[1]Result_notebook_retravaill!D604</f>
        <v>Production potential</v>
      </c>
      <c r="E604" t="str">
        <f>[1]Result_notebook_retravaill!E604</f>
        <v>Current shares</v>
      </c>
      <c r="F604" t="str">
        <f>[1]Result_notebook_retravaill!F604</f>
        <v>Expansion Extractive</v>
      </c>
      <c r="G604">
        <f>[1]Result_notebook_retravaill!G604</f>
        <v>2159.8800640851032</v>
      </c>
      <c r="H604" s="3">
        <f>IF([1]Result_notebook_retravaill!I604&gt;[1]Result_notebook_retravaill!G604,[1]Result_notebook_retravaill!I604/[1]Result_notebook_retravaill!N604,[1]Result_notebook_retravaill!H604)</f>
        <v>55049.995881425435</v>
      </c>
      <c r="I604" s="3">
        <f>[1]Result_notebook_retravaill!K604</f>
        <v>0</v>
      </c>
      <c r="J604" s="3">
        <f>MIN(G604,[1]Result_notebook_retravaill!I604)</f>
        <v>2159.8800640851032</v>
      </c>
      <c r="K604" s="3">
        <f>IF([1]Result_notebook_retravaill!I604&gt;[1]Result_notebook_retravaill!G604,0,IF([1]Result_notebook_retravaill!I604+[1]Result_notebook_retravaill!J604&gt;[1]Result_notebook_retravaill!G604,[1]Result_notebook_retravaill!G604-[1]Result_notebook_retravaill!I604,[1]Result_notebook_retravaill!J604))</f>
        <v>0</v>
      </c>
      <c r="L604" s="3">
        <f>IF([1]Result_notebook_retravaill!I604&gt;[1]Result_notebook_retravaill!G604,0,IF([1]Result_notebook_retravaill!I604+[1]Result_notebook_retravaill!J604&gt;[1]Result_notebook_retravaill!G604,0,[1]Result_notebook_retravaill!M604))</f>
        <v>0</v>
      </c>
    </row>
    <row r="605" spans="1:12">
      <c r="A605">
        <f>[1]Result_notebook_retravaill!A605</f>
        <v>2031</v>
      </c>
      <c r="B605" t="str">
        <f>[1]Result_notebook_retravaill!B605</f>
        <v>Graphite</v>
      </c>
      <c r="C605" t="str">
        <f>[1]Result_notebook_retravaill!C605</f>
        <v>Canada Net-zero</v>
      </c>
      <c r="D605" t="str">
        <f>[1]Result_notebook_retravaill!D605</f>
        <v>Production potential</v>
      </c>
      <c r="E605" t="str">
        <f>[1]Result_notebook_retravaill!E605</f>
        <v>Current shares</v>
      </c>
      <c r="F605" t="str">
        <f>[1]Result_notebook_retravaill!F605</f>
        <v>Expansion Extractive+Circularity</v>
      </c>
      <c r="G605">
        <f>[1]Result_notebook_retravaill!G605</f>
        <v>2159.8800640851032</v>
      </c>
      <c r="H605" s="3">
        <f>IF([1]Result_notebook_retravaill!I605&gt;[1]Result_notebook_retravaill!G605,[1]Result_notebook_retravaill!I605/[1]Result_notebook_retravaill!N605,[1]Result_notebook_retravaill!H605)</f>
        <v>55049.995881425435</v>
      </c>
      <c r="I605" s="3">
        <f>[1]Result_notebook_retravaill!K605</f>
        <v>0</v>
      </c>
      <c r="J605" s="3">
        <f>MIN(G605,[1]Result_notebook_retravaill!I605)</f>
        <v>2159.8800640851032</v>
      </c>
      <c r="K605" s="3">
        <f>IF([1]Result_notebook_retravaill!I605&gt;[1]Result_notebook_retravaill!G605,0,IF([1]Result_notebook_retravaill!I605+[1]Result_notebook_retravaill!J605&gt;[1]Result_notebook_retravaill!G605,[1]Result_notebook_retravaill!G605-[1]Result_notebook_retravaill!I605,[1]Result_notebook_retravaill!J605))</f>
        <v>0</v>
      </c>
      <c r="L605" s="3">
        <f>IF([1]Result_notebook_retravaill!I605&gt;[1]Result_notebook_retravaill!G605,0,IF([1]Result_notebook_retravaill!I605+[1]Result_notebook_retravaill!J605&gt;[1]Result_notebook_retravaill!G605,0,[1]Result_notebook_retravaill!M605))</f>
        <v>0</v>
      </c>
    </row>
    <row r="606" spans="1:12">
      <c r="A606">
        <f>[1]Result_notebook_retravaill!A606</f>
        <v>2031</v>
      </c>
      <c r="B606" t="str">
        <f>[1]Result_notebook_retravaill!B606</f>
        <v>Graphite</v>
      </c>
      <c r="C606" t="str">
        <f>[1]Result_notebook_retravaill!C606</f>
        <v>Canada Net-zero</v>
      </c>
      <c r="D606" t="str">
        <f>[1]Result_notebook_retravaill!D606</f>
        <v>Production potential</v>
      </c>
      <c r="E606" t="str">
        <f>[1]Result_notebook_retravaill!E606</f>
        <v>100% CAN</v>
      </c>
      <c r="F606" t="str">
        <f>[1]Result_notebook_retravaill!F606</f>
        <v>Integrated</v>
      </c>
      <c r="G606">
        <f>[1]Result_notebook_retravaill!G606</f>
        <v>2159.8800640851032</v>
      </c>
      <c r="H606" s="3">
        <f>IF([1]Result_notebook_retravaill!I606&gt;[1]Result_notebook_retravaill!G606,[1]Result_notebook_retravaill!I606/[1]Result_notebook_retravaill!N606,[1]Result_notebook_retravaill!H606)</f>
        <v>55049.995881425435</v>
      </c>
      <c r="I606" s="3">
        <f>[1]Result_notebook_retravaill!K606</f>
        <v>0</v>
      </c>
      <c r="J606" s="3">
        <f>MIN(G606,[1]Result_notebook_retravaill!I606)</f>
        <v>2159.8800640851032</v>
      </c>
      <c r="K606" s="3">
        <f>IF([1]Result_notebook_retravaill!I606&gt;[1]Result_notebook_retravaill!G606,0,IF([1]Result_notebook_retravaill!I606+[1]Result_notebook_retravaill!J606&gt;[1]Result_notebook_retravaill!G606,[1]Result_notebook_retravaill!G606-[1]Result_notebook_retravaill!I606,[1]Result_notebook_retravaill!J606))</f>
        <v>0</v>
      </c>
      <c r="L606" s="3">
        <f>IF([1]Result_notebook_retravaill!I606&gt;[1]Result_notebook_retravaill!G606,0,IF([1]Result_notebook_retravaill!I606+[1]Result_notebook_retravaill!J606&gt;[1]Result_notebook_retravaill!G606,0,[1]Result_notebook_retravaill!M606))</f>
        <v>0</v>
      </c>
    </row>
    <row r="607" spans="1:12">
      <c r="A607">
        <f>[1]Result_notebook_retravaill!A607</f>
        <v>2031</v>
      </c>
      <c r="B607" t="str">
        <f>[1]Result_notebook_retravaill!B607</f>
        <v>Graphite</v>
      </c>
      <c r="C607" t="str">
        <f>[1]Result_notebook_retravaill!C607</f>
        <v>Current Measures</v>
      </c>
      <c r="D607" t="str">
        <f>[1]Result_notebook_retravaill!D607</f>
        <v>Existing production</v>
      </c>
      <c r="E607" t="str">
        <f>[1]Result_notebook_retravaill!E607</f>
        <v>Current shares</v>
      </c>
      <c r="F607" t="str">
        <f>[1]Result_notebook_retravaill!F607</f>
        <v>NIMBY</v>
      </c>
      <c r="G607">
        <f>[1]Result_notebook_retravaill!G607</f>
        <v>939.76655065013301</v>
      </c>
      <c r="H607" s="3">
        <f>IF([1]Result_notebook_retravaill!I607&gt;[1]Result_notebook_retravaill!G607,[1]Result_notebook_retravaill!I607/[1]Result_notebook_retravaill!N607,[1]Result_notebook_retravaill!H607)</f>
        <v>0</v>
      </c>
      <c r="I607" s="3">
        <f>[1]Result_notebook_retravaill!K607</f>
        <v>939.76655065013301</v>
      </c>
      <c r="J607" s="3">
        <f>MIN(G607,[1]Result_notebook_retravaill!I607)</f>
        <v>0</v>
      </c>
      <c r="K607" s="3">
        <f>IF([1]Result_notebook_retravaill!I607&gt;[1]Result_notebook_retravaill!G607,0,IF([1]Result_notebook_retravaill!I607+[1]Result_notebook_retravaill!J607&gt;[1]Result_notebook_retravaill!G607,[1]Result_notebook_retravaill!G607-[1]Result_notebook_retravaill!I607,[1]Result_notebook_retravaill!J607))</f>
        <v>0</v>
      </c>
      <c r="L607" s="3">
        <f>IF([1]Result_notebook_retravaill!I607&gt;[1]Result_notebook_retravaill!G607,0,IF([1]Result_notebook_retravaill!I607+[1]Result_notebook_retravaill!J607&gt;[1]Result_notebook_retravaill!G607,0,[1]Result_notebook_retravaill!M607))</f>
        <v>939.76655065013301</v>
      </c>
    </row>
    <row r="608" spans="1:12">
      <c r="A608">
        <f>[1]Result_notebook_retravaill!A608</f>
        <v>2031</v>
      </c>
      <c r="B608" t="str">
        <f>[1]Result_notebook_retravaill!B608</f>
        <v>Graphite</v>
      </c>
      <c r="C608" t="str">
        <f>[1]Result_notebook_retravaill!C608</f>
        <v>Current Measures</v>
      </c>
      <c r="D608" t="str">
        <f>[1]Result_notebook_retravaill!D608</f>
        <v>Existing production</v>
      </c>
      <c r="E608" t="str">
        <f>[1]Result_notebook_retravaill!E608</f>
        <v>Current shares</v>
      </c>
      <c r="F608" t="str">
        <f>[1]Result_notebook_retravaill!F608</f>
        <v>Status Quo</v>
      </c>
      <c r="G608">
        <f>[1]Result_notebook_retravaill!G608</f>
        <v>939.76655065013301</v>
      </c>
      <c r="H608" s="3">
        <f>IF([1]Result_notebook_retravaill!I608&gt;[1]Result_notebook_retravaill!G608,[1]Result_notebook_retravaill!I608/[1]Result_notebook_retravaill!N608,[1]Result_notebook_retravaill!H608)</f>
        <v>0</v>
      </c>
      <c r="I608" s="3">
        <f>[1]Result_notebook_retravaill!K608</f>
        <v>939.76655065013301</v>
      </c>
      <c r="J608" s="3">
        <f>MIN(G608,[1]Result_notebook_retravaill!I608)</f>
        <v>0</v>
      </c>
      <c r="K608" s="3">
        <f>IF([1]Result_notebook_retravaill!I608&gt;[1]Result_notebook_retravaill!G608,0,IF([1]Result_notebook_retravaill!I608+[1]Result_notebook_retravaill!J608&gt;[1]Result_notebook_retravaill!G608,[1]Result_notebook_retravaill!G608-[1]Result_notebook_retravaill!I608,[1]Result_notebook_retravaill!J608))</f>
        <v>0</v>
      </c>
      <c r="L608" s="3">
        <f>IF([1]Result_notebook_retravaill!I608&gt;[1]Result_notebook_retravaill!G608,0,IF([1]Result_notebook_retravaill!I608+[1]Result_notebook_retravaill!J608&gt;[1]Result_notebook_retravaill!G608,0,[1]Result_notebook_retravaill!M608))</f>
        <v>939.76655065013301</v>
      </c>
    </row>
    <row r="609" spans="1:12">
      <c r="A609">
        <f>[1]Result_notebook_retravaill!A609</f>
        <v>2031</v>
      </c>
      <c r="B609" t="str">
        <f>[1]Result_notebook_retravaill!B609</f>
        <v>Graphite</v>
      </c>
      <c r="C609" t="str">
        <f>[1]Result_notebook_retravaill!C609</f>
        <v>Current Measures</v>
      </c>
      <c r="D609" t="str">
        <f>[1]Result_notebook_retravaill!D609</f>
        <v>Production potential</v>
      </c>
      <c r="E609" t="str">
        <f>[1]Result_notebook_retravaill!E609</f>
        <v>Current shares</v>
      </c>
      <c r="F609" t="str">
        <f>[1]Result_notebook_retravaill!F609</f>
        <v>Expansion Extractive</v>
      </c>
      <c r="G609">
        <f>[1]Result_notebook_retravaill!G609</f>
        <v>939.76655065013301</v>
      </c>
      <c r="H609" s="3">
        <f>IF([1]Result_notebook_retravaill!I609&gt;[1]Result_notebook_retravaill!G609,[1]Result_notebook_retravaill!I609/[1]Result_notebook_retravaill!N609,[1]Result_notebook_retravaill!H609)</f>
        <v>55049.995881425435</v>
      </c>
      <c r="I609" s="3">
        <f>[1]Result_notebook_retravaill!K609</f>
        <v>0</v>
      </c>
      <c r="J609" s="3">
        <f>MIN(G609,[1]Result_notebook_retravaill!I609)</f>
        <v>939.76655065013301</v>
      </c>
      <c r="K609" s="3">
        <f>IF([1]Result_notebook_retravaill!I609&gt;[1]Result_notebook_retravaill!G609,0,IF([1]Result_notebook_retravaill!I609+[1]Result_notebook_retravaill!J609&gt;[1]Result_notebook_retravaill!G609,[1]Result_notebook_retravaill!G609-[1]Result_notebook_retravaill!I609,[1]Result_notebook_retravaill!J609))</f>
        <v>0</v>
      </c>
      <c r="L609" s="3">
        <f>IF([1]Result_notebook_retravaill!I609&gt;[1]Result_notebook_retravaill!G609,0,IF([1]Result_notebook_retravaill!I609+[1]Result_notebook_retravaill!J609&gt;[1]Result_notebook_retravaill!G609,0,[1]Result_notebook_retravaill!M609))</f>
        <v>0</v>
      </c>
    </row>
    <row r="610" spans="1:12">
      <c r="A610">
        <f>[1]Result_notebook_retravaill!A610</f>
        <v>2031</v>
      </c>
      <c r="B610" t="str">
        <f>[1]Result_notebook_retravaill!B610</f>
        <v>Graphite</v>
      </c>
      <c r="C610" t="str">
        <f>[1]Result_notebook_retravaill!C610</f>
        <v>Current Measures</v>
      </c>
      <c r="D610" t="str">
        <f>[1]Result_notebook_retravaill!D610</f>
        <v>Production potential</v>
      </c>
      <c r="E610" t="str">
        <f>[1]Result_notebook_retravaill!E610</f>
        <v>Current shares</v>
      </c>
      <c r="F610" t="str">
        <f>[1]Result_notebook_retravaill!F610</f>
        <v>Expansion Extractive+Circularity</v>
      </c>
      <c r="G610">
        <f>[1]Result_notebook_retravaill!G610</f>
        <v>939.76655065013301</v>
      </c>
      <c r="H610" s="3">
        <f>IF([1]Result_notebook_retravaill!I610&gt;[1]Result_notebook_retravaill!G610,[1]Result_notebook_retravaill!I610/[1]Result_notebook_retravaill!N610,[1]Result_notebook_retravaill!H610)</f>
        <v>55049.995881425435</v>
      </c>
      <c r="I610" s="3">
        <f>[1]Result_notebook_retravaill!K610</f>
        <v>0</v>
      </c>
      <c r="J610" s="3">
        <f>MIN(G610,[1]Result_notebook_retravaill!I610)</f>
        <v>939.76655065013301</v>
      </c>
      <c r="K610" s="3">
        <f>IF([1]Result_notebook_retravaill!I610&gt;[1]Result_notebook_retravaill!G610,0,IF([1]Result_notebook_retravaill!I610+[1]Result_notebook_retravaill!J610&gt;[1]Result_notebook_retravaill!G610,[1]Result_notebook_retravaill!G610-[1]Result_notebook_retravaill!I610,[1]Result_notebook_retravaill!J610))</f>
        <v>0</v>
      </c>
      <c r="L610" s="3">
        <f>IF([1]Result_notebook_retravaill!I610&gt;[1]Result_notebook_retravaill!G610,0,IF([1]Result_notebook_retravaill!I610+[1]Result_notebook_retravaill!J610&gt;[1]Result_notebook_retravaill!G610,0,[1]Result_notebook_retravaill!M610))</f>
        <v>0</v>
      </c>
    </row>
    <row r="611" spans="1:12">
      <c r="A611">
        <f>[1]Result_notebook_retravaill!A611</f>
        <v>2031</v>
      </c>
      <c r="B611" t="str">
        <f>[1]Result_notebook_retravaill!B611</f>
        <v>Graphite</v>
      </c>
      <c r="C611" t="str">
        <f>[1]Result_notebook_retravaill!C611</f>
        <v>Current Measures</v>
      </c>
      <c r="D611" t="str">
        <f>[1]Result_notebook_retravaill!D611</f>
        <v>Production potential</v>
      </c>
      <c r="E611" t="str">
        <f>[1]Result_notebook_retravaill!E611</f>
        <v>100% CAN</v>
      </c>
      <c r="F611" t="str">
        <f>[1]Result_notebook_retravaill!F611</f>
        <v>Integrated</v>
      </c>
      <c r="G611">
        <f>[1]Result_notebook_retravaill!G611</f>
        <v>939.76655065013301</v>
      </c>
      <c r="H611" s="3">
        <f>IF([1]Result_notebook_retravaill!I611&gt;[1]Result_notebook_retravaill!G611,[1]Result_notebook_retravaill!I611/[1]Result_notebook_retravaill!N611,[1]Result_notebook_retravaill!H611)</f>
        <v>55049.995881425435</v>
      </c>
      <c r="I611" s="3">
        <f>[1]Result_notebook_retravaill!K611</f>
        <v>0</v>
      </c>
      <c r="J611" s="3">
        <f>MIN(G611,[1]Result_notebook_retravaill!I611)</f>
        <v>939.76655065013301</v>
      </c>
      <c r="K611" s="3">
        <f>IF([1]Result_notebook_retravaill!I611&gt;[1]Result_notebook_retravaill!G611,0,IF([1]Result_notebook_retravaill!I611+[1]Result_notebook_retravaill!J611&gt;[1]Result_notebook_retravaill!G611,[1]Result_notebook_retravaill!G611-[1]Result_notebook_retravaill!I611,[1]Result_notebook_retravaill!J611))</f>
        <v>0</v>
      </c>
      <c r="L611" s="3">
        <f>IF([1]Result_notebook_retravaill!I611&gt;[1]Result_notebook_retravaill!G611,0,IF([1]Result_notebook_retravaill!I611+[1]Result_notebook_retravaill!J611&gt;[1]Result_notebook_retravaill!G611,0,[1]Result_notebook_retravaill!M611))</f>
        <v>0</v>
      </c>
    </row>
    <row r="612" spans="1:12">
      <c r="A612">
        <f>[1]Result_notebook_retravaill!A612</f>
        <v>2031</v>
      </c>
      <c r="B612" t="str">
        <f>[1]Result_notebook_retravaill!B612</f>
        <v>Graphite</v>
      </c>
      <c r="C612" t="str">
        <f>[1]Result_notebook_retravaill!C612</f>
        <v>Global Net-zero</v>
      </c>
      <c r="D612" t="str">
        <f>[1]Result_notebook_retravaill!D612</f>
        <v>Existing production</v>
      </c>
      <c r="E612" t="str">
        <f>[1]Result_notebook_retravaill!E612</f>
        <v>Current shares</v>
      </c>
      <c r="F612" t="str">
        <f>[1]Result_notebook_retravaill!F612</f>
        <v>NIMBY</v>
      </c>
      <c r="G612">
        <f>[1]Result_notebook_retravaill!G612</f>
        <v>2047.251252746828</v>
      </c>
      <c r="H612" s="3">
        <f>IF([1]Result_notebook_retravaill!I612&gt;[1]Result_notebook_retravaill!G612,[1]Result_notebook_retravaill!I612/[1]Result_notebook_retravaill!N612,[1]Result_notebook_retravaill!H612)</f>
        <v>0</v>
      </c>
      <c r="I612" s="3">
        <f>[1]Result_notebook_retravaill!K612</f>
        <v>2047.251252746828</v>
      </c>
      <c r="J612" s="3">
        <f>MIN(G612,[1]Result_notebook_retravaill!I612)</f>
        <v>0</v>
      </c>
      <c r="K612" s="3">
        <f>IF([1]Result_notebook_retravaill!I612&gt;[1]Result_notebook_retravaill!G612,0,IF([1]Result_notebook_retravaill!I612+[1]Result_notebook_retravaill!J612&gt;[1]Result_notebook_retravaill!G612,[1]Result_notebook_retravaill!G612-[1]Result_notebook_retravaill!I612,[1]Result_notebook_retravaill!J612))</f>
        <v>0</v>
      </c>
      <c r="L612" s="3">
        <f>IF([1]Result_notebook_retravaill!I612&gt;[1]Result_notebook_retravaill!G612,0,IF([1]Result_notebook_retravaill!I612+[1]Result_notebook_retravaill!J612&gt;[1]Result_notebook_retravaill!G612,0,[1]Result_notebook_retravaill!M612))</f>
        <v>2047.251252746828</v>
      </c>
    </row>
    <row r="613" spans="1:12">
      <c r="A613">
        <f>[1]Result_notebook_retravaill!A613</f>
        <v>2031</v>
      </c>
      <c r="B613" t="str">
        <f>[1]Result_notebook_retravaill!B613</f>
        <v>Graphite</v>
      </c>
      <c r="C613" t="str">
        <f>[1]Result_notebook_retravaill!C613</f>
        <v>Global Net-zero</v>
      </c>
      <c r="D613" t="str">
        <f>[1]Result_notebook_retravaill!D613</f>
        <v>Existing production</v>
      </c>
      <c r="E613" t="str">
        <f>[1]Result_notebook_retravaill!E613</f>
        <v>Current shares</v>
      </c>
      <c r="F613" t="str">
        <f>[1]Result_notebook_retravaill!F613</f>
        <v>Status Quo</v>
      </c>
      <c r="G613">
        <f>[1]Result_notebook_retravaill!G613</f>
        <v>2047.251252746828</v>
      </c>
      <c r="H613" s="3">
        <f>IF([1]Result_notebook_retravaill!I613&gt;[1]Result_notebook_retravaill!G613,[1]Result_notebook_retravaill!I613/[1]Result_notebook_retravaill!N613,[1]Result_notebook_retravaill!H613)</f>
        <v>0</v>
      </c>
      <c r="I613" s="3">
        <f>[1]Result_notebook_retravaill!K613</f>
        <v>2047.251252746828</v>
      </c>
      <c r="J613" s="3">
        <f>MIN(G613,[1]Result_notebook_retravaill!I613)</f>
        <v>0</v>
      </c>
      <c r="K613" s="3">
        <f>IF([1]Result_notebook_retravaill!I613&gt;[1]Result_notebook_retravaill!G613,0,IF([1]Result_notebook_retravaill!I613+[1]Result_notebook_retravaill!J613&gt;[1]Result_notebook_retravaill!G613,[1]Result_notebook_retravaill!G613-[1]Result_notebook_retravaill!I613,[1]Result_notebook_retravaill!J613))</f>
        <v>0</v>
      </c>
      <c r="L613" s="3">
        <f>IF([1]Result_notebook_retravaill!I613&gt;[1]Result_notebook_retravaill!G613,0,IF([1]Result_notebook_retravaill!I613+[1]Result_notebook_retravaill!J613&gt;[1]Result_notebook_retravaill!G613,0,[1]Result_notebook_retravaill!M613))</f>
        <v>2047.251252746828</v>
      </c>
    </row>
    <row r="614" spans="1:12">
      <c r="A614">
        <f>[1]Result_notebook_retravaill!A614</f>
        <v>2031</v>
      </c>
      <c r="B614" t="str">
        <f>[1]Result_notebook_retravaill!B614</f>
        <v>Graphite</v>
      </c>
      <c r="C614" t="str">
        <f>[1]Result_notebook_retravaill!C614</f>
        <v>Global Net-zero</v>
      </c>
      <c r="D614" t="str">
        <f>[1]Result_notebook_retravaill!D614</f>
        <v>Production potential</v>
      </c>
      <c r="E614" t="str">
        <f>[1]Result_notebook_retravaill!E614</f>
        <v>Current shares</v>
      </c>
      <c r="F614" t="str">
        <f>[1]Result_notebook_retravaill!F614</f>
        <v>Expansion Extractive</v>
      </c>
      <c r="G614">
        <f>[1]Result_notebook_retravaill!G614</f>
        <v>2047.251252746828</v>
      </c>
      <c r="H614" s="3">
        <f>IF([1]Result_notebook_retravaill!I614&gt;[1]Result_notebook_retravaill!G614,[1]Result_notebook_retravaill!I614/[1]Result_notebook_retravaill!N614,[1]Result_notebook_retravaill!H614)</f>
        <v>55049.995881425435</v>
      </c>
      <c r="I614" s="3">
        <f>[1]Result_notebook_retravaill!K614</f>
        <v>0</v>
      </c>
      <c r="J614" s="3">
        <f>MIN(G614,[1]Result_notebook_retravaill!I614)</f>
        <v>2047.251252746828</v>
      </c>
      <c r="K614" s="3">
        <f>IF([1]Result_notebook_retravaill!I614&gt;[1]Result_notebook_retravaill!G614,0,IF([1]Result_notebook_retravaill!I614+[1]Result_notebook_retravaill!J614&gt;[1]Result_notebook_retravaill!G614,[1]Result_notebook_retravaill!G614-[1]Result_notebook_retravaill!I614,[1]Result_notebook_retravaill!J614))</f>
        <v>0</v>
      </c>
      <c r="L614" s="3">
        <f>IF([1]Result_notebook_retravaill!I614&gt;[1]Result_notebook_retravaill!G614,0,IF([1]Result_notebook_retravaill!I614+[1]Result_notebook_retravaill!J614&gt;[1]Result_notebook_retravaill!G614,0,[1]Result_notebook_retravaill!M614))</f>
        <v>0</v>
      </c>
    </row>
    <row r="615" spans="1:12">
      <c r="A615">
        <f>[1]Result_notebook_retravaill!A615</f>
        <v>2031</v>
      </c>
      <c r="B615" t="str">
        <f>[1]Result_notebook_retravaill!B615</f>
        <v>Graphite</v>
      </c>
      <c r="C615" t="str">
        <f>[1]Result_notebook_retravaill!C615</f>
        <v>Global Net-zero</v>
      </c>
      <c r="D615" t="str">
        <f>[1]Result_notebook_retravaill!D615</f>
        <v>Production potential</v>
      </c>
      <c r="E615" t="str">
        <f>[1]Result_notebook_retravaill!E615</f>
        <v>Current shares</v>
      </c>
      <c r="F615" t="str">
        <f>[1]Result_notebook_retravaill!F615</f>
        <v>Expansion Extractive+Circularity</v>
      </c>
      <c r="G615">
        <f>[1]Result_notebook_retravaill!G615</f>
        <v>2047.251252746828</v>
      </c>
      <c r="H615" s="3">
        <f>IF([1]Result_notebook_retravaill!I615&gt;[1]Result_notebook_retravaill!G615,[1]Result_notebook_retravaill!I615/[1]Result_notebook_retravaill!N615,[1]Result_notebook_retravaill!H615)</f>
        <v>55049.995881425435</v>
      </c>
      <c r="I615" s="3">
        <f>[1]Result_notebook_retravaill!K615</f>
        <v>0</v>
      </c>
      <c r="J615" s="3">
        <f>MIN(G615,[1]Result_notebook_retravaill!I615)</f>
        <v>2047.251252746828</v>
      </c>
      <c r="K615" s="3">
        <f>IF([1]Result_notebook_retravaill!I615&gt;[1]Result_notebook_retravaill!G615,0,IF([1]Result_notebook_retravaill!I615+[1]Result_notebook_retravaill!J615&gt;[1]Result_notebook_retravaill!G615,[1]Result_notebook_retravaill!G615-[1]Result_notebook_retravaill!I615,[1]Result_notebook_retravaill!J615))</f>
        <v>0</v>
      </c>
      <c r="L615" s="3">
        <f>IF([1]Result_notebook_retravaill!I615&gt;[1]Result_notebook_retravaill!G615,0,IF([1]Result_notebook_retravaill!I615+[1]Result_notebook_retravaill!J615&gt;[1]Result_notebook_retravaill!G615,0,[1]Result_notebook_retravaill!M615))</f>
        <v>0</v>
      </c>
    </row>
    <row r="616" spans="1:12">
      <c r="A616">
        <f>[1]Result_notebook_retravaill!A616</f>
        <v>2031</v>
      </c>
      <c r="B616" t="str">
        <f>[1]Result_notebook_retravaill!B616</f>
        <v>Graphite</v>
      </c>
      <c r="C616" t="str">
        <f>[1]Result_notebook_retravaill!C616</f>
        <v>Global Net-zero</v>
      </c>
      <c r="D616" t="str">
        <f>[1]Result_notebook_retravaill!D616</f>
        <v>Production potential</v>
      </c>
      <c r="E616" t="str">
        <f>[1]Result_notebook_retravaill!E616</f>
        <v>100% CAN</v>
      </c>
      <c r="F616" t="str">
        <f>[1]Result_notebook_retravaill!F616</f>
        <v>Integrated</v>
      </c>
      <c r="G616">
        <f>[1]Result_notebook_retravaill!G616</f>
        <v>2047.251252746828</v>
      </c>
      <c r="H616" s="3">
        <f>IF([1]Result_notebook_retravaill!I616&gt;[1]Result_notebook_retravaill!G616,[1]Result_notebook_retravaill!I616/[1]Result_notebook_retravaill!N616,[1]Result_notebook_retravaill!H616)</f>
        <v>55049.995881425435</v>
      </c>
      <c r="I616" s="3">
        <f>[1]Result_notebook_retravaill!K616</f>
        <v>0</v>
      </c>
      <c r="J616" s="3">
        <f>MIN(G616,[1]Result_notebook_retravaill!I616)</f>
        <v>2047.251252746828</v>
      </c>
      <c r="K616" s="3">
        <f>IF([1]Result_notebook_retravaill!I616&gt;[1]Result_notebook_retravaill!G616,0,IF([1]Result_notebook_retravaill!I616+[1]Result_notebook_retravaill!J616&gt;[1]Result_notebook_retravaill!G616,[1]Result_notebook_retravaill!G616-[1]Result_notebook_retravaill!I616,[1]Result_notebook_retravaill!J616))</f>
        <v>0</v>
      </c>
      <c r="L616" s="3">
        <f>IF([1]Result_notebook_retravaill!I616&gt;[1]Result_notebook_retravaill!G616,0,IF([1]Result_notebook_retravaill!I616+[1]Result_notebook_retravaill!J616&gt;[1]Result_notebook_retravaill!G616,0,[1]Result_notebook_retravaill!M616))</f>
        <v>0</v>
      </c>
    </row>
    <row r="617" spans="1:12">
      <c r="A617">
        <f>[1]Result_notebook_retravaill!A617</f>
        <v>2031</v>
      </c>
      <c r="B617" t="str">
        <f>[1]Result_notebook_retravaill!B617</f>
        <v>Lithium</v>
      </c>
      <c r="C617" t="str">
        <f>[1]Result_notebook_retravaill!C617</f>
        <v>Canada Net-zero</v>
      </c>
      <c r="D617" t="str">
        <f>[1]Result_notebook_retravaill!D617</f>
        <v>Existing production</v>
      </c>
      <c r="E617" t="str">
        <f>[1]Result_notebook_retravaill!E617</f>
        <v>Current shares</v>
      </c>
      <c r="F617" t="str">
        <f>[1]Result_notebook_retravaill!F617</f>
        <v>NIMBY</v>
      </c>
      <c r="G617">
        <f>[1]Result_notebook_retravaill!G617</f>
        <v>36619.276210392578</v>
      </c>
      <c r="H617" s="3">
        <f>IF([1]Result_notebook_retravaill!I617&gt;[1]Result_notebook_retravaill!G617,[1]Result_notebook_retravaill!I617/[1]Result_notebook_retravaill!N617,[1]Result_notebook_retravaill!H617)</f>
        <v>0</v>
      </c>
      <c r="I617" s="3">
        <f>[1]Result_notebook_retravaill!K617</f>
        <v>52313.251729132258</v>
      </c>
      <c r="J617" s="3">
        <f>MIN(G617,[1]Result_notebook_retravaill!I617)</f>
        <v>0</v>
      </c>
      <c r="K617" s="3">
        <f>IF([1]Result_notebook_retravaill!I617&gt;[1]Result_notebook_retravaill!G617,0,IF([1]Result_notebook_retravaill!I617+[1]Result_notebook_retravaill!J617&gt;[1]Result_notebook_retravaill!G617,[1]Result_notebook_retravaill!G617-[1]Result_notebook_retravaill!I617,[1]Result_notebook_retravaill!J617))</f>
        <v>0</v>
      </c>
      <c r="L617" s="3">
        <f>IF([1]Result_notebook_retravaill!I617&gt;[1]Result_notebook_retravaill!G617,0,IF([1]Result_notebook_retravaill!I617+[1]Result_notebook_retravaill!J617&gt;[1]Result_notebook_retravaill!G617,0,[1]Result_notebook_retravaill!M617))</f>
        <v>36619.276210392578</v>
      </c>
    </row>
    <row r="618" spans="1:12">
      <c r="A618">
        <f>[1]Result_notebook_retravaill!A618</f>
        <v>2031</v>
      </c>
      <c r="B618" t="str">
        <f>[1]Result_notebook_retravaill!B618</f>
        <v>Lithium</v>
      </c>
      <c r="C618" t="str">
        <f>[1]Result_notebook_retravaill!C618</f>
        <v>Canada Net-zero</v>
      </c>
      <c r="D618" t="str">
        <f>[1]Result_notebook_retravaill!D618</f>
        <v>Existing production</v>
      </c>
      <c r="E618" t="str">
        <f>[1]Result_notebook_retravaill!E618</f>
        <v>Current shares</v>
      </c>
      <c r="F618" t="str">
        <f>[1]Result_notebook_retravaill!F618</f>
        <v>Status Quo</v>
      </c>
      <c r="G618">
        <f>[1]Result_notebook_retravaill!G618</f>
        <v>36619.276210392578</v>
      </c>
      <c r="H618" s="3">
        <f>IF([1]Result_notebook_retravaill!I618&gt;[1]Result_notebook_retravaill!G618,[1]Result_notebook_retravaill!I618/[1]Result_notebook_retravaill!N618,[1]Result_notebook_retravaill!H618)</f>
        <v>38166</v>
      </c>
      <c r="I618" s="3">
        <f>[1]Result_notebook_retravaill!K618</f>
        <v>14147.25172913226</v>
      </c>
      <c r="J618" s="3">
        <f>MIN(G618,[1]Result_notebook_retravaill!I618)</f>
        <v>26684.54019296246</v>
      </c>
      <c r="K618" s="3">
        <f>IF([1]Result_notebook_retravaill!I618&gt;[1]Result_notebook_retravaill!G618,0,IF([1]Result_notebook_retravaill!I618+[1]Result_notebook_retravaill!J618&gt;[1]Result_notebook_retravaill!G618,[1]Result_notebook_retravaill!G618-[1]Result_notebook_retravaill!I618,[1]Result_notebook_retravaill!J618))</f>
        <v>3373.2838170940922</v>
      </c>
      <c r="L618" s="3">
        <f>IF([1]Result_notebook_retravaill!I618&gt;[1]Result_notebook_retravaill!G618,0,IF([1]Result_notebook_retravaill!I618+[1]Result_notebook_retravaill!J618&gt;[1]Result_notebook_retravaill!G618,0,[1]Result_notebook_retravaill!M618))</f>
        <v>6561.4522003360253</v>
      </c>
    </row>
    <row r="619" spans="1:12">
      <c r="A619">
        <f>[1]Result_notebook_retravaill!A619</f>
        <v>2031</v>
      </c>
      <c r="B619" t="str">
        <f>[1]Result_notebook_retravaill!B619</f>
        <v>Lithium</v>
      </c>
      <c r="C619" t="str">
        <f>[1]Result_notebook_retravaill!C619</f>
        <v>Canada Net-zero</v>
      </c>
      <c r="D619" t="str">
        <f>[1]Result_notebook_retravaill!D619</f>
        <v>Production potential</v>
      </c>
      <c r="E619" t="str">
        <f>[1]Result_notebook_retravaill!E619</f>
        <v>Current shares</v>
      </c>
      <c r="F619" t="str">
        <f>[1]Result_notebook_retravaill!F619</f>
        <v>Expansion Extractive</v>
      </c>
      <c r="G619">
        <f>[1]Result_notebook_retravaill!G619</f>
        <v>36619.276210392578</v>
      </c>
      <c r="H619" s="3">
        <f>IF([1]Result_notebook_retravaill!I619&gt;[1]Result_notebook_retravaill!G619,[1]Result_notebook_retravaill!I619/[1]Result_notebook_retravaill!N619,[1]Result_notebook_retravaill!H619)</f>
        <v>128659.68945825951</v>
      </c>
      <c r="I619" s="3">
        <f>[1]Result_notebook_retravaill!K619</f>
        <v>0</v>
      </c>
      <c r="J619" s="3">
        <f>MIN(G619,[1]Result_notebook_retravaill!I619)</f>
        <v>36619.276210392578</v>
      </c>
      <c r="K619" s="3">
        <f>IF([1]Result_notebook_retravaill!I619&gt;[1]Result_notebook_retravaill!G619,0,IF([1]Result_notebook_retravaill!I619+[1]Result_notebook_retravaill!J619&gt;[1]Result_notebook_retravaill!G619,[1]Result_notebook_retravaill!G619-[1]Result_notebook_retravaill!I619,[1]Result_notebook_retravaill!J619))</f>
        <v>0</v>
      </c>
      <c r="L619" s="3">
        <f>IF([1]Result_notebook_retravaill!I619&gt;[1]Result_notebook_retravaill!G619,0,IF([1]Result_notebook_retravaill!I619+[1]Result_notebook_retravaill!J619&gt;[1]Result_notebook_retravaill!G619,0,[1]Result_notebook_retravaill!M619))</f>
        <v>0</v>
      </c>
    </row>
    <row r="620" spans="1:12">
      <c r="A620">
        <f>[1]Result_notebook_retravaill!A620</f>
        <v>2031</v>
      </c>
      <c r="B620" t="str">
        <f>[1]Result_notebook_retravaill!B620</f>
        <v>Lithium</v>
      </c>
      <c r="C620" t="str">
        <f>[1]Result_notebook_retravaill!C620</f>
        <v>Canada Net-zero</v>
      </c>
      <c r="D620" t="str">
        <f>[1]Result_notebook_retravaill!D620</f>
        <v>Production potential</v>
      </c>
      <c r="E620" t="str">
        <f>[1]Result_notebook_retravaill!E620</f>
        <v>Current shares</v>
      </c>
      <c r="F620" t="str">
        <f>[1]Result_notebook_retravaill!F620</f>
        <v>Expansion Extractive+Circularity</v>
      </c>
      <c r="G620">
        <f>[1]Result_notebook_retravaill!G620</f>
        <v>36619.276210392578</v>
      </c>
      <c r="H620" s="3">
        <f>IF([1]Result_notebook_retravaill!I620&gt;[1]Result_notebook_retravaill!G620,[1]Result_notebook_retravaill!I620/[1]Result_notebook_retravaill!N620,[1]Result_notebook_retravaill!H620)</f>
        <v>128659.68945825951</v>
      </c>
      <c r="I620" s="3">
        <f>[1]Result_notebook_retravaill!K620</f>
        <v>0</v>
      </c>
      <c r="J620" s="3">
        <f>MIN(G620,[1]Result_notebook_retravaill!I620)</f>
        <v>36619.276210392578</v>
      </c>
      <c r="K620" s="3">
        <f>IF([1]Result_notebook_retravaill!I620&gt;[1]Result_notebook_retravaill!G620,0,IF([1]Result_notebook_retravaill!I620+[1]Result_notebook_retravaill!J620&gt;[1]Result_notebook_retravaill!G620,[1]Result_notebook_retravaill!G620-[1]Result_notebook_retravaill!I620,[1]Result_notebook_retravaill!J620))</f>
        <v>0</v>
      </c>
      <c r="L620" s="3">
        <f>IF([1]Result_notebook_retravaill!I620&gt;[1]Result_notebook_retravaill!G620,0,IF([1]Result_notebook_retravaill!I620+[1]Result_notebook_retravaill!J620&gt;[1]Result_notebook_retravaill!G620,0,[1]Result_notebook_retravaill!M620))</f>
        <v>0</v>
      </c>
    </row>
    <row r="621" spans="1:12">
      <c r="A621">
        <f>[1]Result_notebook_retravaill!A621</f>
        <v>2031</v>
      </c>
      <c r="B621" t="str">
        <f>[1]Result_notebook_retravaill!B621</f>
        <v>Lithium</v>
      </c>
      <c r="C621" t="str">
        <f>[1]Result_notebook_retravaill!C621</f>
        <v>Canada Net-zero</v>
      </c>
      <c r="D621" t="str">
        <f>[1]Result_notebook_retravaill!D621</f>
        <v>Production potential</v>
      </c>
      <c r="E621" t="str">
        <f>[1]Result_notebook_retravaill!E621</f>
        <v>100% CAN</v>
      </c>
      <c r="F621" t="str">
        <f>[1]Result_notebook_retravaill!F621</f>
        <v>Integrated</v>
      </c>
      <c r="G621">
        <f>[1]Result_notebook_retravaill!G621</f>
        <v>36619.276210392578</v>
      </c>
      <c r="H621" s="3">
        <f>IF([1]Result_notebook_retravaill!I621&gt;[1]Result_notebook_retravaill!G621,[1]Result_notebook_retravaill!I621/[1]Result_notebook_retravaill!N621,[1]Result_notebook_retravaill!H621)</f>
        <v>128659.68945825951</v>
      </c>
      <c r="I621" s="3">
        <f>[1]Result_notebook_retravaill!K621</f>
        <v>0</v>
      </c>
      <c r="J621" s="3">
        <f>MIN(G621,[1]Result_notebook_retravaill!I621)</f>
        <v>36619.276210392578</v>
      </c>
      <c r="K621" s="3">
        <f>IF([1]Result_notebook_retravaill!I621&gt;[1]Result_notebook_retravaill!G621,0,IF([1]Result_notebook_retravaill!I621+[1]Result_notebook_retravaill!J621&gt;[1]Result_notebook_retravaill!G621,[1]Result_notebook_retravaill!G621-[1]Result_notebook_retravaill!I621,[1]Result_notebook_retravaill!J621))</f>
        <v>0</v>
      </c>
      <c r="L621" s="3">
        <f>IF([1]Result_notebook_retravaill!I621&gt;[1]Result_notebook_retravaill!G621,0,IF([1]Result_notebook_retravaill!I621+[1]Result_notebook_retravaill!J621&gt;[1]Result_notebook_retravaill!G621,0,[1]Result_notebook_retravaill!M621))</f>
        <v>0</v>
      </c>
    </row>
    <row r="622" spans="1:12">
      <c r="A622">
        <f>[1]Result_notebook_retravaill!A622</f>
        <v>2031</v>
      </c>
      <c r="B622" t="str">
        <f>[1]Result_notebook_retravaill!B622</f>
        <v>Lithium</v>
      </c>
      <c r="C622" t="str">
        <f>[1]Result_notebook_retravaill!C622</f>
        <v>Current Measures</v>
      </c>
      <c r="D622" t="str">
        <f>[1]Result_notebook_retravaill!D622</f>
        <v>Existing production</v>
      </c>
      <c r="E622" t="str">
        <f>[1]Result_notebook_retravaill!E622</f>
        <v>Current shares</v>
      </c>
      <c r="F622" t="str">
        <f>[1]Result_notebook_retravaill!F622</f>
        <v>NIMBY</v>
      </c>
      <c r="G622">
        <f>[1]Result_notebook_retravaill!G622</f>
        <v>15933.093445224329</v>
      </c>
      <c r="H622" s="3">
        <f>IF([1]Result_notebook_retravaill!I622&gt;[1]Result_notebook_retravaill!G622,[1]Result_notebook_retravaill!I622/[1]Result_notebook_retravaill!N622,[1]Result_notebook_retravaill!H622)</f>
        <v>0</v>
      </c>
      <c r="I622" s="3">
        <f>[1]Result_notebook_retravaill!K622</f>
        <v>22761.562064606191</v>
      </c>
      <c r="J622" s="3">
        <f>MIN(G622,[1]Result_notebook_retravaill!I622)</f>
        <v>0</v>
      </c>
      <c r="K622" s="3">
        <f>IF([1]Result_notebook_retravaill!I622&gt;[1]Result_notebook_retravaill!G622,0,IF([1]Result_notebook_retravaill!I622+[1]Result_notebook_retravaill!J622&gt;[1]Result_notebook_retravaill!G622,[1]Result_notebook_retravaill!G622-[1]Result_notebook_retravaill!I622,[1]Result_notebook_retravaill!J622))</f>
        <v>0</v>
      </c>
      <c r="L622" s="3">
        <f>IF([1]Result_notebook_retravaill!I622&gt;[1]Result_notebook_retravaill!G622,0,IF([1]Result_notebook_retravaill!I622+[1]Result_notebook_retravaill!J622&gt;[1]Result_notebook_retravaill!G622,0,[1]Result_notebook_retravaill!M622))</f>
        <v>15933.093445224329</v>
      </c>
    </row>
    <row r="623" spans="1:12">
      <c r="A623">
        <f>[1]Result_notebook_retravaill!A623</f>
        <v>2031</v>
      </c>
      <c r="B623" t="str">
        <f>[1]Result_notebook_retravaill!B623</f>
        <v>Lithium</v>
      </c>
      <c r="C623" t="str">
        <f>[1]Result_notebook_retravaill!C623</f>
        <v>Current Measures</v>
      </c>
      <c r="D623" t="str">
        <f>[1]Result_notebook_retravaill!D623</f>
        <v>Existing production</v>
      </c>
      <c r="E623" t="str">
        <f>[1]Result_notebook_retravaill!E623</f>
        <v>Current shares</v>
      </c>
      <c r="F623" t="str">
        <f>[1]Result_notebook_retravaill!F623</f>
        <v>Status Quo</v>
      </c>
      <c r="G623">
        <f>[1]Result_notebook_retravaill!G623</f>
        <v>15933.093445224329</v>
      </c>
      <c r="H623" s="3">
        <f>IF([1]Result_notebook_retravaill!I623&gt;[1]Result_notebook_retravaill!G623,[1]Result_notebook_retravaill!I623/[1]Result_notebook_retravaill!N623,[1]Result_notebook_retravaill!H623)</f>
        <v>33882.764123705747</v>
      </c>
      <c r="I623" s="3">
        <f>[1]Result_notebook_retravaill!K623</f>
        <v>0</v>
      </c>
      <c r="J623" s="3">
        <f>MIN(G623,[1]Result_notebook_retravaill!I623)</f>
        <v>15933.093445224329</v>
      </c>
      <c r="K623" s="3">
        <f>IF([1]Result_notebook_retravaill!I623&gt;[1]Result_notebook_retravaill!G623,0,IF([1]Result_notebook_retravaill!I623+[1]Result_notebook_retravaill!J623&gt;[1]Result_notebook_retravaill!G623,[1]Result_notebook_retravaill!G623-[1]Result_notebook_retravaill!I623,[1]Result_notebook_retravaill!J623))</f>
        <v>0</v>
      </c>
      <c r="L623" s="3">
        <f>IF([1]Result_notebook_retravaill!I623&gt;[1]Result_notebook_retravaill!G623,0,IF([1]Result_notebook_retravaill!I623+[1]Result_notebook_retravaill!J623&gt;[1]Result_notebook_retravaill!G623,0,[1]Result_notebook_retravaill!M623))</f>
        <v>0</v>
      </c>
    </row>
    <row r="624" spans="1:12">
      <c r="A624">
        <f>[1]Result_notebook_retravaill!A624</f>
        <v>2031</v>
      </c>
      <c r="B624" t="str">
        <f>[1]Result_notebook_retravaill!B624</f>
        <v>Lithium</v>
      </c>
      <c r="C624" t="str">
        <f>[1]Result_notebook_retravaill!C624</f>
        <v>Current Measures</v>
      </c>
      <c r="D624" t="str">
        <f>[1]Result_notebook_retravaill!D624</f>
        <v>Production potential</v>
      </c>
      <c r="E624" t="str">
        <f>[1]Result_notebook_retravaill!E624</f>
        <v>Current shares</v>
      </c>
      <c r="F624" t="str">
        <f>[1]Result_notebook_retravaill!F624</f>
        <v>Expansion Extractive</v>
      </c>
      <c r="G624">
        <f>[1]Result_notebook_retravaill!G624</f>
        <v>15933.093445224329</v>
      </c>
      <c r="H624" s="3">
        <f>IF([1]Result_notebook_retravaill!I624&gt;[1]Result_notebook_retravaill!G624,[1]Result_notebook_retravaill!I624/[1]Result_notebook_retravaill!N624,[1]Result_notebook_retravaill!H624)</f>
        <v>128659.68945825951</v>
      </c>
      <c r="I624" s="3">
        <f>[1]Result_notebook_retravaill!K624</f>
        <v>0</v>
      </c>
      <c r="J624" s="3">
        <f>MIN(G624,[1]Result_notebook_retravaill!I624)</f>
        <v>15933.093445224329</v>
      </c>
      <c r="K624" s="3">
        <f>IF([1]Result_notebook_retravaill!I624&gt;[1]Result_notebook_retravaill!G624,0,IF([1]Result_notebook_retravaill!I624+[1]Result_notebook_retravaill!J624&gt;[1]Result_notebook_retravaill!G624,[1]Result_notebook_retravaill!G624-[1]Result_notebook_retravaill!I624,[1]Result_notebook_retravaill!J624))</f>
        <v>0</v>
      </c>
      <c r="L624" s="3">
        <f>IF([1]Result_notebook_retravaill!I624&gt;[1]Result_notebook_retravaill!G624,0,IF([1]Result_notebook_retravaill!I624+[1]Result_notebook_retravaill!J624&gt;[1]Result_notebook_retravaill!G624,0,[1]Result_notebook_retravaill!M624))</f>
        <v>0</v>
      </c>
    </row>
    <row r="625" spans="1:12">
      <c r="A625">
        <f>[1]Result_notebook_retravaill!A625</f>
        <v>2031</v>
      </c>
      <c r="B625" t="str">
        <f>[1]Result_notebook_retravaill!B625</f>
        <v>Lithium</v>
      </c>
      <c r="C625" t="str">
        <f>[1]Result_notebook_retravaill!C625</f>
        <v>Current Measures</v>
      </c>
      <c r="D625" t="str">
        <f>[1]Result_notebook_retravaill!D625</f>
        <v>Production potential</v>
      </c>
      <c r="E625" t="str">
        <f>[1]Result_notebook_retravaill!E625</f>
        <v>Current shares</v>
      </c>
      <c r="F625" t="str">
        <f>[1]Result_notebook_retravaill!F625</f>
        <v>Expansion Extractive+Circularity</v>
      </c>
      <c r="G625">
        <f>[1]Result_notebook_retravaill!G625</f>
        <v>15933.093445224329</v>
      </c>
      <c r="H625" s="3">
        <f>IF([1]Result_notebook_retravaill!I625&gt;[1]Result_notebook_retravaill!G625,[1]Result_notebook_retravaill!I625/[1]Result_notebook_retravaill!N625,[1]Result_notebook_retravaill!H625)</f>
        <v>128659.68945825951</v>
      </c>
      <c r="I625" s="3">
        <f>[1]Result_notebook_retravaill!K625</f>
        <v>0</v>
      </c>
      <c r="J625" s="3">
        <f>MIN(G625,[1]Result_notebook_retravaill!I625)</f>
        <v>15933.093445224329</v>
      </c>
      <c r="K625" s="3">
        <f>IF([1]Result_notebook_retravaill!I625&gt;[1]Result_notebook_retravaill!G625,0,IF([1]Result_notebook_retravaill!I625+[1]Result_notebook_retravaill!J625&gt;[1]Result_notebook_retravaill!G625,[1]Result_notebook_retravaill!G625-[1]Result_notebook_retravaill!I625,[1]Result_notebook_retravaill!J625))</f>
        <v>0</v>
      </c>
      <c r="L625" s="3">
        <f>IF([1]Result_notebook_retravaill!I625&gt;[1]Result_notebook_retravaill!G625,0,IF([1]Result_notebook_retravaill!I625+[1]Result_notebook_retravaill!J625&gt;[1]Result_notebook_retravaill!G625,0,[1]Result_notebook_retravaill!M625))</f>
        <v>0</v>
      </c>
    </row>
    <row r="626" spans="1:12">
      <c r="A626">
        <f>[1]Result_notebook_retravaill!A626</f>
        <v>2031</v>
      </c>
      <c r="B626" t="str">
        <f>[1]Result_notebook_retravaill!B626</f>
        <v>Lithium</v>
      </c>
      <c r="C626" t="str">
        <f>[1]Result_notebook_retravaill!C626</f>
        <v>Current Measures</v>
      </c>
      <c r="D626" t="str">
        <f>[1]Result_notebook_retravaill!D626</f>
        <v>Production potential</v>
      </c>
      <c r="E626" t="str">
        <f>[1]Result_notebook_retravaill!E626</f>
        <v>100% CAN</v>
      </c>
      <c r="F626" t="str">
        <f>[1]Result_notebook_retravaill!F626</f>
        <v>Integrated</v>
      </c>
      <c r="G626">
        <f>[1]Result_notebook_retravaill!G626</f>
        <v>15933.093445224329</v>
      </c>
      <c r="H626" s="3">
        <f>IF([1]Result_notebook_retravaill!I626&gt;[1]Result_notebook_retravaill!G626,[1]Result_notebook_retravaill!I626/[1]Result_notebook_retravaill!N626,[1]Result_notebook_retravaill!H626)</f>
        <v>128659.68945825951</v>
      </c>
      <c r="I626" s="3">
        <f>[1]Result_notebook_retravaill!K626</f>
        <v>0</v>
      </c>
      <c r="J626" s="3">
        <f>MIN(G626,[1]Result_notebook_retravaill!I626)</f>
        <v>15933.093445224329</v>
      </c>
      <c r="K626" s="3">
        <f>IF([1]Result_notebook_retravaill!I626&gt;[1]Result_notebook_retravaill!G626,0,IF([1]Result_notebook_retravaill!I626+[1]Result_notebook_retravaill!J626&gt;[1]Result_notebook_retravaill!G626,[1]Result_notebook_retravaill!G626-[1]Result_notebook_retravaill!I626,[1]Result_notebook_retravaill!J626))</f>
        <v>0</v>
      </c>
      <c r="L626" s="3">
        <f>IF([1]Result_notebook_retravaill!I626&gt;[1]Result_notebook_retravaill!G626,0,IF([1]Result_notebook_retravaill!I626+[1]Result_notebook_retravaill!J626&gt;[1]Result_notebook_retravaill!G626,0,[1]Result_notebook_retravaill!M626))</f>
        <v>0</v>
      </c>
    </row>
    <row r="627" spans="1:12">
      <c r="A627">
        <f>[1]Result_notebook_retravaill!A627</f>
        <v>2031</v>
      </c>
      <c r="B627" t="str">
        <f>[1]Result_notebook_retravaill!B627</f>
        <v>Lithium</v>
      </c>
      <c r="C627" t="str">
        <f>[1]Result_notebook_retravaill!C627</f>
        <v>Global Net-zero</v>
      </c>
      <c r="D627" t="str">
        <f>[1]Result_notebook_retravaill!D627</f>
        <v>Existing production</v>
      </c>
      <c r="E627" t="str">
        <f>[1]Result_notebook_retravaill!E627</f>
        <v>Current shares</v>
      </c>
      <c r="F627" t="str">
        <f>[1]Result_notebook_retravaill!F627</f>
        <v>NIMBY</v>
      </c>
      <c r="G627">
        <f>[1]Result_notebook_retravaill!G627</f>
        <v>34709.732425890121</v>
      </c>
      <c r="H627" s="3">
        <f>IF([1]Result_notebook_retravaill!I627&gt;[1]Result_notebook_retravaill!G627,[1]Result_notebook_retravaill!I627/[1]Result_notebook_retravaill!N627,[1]Result_notebook_retravaill!H627)</f>
        <v>0</v>
      </c>
      <c r="I627" s="3">
        <f>[1]Result_notebook_retravaill!K627</f>
        <v>49585.332036985892</v>
      </c>
      <c r="J627" s="3">
        <f>MIN(G627,[1]Result_notebook_retravaill!I627)</f>
        <v>0</v>
      </c>
      <c r="K627" s="3">
        <f>IF([1]Result_notebook_retravaill!I627&gt;[1]Result_notebook_retravaill!G627,0,IF([1]Result_notebook_retravaill!I627+[1]Result_notebook_retravaill!J627&gt;[1]Result_notebook_retravaill!G627,[1]Result_notebook_retravaill!G627-[1]Result_notebook_retravaill!I627,[1]Result_notebook_retravaill!J627))</f>
        <v>0</v>
      </c>
      <c r="L627" s="3">
        <f>IF([1]Result_notebook_retravaill!I627&gt;[1]Result_notebook_retravaill!G627,0,IF([1]Result_notebook_retravaill!I627+[1]Result_notebook_retravaill!J627&gt;[1]Result_notebook_retravaill!G627,0,[1]Result_notebook_retravaill!M627))</f>
        <v>34709.732425890121</v>
      </c>
    </row>
    <row r="628" spans="1:12">
      <c r="A628">
        <f>[1]Result_notebook_retravaill!A628</f>
        <v>2031</v>
      </c>
      <c r="B628" t="str">
        <f>[1]Result_notebook_retravaill!B628</f>
        <v>Lithium</v>
      </c>
      <c r="C628" t="str">
        <f>[1]Result_notebook_retravaill!C628</f>
        <v>Global Net-zero</v>
      </c>
      <c r="D628" t="str">
        <f>[1]Result_notebook_retravaill!D628</f>
        <v>Existing production</v>
      </c>
      <c r="E628" t="str">
        <f>[1]Result_notebook_retravaill!E628</f>
        <v>Current shares</v>
      </c>
      <c r="F628" t="str">
        <f>[1]Result_notebook_retravaill!F628</f>
        <v>Status Quo</v>
      </c>
      <c r="G628">
        <f>[1]Result_notebook_retravaill!G628</f>
        <v>34709.732425890121</v>
      </c>
      <c r="H628" s="3">
        <f>IF([1]Result_notebook_retravaill!I628&gt;[1]Result_notebook_retravaill!G628,[1]Result_notebook_retravaill!I628/[1]Result_notebook_retravaill!N628,[1]Result_notebook_retravaill!H628)</f>
        <v>38166</v>
      </c>
      <c r="I628" s="3">
        <f>[1]Result_notebook_retravaill!K628</f>
        <v>11419.33203698589</v>
      </c>
      <c r="J628" s="3">
        <f>MIN(G628,[1]Result_notebook_retravaill!I628)</f>
        <v>26684.54019296246</v>
      </c>
      <c r="K628" s="3">
        <f>IF([1]Result_notebook_retravaill!I628&gt;[1]Result_notebook_retravaill!G628,0,IF([1]Result_notebook_retravaill!I628+[1]Result_notebook_retravaill!J628&gt;[1]Result_notebook_retravaill!G628,[1]Result_notebook_retravaill!G628-[1]Result_notebook_retravaill!I628,[1]Result_notebook_retravaill!J628))</f>
        <v>3373.2838170940922</v>
      </c>
      <c r="L628" s="3">
        <f>IF([1]Result_notebook_retravaill!I628&gt;[1]Result_notebook_retravaill!G628,0,IF([1]Result_notebook_retravaill!I628+[1]Result_notebook_retravaill!J628&gt;[1]Result_notebook_retravaill!G628,0,[1]Result_notebook_retravaill!M628))</f>
        <v>4651.9084158335681</v>
      </c>
    </row>
    <row r="629" spans="1:12">
      <c r="A629">
        <f>[1]Result_notebook_retravaill!A629</f>
        <v>2031</v>
      </c>
      <c r="B629" t="str">
        <f>[1]Result_notebook_retravaill!B629</f>
        <v>Lithium</v>
      </c>
      <c r="C629" t="str">
        <f>[1]Result_notebook_retravaill!C629</f>
        <v>Global Net-zero</v>
      </c>
      <c r="D629" t="str">
        <f>[1]Result_notebook_retravaill!D629</f>
        <v>Production potential</v>
      </c>
      <c r="E629" t="str">
        <f>[1]Result_notebook_retravaill!E629</f>
        <v>Current shares</v>
      </c>
      <c r="F629" t="str">
        <f>[1]Result_notebook_retravaill!F629</f>
        <v>Expansion Extractive</v>
      </c>
      <c r="G629">
        <f>[1]Result_notebook_retravaill!G629</f>
        <v>34709.732425890121</v>
      </c>
      <c r="H629" s="3">
        <f>IF([1]Result_notebook_retravaill!I629&gt;[1]Result_notebook_retravaill!G629,[1]Result_notebook_retravaill!I629/[1]Result_notebook_retravaill!N629,[1]Result_notebook_retravaill!H629)</f>
        <v>128659.68945825951</v>
      </c>
      <c r="I629" s="3">
        <f>[1]Result_notebook_retravaill!K629</f>
        <v>0</v>
      </c>
      <c r="J629" s="3">
        <f>MIN(G629,[1]Result_notebook_retravaill!I629)</f>
        <v>34709.732425890121</v>
      </c>
      <c r="K629" s="3">
        <f>IF([1]Result_notebook_retravaill!I629&gt;[1]Result_notebook_retravaill!G629,0,IF([1]Result_notebook_retravaill!I629+[1]Result_notebook_retravaill!J629&gt;[1]Result_notebook_retravaill!G629,[1]Result_notebook_retravaill!G629-[1]Result_notebook_retravaill!I629,[1]Result_notebook_retravaill!J629))</f>
        <v>0</v>
      </c>
      <c r="L629" s="3">
        <f>IF([1]Result_notebook_retravaill!I629&gt;[1]Result_notebook_retravaill!G629,0,IF([1]Result_notebook_retravaill!I629+[1]Result_notebook_retravaill!J629&gt;[1]Result_notebook_retravaill!G629,0,[1]Result_notebook_retravaill!M629))</f>
        <v>0</v>
      </c>
    </row>
    <row r="630" spans="1:12">
      <c r="A630">
        <f>[1]Result_notebook_retravaill!A630</f>
        <v>2031</v>
      </c>
      <c r="B630" t="str">
        <f>[1]Result_notebook_retravaill!B630</f>
        <v>Lithium</v>
      </c>
      <c r="C630" t="str">
        <f>[1]Result_notebook_retravaill!C630</f>
        <v>Global Net-zero</v>
      </c>
      <c r="D630" t="str">
        <f>[1]Result_notebook_retravaill!D630</f>
        <v>Production potential</v>
      </c>
      <c r="E630" t="str">
        <f>[1]Result_notebook_retravaill!E630</f>
        <v>Current shares</v>
      </c>
      <c r="F630" t="str">
        <f>[1]Result_notebook_retravaill!F630</f>
        <v>Expansion Extractive+Circularity</v>
      </c>
      <c r="G630">
        <f>[1]Result_notebook_retravaill!G630</f>
        <v>34709.732425890121</v>
      </c>
      <c r="H630" s="3">
        <f>IF([1]Result_notebook_retravaill!I630&gt;[1]Result_notebook_retravaill!G630,[1]Result_notebook_retravaill!I630/[1]Result_notebook_retravaill!N630,[1]Result_notebook_retravaill!H630)</f>
        <v>128659.68945825951</v>
      </c>
      <c r="I630" s="3">
        <f>[1]Result_notebook_retravaill!K630</f>
        <v>0</v>
      </c>
      <c r="J630" s="3">
        <f>MIN(G630,[1]Result_notebook_retravaill!I630)</f>
        <v>34709.732425890121</v>
      </c>
      <c r="K630" s="3">
        <f>IF([1]Result_notebook_retravaill!I630&gt;[1]Result_notebook_retravaill!G630,0,IF([1]Result_notebook_retravaill!I630+[1]Result_notebook_retravaill!J630&gt;[1]Result_notebook_retravaill!G630,[1]Result_notebook_retravaill!G630-[1]Result_notebook_retravaill!I630,[1]Result_notebook_retravaill!J630))</f>
        <v>0</v>
      </c>
      <c r="L630" s="3">
        <f>IF([1]Result_notebook_retravaill!I630&gt;[1]Result_notebook_retravaill!G630,0,IF([1]Result_notebook_retravaill!I630+[1]Result_notebook_retravaill!J630&gt;[1]Result_notebook_retravaill!G630,0,[1]Result_notebook_retravaill!M630))</f>
        <v>0</v>
      </c>
    </row>
    <row r="631" spans="1:12">
      <c r="A631">
        <f>[1]Result_notebook_retravaill!A631</f>
        <v>2031</v>
      </c>
      <c r="B631" t="str">
        <f>[1]Result_notebook_retravaill!B631</f>
        <v>Lithium</v>
      </c>
      <c r="C631" t="str">
        <f>[1]Result_notebook_retravaill!C631</f>
        <v>Global Net-zero</v>
      </c>
      <c r="D631" t="str">
        <f>[1]Result_notebook_retravaill!D631</f>
        <v>Production potential</v>
      </c>
      <c r="E631" t="str">
        <f>[1]Result_notebook_retravaill!E631</f>
        <v>100% CAN</v>
      </c>
      <c r="F631" t="str">
        <f>[1]Result_notebook_retravaill!F631</f>
        <v>Integrated</v>
      </c>
      <c r="G631">
        <f>[1]Result_notebook_retravaill!G631</f>
        <v>34709.732425890121</v>
      </c>
      <c r="H631" s="3">
        <f>IF([1]Result_notebook_retravaill!I631&gt;[1]Result_notebook_retravaill!G631,[1]Result_notebook_retravaill!I631/[1]Result_notebook_retravaill!N631,[1]Result_notebook_retravaill!H631)</f>
        <v>128659.68945825951</v>
      </c>
      <c r="I631" s="3">
        <f>[1]Result_notebook_retravaill!K631</f>
        <v>0</v>
      </c>
      <c r="J631" s="3">
        <f>MIN(G631,[1]Result_notebook_retravaill!I631)</f>
        <v>34709.732425890121</v>
      </c>
      <c r="K631" s="3">
        <f>IF([1]Result_notebook_retravaill!I631&gt;[1]Result_notebook_retravaill!G631,0,IF([1]Result_notebook_retravaill!I631+[1]Result_notebook_retravaill!J631&gt;[1]Result_notebook_retravaill!G631,[1]Result_notebook_retravaill!G631-[1]Result_notebook_retravaill!I631,[1]Result_notebook_retravaill!J631))</f>
        <v>0</v>
      </c>
      <c r="L631" s="3">
        <f>IF([1]Result_notebook_retravaill!I631&gt;[1]Result_notebook_retravaill!G631,0,IF([1]Result_notebook_retravaill!I631+[1]Result_notebook_retravaill!J631&gt;[1]Result_notebook_retravaill!G631,0,[1]Result_notebook_retravaill!M631))</f>
        <v>0</v>
      </c>
    </row>
    <row r="632" spans="1:12">
      <c r="A632">
        <f>[1]Result_notebook_retravaill!A632</f>
        <v>2032</v>
      </c>
      <c r="B632" t="str">
        <f>[1]Result_notebook_retravaill!B632</f>
        <v>Cobalt</v>
      </c>
      <c r="C632" t="str">
        <f>[1]Result_notebook_retravaill!C632</f>
        <v>Canada Net-zero</v>
      </c>
      <c r="D632" t="str">
        <f>[1]Result_notebook_retravaill!D632</f>
        <v>Existing production</v>
      </c>
      <c r="E632" t="str">
        <f>[1]Result_notebook_retravaill!E632</f>
        <v>Current shares</v>
      </c>
      <c r="F632" t="str">
        <f>[1]Result_notebook_retravaill!F632</f>
        <v>NIMBY</v>
      </c>
      <c r="G632">
        <f>[1]Result_notebook_retravaill!G632</f>
        <v>92402.4738250386</v>
      </c>
      <c r="H632" s="3">
        <f>IF([1]Result_notebook_retravaill!I632&gt;[1]Result_notebook_retravaill!G632,[1]Result_notebook_retravaill!I632/[1]Result_notebook_retravaill!N632,[1]Result_notebook_retravaill!H632)</f>
        <v>0</v>
      </c>
      <c r="I632" s="3">
        <f>[1]Result_notebook_retravaill!K632</f>
        <v>210005.62232963319</v>
      </c>
      <c r="J632" s="3">
        <f>MIN(G632,[1]Result_notebook_retravaill!I632)</f>
        <v>0</v>
      </c>
      <c r="K632" s="3">
        <f>IF([1]Result_notebook_retravaill!I632&gt;[1]Result_notebook_retravaill!G632,0,IF([1]Result_notebook_retravaill!I632+[1]Result_notebook_retravaill!J632&gt;[1]Result_notebook_retravaill!G632,[1]Result_notebook_retravaill!G632-[1]Result_notebook_retravaill!I632,[1]Result_notebook_retravaill!J632))</f>
        <v>0</v>
      </c>
      <c r="L632" s="3">
        <f>IF([1]Result_notebook_retravaill!I632&gt;[1]Result_notebook_retravaill!G632,0,IF([1]Result_notebook_retravaill!I632+[1]Result_notebook_retravaill!J632&gt;[1]Result_notebook_retravaill!G632,0,[1]Result_notebook_retravaill!M632))</f>
        <v>92402.4738250386</v>
      </c>
    </row>
    <row r="633" spans="1:12">
      <c r="A633">
        <f>[1]Result_notebook_retravaill!A633</f>
        <v>2032</v>
      </c>
      <c r="B633" t="str">
        <f>[1]Result_notebook_retravaill!B633</f>
        <v>Cobalt</v>
      </c>
      <c r="C633" t="str">
        <f>[1]Result_notebook_retravaill!C633</f>
        <v>Canada Net-zero</v>
      </c>
      <c r="D633" t="str">
        <f>[1]Result_notebook_retravaill!D633</f>
        <v>Existing production</v>
      </c>
      <c r="E633" t="str">
        <f>[1]Result_notebook_retravaill!E633</f>
        <v>Current shares</v>
      </c>
      <c r="F633" t="str">
        <f>[1]Result_notebook_retravaill!F633</f>
        <v>Status Quo</v>
      </c>
      <c r="G633">
        <f>[1]Result_notebook_retravaill!G633</f>
        <v>92402.4738250386</v>
      </c>
      <c r="H633" s="3">
        <f>IF([1]Result_notebook_retravaill!I633&gt;[1]Result_notebook_retravaill!G633,[1]Result_notebook_retravaill!I633/[1]Result_notebook_retravaill!N633,[1]Result_notebook_retravaill!H633)</f>
        <v>3392</v>
      </c>
      <c r="I633" s="3">
        <f>[1]Result_notebook_retravaill!K633</f>
        <v>206613.62232963319</v>
      </c>
      <c r="J633" s="3">
        <f>MIN(G633,[1]Result_notebook_retravaill!I633)</f>
        <v>1438.824761843257</v>
      </c>
      <c r="K633" s="3">
        <f>IF([1]Result_notebook_retravaill!I633&gt;[1]Result_notebook_retravaill!G633,0,IF([1]Result_notebook_retravaill!I633+[1]Result_notebook_retravaill!J633&gt;[1]Result_notebook_retravaill!G633,[1]Result_notebook_retravaill!G633-[1]Result_notebook_retravaill!I633,[1]Result_notebook_retravaill!J633))</f>
        <v>51.438788966972425</v>
      </c>
      <c r="L633" s="3">
        <f>IF([1]Result_notebook_retravaill!I633&gt;[1]Result_notebook_retravaill!G633,0,IF([1]Result_notebook_retravaill!I633+[1]Result_notebook_retravaill!J633&gt;[1]Result_notebook_retravaill!G633,0,[1]Result_notebook_retravaill!M633))</f>
        <v>90912.210274228375</v>
      </c>
    </row>
    <row r="634" spans="1:12">
      <c r="A634">
        <f>[1]Result_notebook_retravaill!A634</f>
        <v>2032</v>
      </c>
      <c r="B634" t="str">
        <f>[1]Result_notebook_retravaill!B634</f>
        <v>Cobalt</v>
      </c>
      <c r="C634" t="str">
        <f>[1]Result_notebook_retravaill!C634</f>
        <v>Canada Net-zero</v>
      </c>
      <c r="D634" t="str">
        <f>[1]Result_notebook_retravaill!D634</f>
        <v>Production potential</v>
      </c>
      <c r="E634" t="str">
        <f>[1]Result_notebook_retravaill!E634</f>
        <v>Current shares</v>
      </c>
      <c r="F634" t="str">
        <f>[1]Result_notebook_retravaill!F634</f>
        <v>Expansion Extractive</v>
      </c>
      <c r="G634">
        <f>[1]Result_notebook_retravaill!G634</f>
        <v>92402.4738250386</v>
      </c>
      <c r="H634" s="3">
        <f>IF([1]Result_notebook_retravaill!I634&gt;[1]Result_notebook_retravaill!G634,[1]Result_notebook_retravaill!I634/[1]Result_notebook_retravaill!N634,[1]Result_notebook_retravaill!H634)</f>
        <v>10201.72293008911</v>
      </c>
      <c r="I634" s="3">
        <f>[1]Result_notebook_retravaill!K634</f>
        <v>199803.89939954411</v>
      </c>
      <c r="J634" s="3">
        <f>MIN(G634,[1]Result_notebook_retravaill!I634)</f>
        <v>4327.3854850460966</v>
      </c>
      <c r="K634" s="3">
        <f>IF([1]Result_notebook_retravaill!I634&gt;[1]Result_notebook_retravaill!G634,0,IF([1]Result_notebook_retravaill!I634+[1]Result_notebook_retravaill!J634&gt;[1]Result_notebook_retravaill!G634,[1]Result_notebook_retravaill!G634-[1]Result_notebook_retravaill!I634,[1]Result_notebook_retravaill!J634))</f>
        <v>154.70644837864802</v>
      </c>
      <c r="L634" s="3">
        <f>IF([1]Result_notebook_retravaill!I634&gt;[1]Result_notebook_retravaill!G634,0,IF([1]Result_notebook_retravaill!I634+[1]Result_notebook_retravaill!J634&gt;[1]Result_notebook_retravaill!G634,0,[1]Result_notebook_retravaill!M634))</f>
        <v>87920.381891613855</v>
      </c>
    </row>
    <row r="635" spans="1:12">
      <c r="A635">
        <f>[1]Result_notebook_retravaill!A635</f>
        <v>2032</v>
      </c>
      <c r="B635" t="str">
        <f>[1]Result_notebook_retravaill!B635</f>
        <v>Cobalt</v>
      </c>
      <c r="C635" t="str">
        <f>[1]Result_notebook_retravaill!C635</f>
        <v>Canada Net-zero</v>
      </c>
      <c r="D635" t="str">
        <f>[1]Result_notebook_retravaill!D635</f>
        <v>Production potential</v>
      </c>
      <c r="E635" t="str">
        <f>[1]Result_notebook_retravaill!E635</f>
        <v>Current shares</v>
      </c>
      <c r="F635" t="str">
        <f>[1]Result_notebook_retravaill!F635</f>
        <v>Expansion Extractive+Circularity</v>
      </c>
      <c r="G635">
        <f>[1]Result_notebook_retravaill!G635</f>
        <v>92402.4738250386</v>
      </c>
      <c r="H635" s="3">
        <f>IF([1]Result_notebook_retravaill!I635&gt;[1]Result_notebook_retravaill!G635,[1]Result_notebook_retravaill!I635/[1]Result_notebook_retravaill!N635,[1]Result_notebook_retravaill!H635)</f>
        <v>10201.72293008911</v>
      </c>
      <c r="I635" s="3">
        <f>[1]Result_notebook_retravaill!K635</f>
        <v>199803.89939954411</v>
      </c>
      <c r="J635" s="3">
        <f>MIN(G635,[1]Result_notebook_retravaill!I635)</f>
        <v>4327.3854850460966</v>
      </c>
      <c r="K635" s="3">
        <f>IF([1]Result_notebook_retravaill!I635&gt;[1]Result_notebook_retravaill!G635,0,IF([1]Result_notebook_retravaill!I635+[1]Result_notebook_retravaill!J635&gt;[1]Result_notebook_retravaill!G635,[1]Result_notebook_retravaill!G635-[1]Result_notebook_retravaill!I635,[1]Result_notebook_retravaill!J635))</f>
        <v>154.70644837864802</v>
      </c>
      <c r="L635" s="3">
        <f>IF([1]Result_notebook_retravaill!I635&gt;[1]Result_notebook_retravaill!G635,0,IF([1]Result_notebook_retravaill!I635+[1]Result_notebook_retravaill!J635&gt;[1]Result_notebook_retravaill!G635,0,[1]Result_notebook_retravaill!M635))</f>
        <v>87920.381891613855</v>
      </c>
    </row>
    <row r="636" spans="1:12">
      <c r="A636">
        <f>[1]Result_notebook_retravaill!A636</f>
        <v>2032</v>
      </c>
      <c r="B636" t="str">
        <f>[1]Result_notebook_retravaill!B636</f>
        <v>Cobalt</v>
      </c>
      <c r="C636" t="str">
        <f>[1]Result_notebook_retravaill!C636</f>
        <v>Canada Net-zero</v>
      </c>
      <c r="D636" t="str">
        <f>[1]Result_notebook_retravaill!D636</f>
        <v>Production potential</v>
      </c>
      <c r="E636" t="str">
        <f>[1]Result_notebook_retravaill!E636</f>
        <v>100% CAN</v>
      </c>
      <c r="F636" t="str">
        <f>[1]Result_notebook_retravaill!F636</f>
        <v>Integrated</v>
      </c>
      <c r="G636">
        <f>[1]Result_notebook_retravaill!G636</f>
        <v>92402.4738250386</v>
      </c>
      <c r="H636" s="3">
        <f>IF([1]Result_notebook_retravaill!I636&gt;[1]Result_notebook_retravaill!G636,[1]Result_notebook_retravaill!I636/[1]Result_notebook_retravaill!N636,[1]Result_notebook_retravaill!H636)</f>
        <v>10201.72293008911</v>
      </c>
      <c r="I636" s="3">
        <f>[1]Result_notebook_retravaill!K636</f>
        <v>199803.89939954411</v>
      </c>
      <c r="J636" s="3">
        <f>MIN(G636,[1]Result_notebook_retravaill!I636)</f>
        <v>4482.0919334247501</v>
      </c>
      <c r="K636" s="3">
        <f>IF([1]Result_notebook_retravaill!I636&gt;[1]Result_notebook_retravaill!G636,0,IF([1]Result_notebook_retravaill!I636+[1]Result_notebook_retravaill!J636&gt;[1]Result_notebook_retravaill!G636,[1]Result_notebook_retravaill!G636-[1]Result_notebook_retravaill!I636,[1]Result_notebook_retravaill!J636))</f>
        <v>0</v>
      </c>
      <c r="L636" s="3">
        <f>IF([1]Result_notebook_retravaill!I636&gt;[1]Result_notebook_retravaill!G636,0,IF([1]Result_notebook_retravaill!I636+[1]Result_notebook_retravaill!J636&gt;[1]Result_notebook_retravaill!G636,0,[1]Result_notebook_retravaill!M636))</f>
        <v>87920.381891613855</v>
      </c>
    </row>
    <row r="637" spans="1:12">
      <c r="A637">
        <f>[1]Result_notebook_retravaill!A637</f>
        <v>2032</v>
      </c>
      <c r="B637" t="str">
        <f>[1]Result_notebook_retravaill!B637</f>
        <v>Cobalt</v>
      </c>
      <c r="C637" t="str">
        <f>[1]Result_notebook_retravaill!C637</f>
        <v>Current Measures</v>
      </c>
      <c r="D637" t="str">
        <f>[1]Result_notebook_retravaill!D637</f>
        <v>Existing production</v>
      </c>
      <c r="E637" t="str">
        <f>[1]Result_notebook_retravaill!E637</f>
        <v>Current shares</v>
      </c>
      <c r="F637" t="str">
        <f>[1]Result_notebook_retravaill!F637</f>
        <v>NIMBY</v>
      </c>
      <c r="G637">
        <f>[1]Result_notebook_retravaill!G637</f>
        <v>38753.635859275622</v>
      </c>
      <c r="H637" s="3">
        <f>IF([1]Result_notebook_retravaill!I637&gt;[1]Result_notebook_retravaill!G637,[1]Result_notebook_retravaill!I637/[1]Result_notebook_retravaill!N637,[1]Result_notebook_retravaill!H637)</f>
        <v>0</v>
      </c>
      <c r="I637" s="3">
        <f>[1]Result_notebook_retravaill!K637</f>
        <v>88076.445134717316</v>
      </c>
      <c r="J637" s="3">
        <f>MIN(G637,[1]Result_notebook_retravaill!I637)</f>
        <v>0</v>
      </c>
      <c r="K637" s="3">
        <f>IF([1]Result_notebook_retravaill!I637&gt;[1]Result_notebook_retravaill!G637,0,IF([1]Result_notebook_retravaill!I637+[1]Result_notebook_retravaill!J637&gt;[1]Result_notebook_retravaill!G637,[1]Result_notebook_retravaill!G637-[1]Result_notebook_retravaill!I637,[1]Result_notebook_retravaill!J637))</f>
        <v>0</v>
      </c>
      <c r="L637" s="3">
        <f>IF([1]Result_notebook_retravaill!I637&gt;[1]Result_notebook_retravaill!G637,0,IF([1]Result_notebook_retravaill!I637+[1]Result_notebook_retravaill!J637&gt;[1]Result_notebook_retravaill!G637,0,[1]Result_notebook_retravaill!M637))</f>
        <v>38753.635859275622</v>
      </c>
    </row>
    <row r="638" spans="1:12">
      <c r="A638">
        <f>[1]Result_notebook_retravaill!A638</f>
        <v>2032</v>
      </c>
      <c r="B638" t="str">
        <f>[1]Result_notebook_retravaill!B638</f>
        <v>Cobalt</v>
      </c>
      <c r="C638" t="str">
        <f>[1]Result_notebook_retravaill!C638</f>
        <v>Current Measures</v>
      </c>
      <c r="D638" t="str">
        <f>[1]Result_notebook_retravaill!D638</f>
        <v>Existing production</v>
      </c>
      <c r="E638" t="str">
        <f>[1]Result_notebook_retravaill!E638</f>
        <v>Current shares</v>
      </c>
      <c r="F638" t="str">
        <f>[1]Result_notebook_retravaill!F638</f>
        <v>Status Quo</v>
      </c>
      <c r="G638">
        <f>[1]Result_notebook_retravaill!G638</f>
        <v>38753.635859275622</v>
      </c>
      <c r="H638" s="3">
        <f>IF([1]Result_notebook_retravaill!I638&gt;[1]Result_notebook_retravaill!G638,[1]Result_notebook_retravaill!I638/[1]Result_notebook_retravaill!N638,[1]Result_notebook_retravaill!H638)</f>
        <v>3392</v>
      </c>
      <c r="I638" s="3">
        <f>[1]Result_notebook_retravaill!K638</f>
        <v>84684.445134717316</v>
      </c>
      <c r="J638" s="3">
        <f>MIN(G638,[1]Result_notebook_retravaill!I638)</f>
        <v>1438.824761843257</v>
      </c>
      <c r="K638" s="3">
        <f>IF([1]Result_notebook_retravaill!I638&gt;[1]Result_notebook_retravaill!G638,0,IF([1]Result_notebook_retravaill!I638+[1]Result_notebook_retravaill!J638&gt;[1]Result_notebook_retravaill!G638,[1]Result_notebook_retravaill!G638-[1]Result_notebook_retravaill!I638,[1]Result_notebook_retravaill!J638))</f>
        <v>51.438788966972425</v>
      </c>
      <c r="L638" s="3">
        <f>IF([1]Result_notebook_retravaill!I638&gt;[1]Result_notebook_retravaill!G638,0,IF([1]Result_notebook_retravaill!I638+[1]Result_notebook_retravaill!J638&gt;[1]Result_notebook_retravaill!G638,0,[1]Result_notebook_retravaill!M638))</f>
        <v>37263.372308465383</v>
      </c>
    </row>
    <row r="639" spans="1:12">
      <c r="A639">
        <f>[1]Result_notebook_retravaill!A639</f>
        <v>2032</v>
      </c>
      <c r="B639" t="str">
        <f>[1]Result_notebook_retravaill!B639</f>
        <v>Cobalt</v>
      </c>
      <c r="C639" t="str">
        <f>[1]Result_notebook_retravaill!C639</f>
        <v>Current Measures</v>
      </c>
      <c r="D639" t="str">
        <f>[1]Result_notebook_retravaill!D639</f>
        <v>Production potential</v>
      </c>
      <c r="E639" t="str">
        <f>[1]Result_notebook_retravaill!E639</f>
        <v>Current shares</v>
      </c>
      <c r="F639" t="str">
        <f>[1]Result_notebook_retravaill!F639</f>
        <v>Expansion Extractive</v>
      </c>
      <c r="G639">
        <f>[1]Result_notebook_retravaill!G639</f>
        <v>38753.635859275622</v>
      </c>
      <c r="H639" s="3">
        <f>IF([1]Result_notebook_retravaill!I639&gt;[1]Result_notebook_retravaill!G639,[1]Result_notebook_retravaill!I639/[1]Result_notebook_retravaill!N639,[1]Result_notebook_retravaill!H639)</f>
        <v>10201.72293008911</v>
      </c>
      <c r="I639" s="3">
        <f>[1]Result_notebook_retravaill!K639</f>
        <v>77874.722204628197</v>
      </c>
      <c r="J639" s="3">
        <f>MIN(G639,[1]Result_notebook_retravaill!I639)</f>
        <v>4327.3854850460966</v>
      </c>
      <c r="K639" s="3">
        <f>IF([1]Result_notebook_retravaill!I639&gt;[1]Result_notebook_retravaill!G639,0,IF([1]Result_notebook_retravaill!I639+[1]Result_notebook_retravaill!J639&gt;[1]Result_notebook_retravaill!G639,[1]Result_notebook_retravaill!G639-[1]Result_notebook_retravaill!I639,[1]Result_notebook_retravaill!J639))</f>
        <v>154.70644837864802</v>
      </c>
      <c r="L639" s="3">
        <f>IF([1]Result_notebook_retravaill!I639&gt;[1]Result_notebook_retravaill!G639,0,IF([1]Result_notebook_retravaill!I639+[1]Result_notebook_retravaill!J639&gt;[1]Result_notebook_retravaill!G639,0,[1]Result_notebook_retravaill!M639))</f>
        <v>34271.543925850878</v>
      </c>
    </row>
    <row r="640" spans="1:12">
      <c r="A640">
        <f>[1]Result_notebook_retravaill!A640</f>
        <v>2032</v>
      </c>
      <c r="B640" t="str">
        <f>[1]Result_notebook_retravaill!B640</f>
        <v>Cobalt</v>
      </c>
      <c r="C640" t="str">
        <f>[1]Result_notebook_retravaill!C640</f>
        <v>Current Measures</v>
      </c>
      <c r="D640" t="str">
        <f>[1]Result_notebook_retravaill!D640</f>
        <v>Production potential</v>
      </c>
      <c r="E640" t="str">
        <f>[1]Result_notebook_retravaill!E640</f>
        <v>Current shares</v>
      </c>
      <c r="F640" t="str">
        <f>[1]Result_notebook_retravaill!F640</f>
        <v>Expansion Extractive+Circularity</v>
      </c>
      <c r="G640">
        <f>[1]Result_notebook_retravaill!G640</f>
        <v>38753.635859275622</v>
      </c>
      <c r="H640" s="3">
        <f>IF([1]Result_notebook_retravaill!I640&gt;[1]Result_notebook_retravaill!G640,[1]Result_notebook_retravaill!I640/[1]Result_notebook_retravaill!N640,[1]Result_notebook_retravaill!H640)</f>
        <v>10201.72293008911</v>
      </c>
      <c r="I640" s="3">
        <f>[1]Result_notebook_retravaill!K640</f>
        <v>77874.722204628197</v>
      </c>
      <c r="J640" s="3">
        <f>MIN(G640,[1]Result_notebook_retravaill!I640)</f>
        <v>4327.3854850460966</v>
      </c>
      <c r="K640" s="3">
        <f>IF([1]Result_notebook_retravaill!I640&gt;[1]Result_notebook_retravaill!G640,0,IF([1]Result_notebook_retravaill!I640+[1]Result_notebook_retravaill!J640&gt;[1]Result_notebook_retravaill!G640,[1]Result_notebook_retravaill!G640-[1]Result_notebook_retravaill!I640,[1]Result_notebook_retravaill!J640))</f>
        <v>154.70644837864802</v>
      </c>
      <c r="L640" s="3">
        <f>IF([1]Result_notebook_retravaill!I640&gt;[1]Result_notebook_retravaill!G640,0,IF([1]Result_notebook_retravaill!I640+[1]Result_notebook_retravaill!J640&gt;[1]Result_notebook_retravaill!G640,0,[1]Result_notebook_retravaill!M640))</f>
        <v>34271.543925850878</v>
      </c>
    </row>
    <row r="641" spans="1:12">
      <c r="A641">
        <f>[1]Result_notebook_retravaill!A641</f>
        <v>2032</v>
      </c>
      <c r="B641" t="str">
        <f>[1]Result_notebook_retravaill!B641</f>
        <v>Cobalt</v>
      </c>
      <c r="C641" t="str">
        <f>[1]Result_notebook_retravaill!C641</f>
        <v>Current Measures</v>
      </c>
      <c r="D641" t="str">
        <f>[1]Result_notebook_retravaill!D641</f>
        <v>Production potential</v>
      </c>
      <c r="E641" t="str">
        <f>[1]Result_notebook_retravaill!E641</f>
        <v>100% CAN</v>
      </c>
      <c r="F641" t="str">
        <f>[1]Result_notebook_retravaill!F641</f>
        <v>Integrated</v>
      </c>
      <c r="G641">
        <f>[1]Result_notebook_retravaill!G641</f>
        <v>38753.635859275622</v>
      </c>
      <c r="H641" s="3">
        <f>IF([1]Result_notebook_retravaill!I641&gt;[1]Result_notebook_retravaill!G641,[1]Result_notebook_retravaill!I641/[1]Result_notebook_retravaill!N641,[1]Result_notebook_retravaill!H641)</f>
        <v>10201.72293008911</v>
      </c>
      <c r="I641" s="3">
        <f>[1]Result_notebook_retravaill!K641</f>
        <v>77874.722204628197</v>
      </c>
      <c r="J641" s="3">
        <f>MIN(G641,[1]Result_notebook_retravaill!I641)</f>
        <v>4482.0919334247501</v>
      </c>
      <c r="K641" s="3">
        <f>IF([1]Result_notebook_retravaill!I641&gt;[1]Result_notebook_retravaill!G641,0,IF([1]Result_notebook_retravaill!I641+[1]Result_notebook_retravaill!J641&gt;[1]Result_notebook_retravaill!G641,[1]Result_notebook_retravaill!G641-[1]Result_notebook_retravaill!I641,[1]Result_notebook_retravaill!J641))</f>
        <v>0</v>
      </c>
      <c r="L641" s="3">
        <f>IF([1]Result_notebook_retravaill!I641&gt;[1]Result_notebook_retravaill!G641,0,IF([1]Result_notebook_retravaill!I641+[1]Result_notebook_retravaill!J641&gt;[1]Result_notebook_retravaill!G641,0,[1]Result_notebook_retravaill!M641))</f>
        <v>34271.54392585087</v>
      </c>
    </row>
    <row r="642" spans="1:12">
      <c r="A642">
        <f>[1]Result_notebook_retravaill!A642</f>
        <v>2032</v>
      </c>
      <c r="B642" t="str">
        <f>[1]Result_notebook_retravaill!B642</f>
        <v>Cobalt</v>
      </c>
      <c r="C642" t="str">
        <f>[1]Result_notebook_retravaill!C642</f>
        <v>Global Net-zero</v>
      </c>
      <c r="D642" t="str">
        <f>[1]Result_notebook_retravaill!D642</f>
        <v>Existing production</v>
      </c>
      <c r="E642" t="str">
        <f>[1]Result_notebook_retravaill!E642</f>
        <v>Current shares</v>
      </c>
      <c r="F642" t="str">
        <f>[1]Result_notebook_retravaill!F642</f>
        <v>NIMBY</v>
      </c>
      <c r="G642">
        <f>[1]Result_notebook_retravaill!G642</f>
        <v>87567.768233932453</v>
      </c>
      <c r="H642" s="3">
        <f>IF([1]Result_notebook_retravaill!I642&gt;[1]Result_notebook_retravaill!G642,[1]Result_notebook_retravaill!I642/[1]Result_notebook_retravaill!N642,[1]Result_notebook_retravaill!H642)</f>
        <v>0</v>
      </c>
      <c r="I642" s="3">
        <f>[1]Result_notebook_retravaill!K642</f>
        <v>199017.65507711921</v>
      </c>
      <c r="J642" s="3">
        <f>MIN(G642,[1]Result_notebook_retravaill!I642)</f>
        <v>0</v>
      </c>
      <c r="K642" s="3">
        <f>IF([1]Result_notebook_retravaill!I642&gt;[1]Result_notebook_retravaill!G642,0,IF([1]Result_notebook_retravaill!I642+[1]Result_notebook_retravaill!J642&gt;[1]Result_notebook_retravaill!G642,[1]Result_notebook_retravaill!G642-[1]Result_notebook_retravaill!I642,[1]Result_notebook_retravaill!J642))</f>
        <v>0</v>
      </c>
      <c r="L642" s="3">
        <f>IF([1]Result_notebook_retravaill!I642&gt;[1]Result_notebook_retravaill!G642,0,IF([1]Result_notebook_retravaill!I642+[1]Result_notebook_retravaill!J642&gt;[1]Result_notebook_retravaill!G642,0,[1]Result_notebook_retravaill!M642))</f>
        <v>87567.768233932453</v>
      </c>
    </row>
    <row r="643" spans="1:12">
      <c r="A643">
        <f>[1]Result_notebook_retravaill!A643</f>
        <v>2032</v>
      </c>
      <c r="B643" t="str">
        <f>[1]Result_notebook_retravaill!B643</f>
        <v>Cobalt</v>
      </c>
      <c r="C643" t="str">
        <f>[1]Result_notebook_retravaill!C643</f>
        <v>Global Net-zero</v>
      </c>
      <c r="D643" t="str">
        <f>[1]Result_notebook_retravaill!D643</f>
        <v>Existing production</v>
      </c>
      <c r="E643" t="str">
        <f>[1]Result_notebook_retravaill!E643</f>
        <v>Current shares</v>
      </c>
      <c r="F643" t="str">
        <f>[1]Result_notebook_retravaill!F643</f>
        <v>Status Quo</v>
      </c>
      <c r="G643">
        <f>[1]Result_notebook_retravaill!G643</f>
        <v>87567.768233932453</v>
      </c>
      <c r="H643" s="3">
        <f>IF([1]Result_notebook_retravaill!I643&gt;[1]Result_notebook_retravaill!G643,[1]Result_notebook_retravaill!I643/[1]Result_notebook_retravaill!N643,[1]Result_notebook_retravaill!H643)</f>
        <v>3392</v>
      </c>
      <c r="I643" s="3">
        <f>[1]Result_notebook_retravaill!K643</f>
        <v>195625.65507711921</v>
      </c>
      <c r="J643" s="3">
        <f>MIN(G643,[1]Result_notebook_retravaill!I643)</f>
        <v>1438.824761843257</v>
      </c>
      <c r="K643" s="3">
        <f>IF([1]Result_notebook_retravaill!I643&gt;[1]Result_notebook_retravaill!G643,0,IF([1]Result_notebook_retravaill!I643+[1]Result_notebook_retravaill!J643&gt;[1]Result_notebook_retravaill!G643,[1]Result_notebook_retravaill!G643-[1]Result_notebook_retravaill!I643,[1]Result_notebook_retravaill!J643))</f>
        <v>51.438788966972425</v>
      </c>
      <c r="L643" s="3">
        <f>IF([1]Result_notebook_retravaill!I643&gt;[1]Result_notebook_retravaill!G643,0,IF([1]Result_notebook_retravaill!I643+[1]Result_notebook_retravaill!J643&gt;[1]Result_notebook_retravaill!G643,0,[1]Result_notebook_retravaill!M643))</f>
        <v>86077.504683122228</v>
      </c>
    </row>
    <row r="644" spans="1:12">
      <c r="A644">
        <f>[1]Result_notebook_retravaill!A644</f>
        <v>2032</v>
      </c>
      <c r="B644" t="str">
        <f>[1]Result_notebook_retravaill!B644</f>
        <v>Cobalt</v>
      </c>
      <c r="C644" t="str">
        <f>[1]Result_notebook_retravaill!C644</f>
        <v>Global Net-zero</v>
      </c>
      <c r="D644" t="str">
        <f>[1]Result_notebook_retravaill!D644</f>
        <v>Production potential</v>
      </c>
      <c r="E644" t="str">
        <f>[1]Result_notebook_retravaill!E644</f>
        <v>Current shares</v>
      </c>
      <c r="F644" t="str">
        <f>[1]Result_notebook_retravaill!F644</f>
        <v>Expansion Extractive</v>
      </c>
      <c r="G644">
        <f>[1]Result_notebook_retravaill!G644</f>
        <v>87567.768233932453</v>
      </c>
      <c r="H644" s="3">
        <f>IF([1]Result_notebook_retravaill!I644&gt;[1]Result_notebook_retravaill!G644,[1]Result_notebook_retravaill!I644/[1]Result_notebook_retravaill!N644,[1]Result_notebook_retravaill!H644)</f>
        <v>10201.72293008911</v>
      </c>
      <c r="I644" s="3">
        <f>[1]Result_notebook_retravaill!K644</f>
        <v>188815.93214703011</v>
      </c>
      <c r="J644" s="3">
        <f>MIN(G644,[1]Result_notebook_retravaill!I644)</f>
        <v>4327.3854850460966</v>
      </c>
      <c r="K644" s="3">
        <f>IF([1]Result_notebook_retravaill!I644&gt;[1]Result_notebook_retravaill!G644,0,IF([1]Result_notebook_retravaill!I644+[1]Result_notebook_retravaill!J644&gt;[1]Result_notebook_retravaill!G644,[1]Result_notebook_retravaill!G644-[1]Result_notebook_retravaill!I644,[1]Result_notebook_retravaill!J644))</f>
        <v>154.70644837864802</v>
      </c>
      <c r="L644" s="3">
        <f>IF([1]Result_notebook_retravaill!I644&gt;[1]Result_notebook_retravaill!G644,0,IF([1]Result_notebook_retravaill!I644+[1]Result_notebook_retravaill!J644&gt;[1]Result_notebook_retravaill!G644,0,[1]Result_notebook_retravaill!M644))</f>
        <v>83085.676300507708</v>
      </c>
    </row>
    <row r="645" spans="1:12">
      <c r="A645">
        <f>[1]Result_notebook_retravaill!A645</f>
        <v>2032</v>
      </c>
      <c r="B645" t="str">
        <f>[1]Result_notebook_retravaill!B645</f>
        <v>Cobalt</v>
      </c>
      <c r="C645" t="str">
        <f>[1]Result_notebook_retravaill!C645</f>
        <v>Global Net-zero</v>
      </c>
      <c r="D645" t="str">
        <f>[1]Result_notebook_retravaill!D645</f>
        <v>Production potential</v>
      </c>
      <c r="E645" t="str">
        <f>[1]Result_notebook_retravaill!E645</f>
        <v>Current shares</v>
      </c>
      <c r="F645" t="str">
        <f>[1]Result_notebook_retravaill!F645</f>
        <v>Expansion Extractive+Circularity</v>
      </c>
      <c r="G645">
        <f>[1]Result_notebook_retravaill!G645</f>
        <v>87567.768233932453</v>
      </c>
      <c r="H645" s="3">
        <f>IF([1]Result_notebook_retravaill!I645&gt;[1]Result_notebook_retravaill!G645,[1]Result_notebook_retravaill!I645/[1]Result_notebook_retravaill!N645,[1]Result_notebook_retravaill!H645)</f>
        <v>10201.72293008911</v>
      </c>
      <c r="I645" s="3">
        <f>[1]Result_notebook_retravaill!K645</f>
        <v>188815.93214703011</v>
      </c>
      <c r="J645" s="3">
        <f>MIN(G645,[1]Result_notebook_retravaill!I645)</f>
        <v>4327.3854850460966</v>
      </c>
      <c r="K645" s="3">
        <f>IF([1]Result_notebook_retravaill!I645&gt;[1]Result_notebook_retravaill!G645,0,IF([1]Result_notebook_retravaill!I645+[1]Result_notebook_retravaill!J645&gt;[1]Result_notebook_retravaill!G645,[1]Result_notebook_retravaill!G645-[1]Result_notebook_retravaill!I645,[1]Result_notebook_retravaill!J645))</f>
        <v>154.70644837864802</v>
      </c>
      <c r="L645" s="3">
        <f>IF([1]Result_notebook_retravaill!I645&gt;[1]Result_notebook_retravaill!G645,0,IF([1]Result_notebook_retravaill!I645+[1]Result_notebook_retravaill!J645&gt;[1]Result_notebook_retravaill!G645,0,[1]Result_notebook_retravaill!M645))</f>
        <v>83085.676300507708</v>
      </c>
    </row>
    <row r="646" spans="1:12">
      <c r="A646">
        <f>[1]Result_notebook_retravaill!A646</f>
        <v>2032</v>
      </c>
      <c r="B646" t="str">
        <f>[1]Result_notebook_retravaill!B646</f>
        <v>Cobalt</v>
      </c>
      <c r="C646" t="str">
        <f>[1]Result_notebook_retravaill!C646</f>
        <v>Global Net-zero</v>
      </c>
      <c r="D646" t="str">
        <f>[1]Result_notebook_retravaill!D646</f>
        <v>Production potential</v>
      </c>
      <c r="E646" t="str">
        <f>[1]Result_notebook_retravaill!E646</f>
        <v>100% CAN</v>
      </c>
      <c r="F646" t="str">
        <f>[1]Result_notebook_retravaill!F646</f>
        <v>Integrated</v>
      </c>
      <c r="G646">
        <f>[1]Result_notebook_retravaill!G646</f>
        <v>87567.768233932453</v>
      </c>
      <c r="H646" s="3">
        <f>IF([1]Result_notebook_retravaill!I646&gt;[1]Result_notebook_retravaill!G646,[1]Result_notebook_retravaill!I646/[1]Result_notebook_retravaill!N646,[1]Result_notebook_retravaill!H646)</f>
        <v>10201.72293008911</v>
      </c>
      <c r="I646" s="3">
        <f>[1]Result_notebook_retravaill!K646</f>
        <v>188815.93214703011</v>
      </c>
      <c r="J646" s="3">
        <f>MIN(G646,[1]Result_notebook_retravaill!I646)</f>
        <v>4482.0919334247501</v>
      </c>
      <c r="K646" s="3">
        <f>IF([1]Result_notebook_retravaill!I646&gt;[1]Result_notebook_retravaill!G646,0,IF([1]Result_notebook_retravaill!I646+[1]Result_notebook_retravaill!J646&gt;[1]Result_notebook_retravaill!G646,[1]Result_notebook_retravaill!G646-[1]Result_notebook_retravaill!I646,[1]Result_notebook_retravaill!J646))</f>
        <v>0</v>
      </c>
      <c r="L646" s="3">
        <f>IF([1]Result_notebook_retravaill!I646&gt;[1]Result_notebook_retravaill!G646,0,IF([1]Result_notebook_retravaill!I646+[1]Result_notebook_retravaill!J646&gt;[1]Result_notebook_retravaill!G646,0,[1]Result_notebook_retravaill!M646))</f>
        <v>83085.676300507708</v>
      </c>
    </row>
    <row r="647" spans="1:12">
      <c r="A647">
        <f>[1]Result_notebook_retravaill!A647</f>
        <v>2032</v>
      </c>
      <c r="B647" t="str">
        <f>[1]Result_notebook_retravaill!B647</f>
        <v>Copper</v>
      </c>
      <c r="C647" t="str">
        <f>[1]Result_notebook_retravaill!C647</f>
        <v>Canada Net-zero</v>
      </c>
      <c r="D647" t="str">
        <f>[1]Result_notebook_retravaill!D647</f>
        <v>Existing production</v>
      </c>
      <c r="E647" t="str">
        <f>[1]Result_notebook_retravaill!E647</f>
        <v>Current shares</v>
      </c>
      <c r="F647" t="str">
        <f>[1]Result_notebook_retravaill!F647</f>
        <v>NIMBY</v>
      </c>
      <c r="G647">
        <f>[1]Result_notebook_retravaill!G647</f>
        <v>1157294.299877228</v>
      </c>
      <c r="H647" s="3">
        <f>IF([1]Result_notebook_retravaill!I647&gt;[1]Result_notebook_retravaill!G647,[1]Result_notebook_retravaill!I647/[1]Result_notebook_retravaill!N647,[1]Result_notebook_retravaill!H647)</f>
        <v>0</v>
      </c>
      <c r="I647" s="3">
        <f>[1]Result_notebook_retravaill!K647</f>
        <v>1394330.481779793</v>
      </c>
      <c r="J647" s="3">
        <f>MIN(G647,[1]Result_notebook_retravaill!I647)</f>
        <v>0</v>
      </c>
      <c r="K647" s="3">
        <f>IF([1]Result_notebook_retravaill!I647&gt;[1]Result_notebook_retravaill!G647,0,IF([1]Result_notebook_retravaill!I647+[1]Result_notebook_retravaill!J647&gt;[1]Result_notebook_retravaill!G647,[1]Result_notebook_retravaill!G647-[1]Result_notebook_retravaill!I647,[1]Result_notebook_retravaill!J647))</f>
        <v>0</v>
      </c>
      <c r="L647" s="3">
        <f>IF([1]Result_notebook_retravaill!I647&gt;[1]Result_notebook_retravaill!G647,0,IF([1]Result_notebook_retravaill!I647+[1]Result_notebook_retravaill!J647&gt;[1]Result_notebook_retravaill!G647,0,[1]Result_notebook_retravaill!M647))</f>
        <v>1157294.299877228</v>
      </c>
    </row>
    <row r="648" spans="1:12">
      <c r="A648">
        <f>[1]Result_notebook_retravaill!A648</f>
        <v>2032</v>
      </c>
      <c r="B648" t="str">
        <f>[1]Result_notebook_retravaill!B648</f>
        <v>Copper</v>
      </c>
      <c r="C648" t="str">
        <f>[1]Result_notebook_retravaill!C648</f>
        <v>Canada Net-zero</v>
      </c>
      <c r="D648" t="str">
        <f>[1]Result_notebook_retravaill!D648</f>
        <v>Existing production</v>
      </c>
      <c r="E648" t="str">
        <f>[1]Result_notebook_retravaill!E648</f>
        <v>Current shares</v>
      </c>
      <c r="F648" t="str">
        <f>[1]Result_notebook_retravaill!F648</f>
        <v>Status Quo</v>
      </c>
      <c r="G648">
        <f>[1]Result_notebook_retravaill!G648</f>
        <v>1157294.299877228</v>
      </c>
      <c r="H648" s="3">
        <f>IF([1]Result_notebook_retravaill!I648&gt;[1]Result_notebook_retravaill!G648,[1]Result_notebook_retravaill!I648/[1]Result_notebook_retravaill!N648,[1]Result_notebook_retravaill!H648)</f>
        <v>309453</v>
      </c>
      <c r="I648" s="3">
        <f>[1]Result_notebook_retravaill!K648</f>
        <v>1084877.481779793</v>
      </c>
      <c r="J648" s="3">
        <f>MIN(G648,[1]Result_notebook_retravaill!I648)</f>
        <v>162651.1851674339</v>
      </c>
      <c r="K648" s="3">
        <f>IF([1]Result_notebook_retravaill!I648&gt;[1]Result_notebook_retravaill!G648,0,IF([1]Result_notebook_retravaill!I648+[1]Result_notebook_retravaill!J648&gt;[1]Result_notebook_retravaill!G648,[1]Result_notebook_retravaill!G648-[1]Result_notebook_retravaill!I648,[1]Result_notebook_retravaill!J648))</f>
        <v>95663.395341040537</v>
      </c>
      <c r="L648" s="3">
        <f>IF([1]Result_notebook_retravaill!I648&gt;[1]Result_notebook_retravaill!G648,0,IF([1]Result_notebook_retravaill!I648+[1]Result_notebook_retravaill!J648&gt;[1]Result_notebook_retravaill!G648,0,[1]Result_notebook_retravaill!M648))</f>
        <v>898979.71936875349</v>
      </c>
    </row>
    <row r="649" spans="1:12">
      <c r="A649">
        <f>[1]Result_notebook_retravaill!A649</f>
        <v>2032</v>
      </c>
      <c r="B649" t="str">
        <f>[1]Result_notebook_retravaill!B649</f>
        <v>Copper</v>
      </c>
      <c r="C649" t="str">
        <f>[1]Result_notebook_retravaill!C649</f>
        <v>Canada Net-zero</v>
      </c>
      <c r="D649" t="str">
        <f>[1]Result_notebook_retravaill!D649</f>
        <v>Production potential</v>
      </c>
      <c r="E649" t="str">
        <f>[1]Result_notebook_retravaill!E649</f>
        <v>Current shares</v>
      </c>
      <c r="F649" t="str">
        <f>[1]Result_notebook_retravaill!F649</f>
        <v>Expansion Extractive</v>
      </c>
      <c r="G649">
        <f>[1]Result_notebook_retravaill!G649</f>
        <v>1157294.299877228</v>
      </c>
      <c r="H649" s="3">
        <f>IF([1]Result_notebook_retravaill!I649&gt;[1]Result_notebook_retravaill!G649,[1]Result_notebook_retravaill!I649/[1]Result_notebook_retravaill!N649,[1]Result_notebook_retravaill!H649)</f>
        <v>758265.43720270914</v>
      </c>
      <c r="I649" s="3">
        <f>[1]Result_notebook_retravaill!K649</f>
        <v>636065.04457708367</v>
      </c>
      <c r="J649" s="3">
        <f>MIN(G649,[1]Result_notebook_retravaill!I649)</f>
        <v>398550.90121124388</v>
      </c>
      <c r="K649" s="3">
        <f>IF([1]Result_notebook_retravaill!I649&gt;[1]Result_notebook_retravaill!G649,0,IF([1]Result_notebook_retravaill!I649+[1]Result_notebook_retravaill!J649&gt;[1]Result_notebook_retravaill!G649,[1]Result_notebook_retravaill!G649-[1]Result_notebook_retravaill!I649,[1]Result_notebook_retravaill!J649))</f>
        <v>234407.95950457657</v>
      </c>
      <c r="L649" s="3">
        <f>IF([1]Result_notebook_retravaill!I649&gt;[1]Result_notebook_retravaill!G649,0,IF([1]Result_notebook_retravaill!I649+[1]Result_notebook_retravaill!J649&gt;[1]Result_notebook_retravaill!G649,0,[1]Result_notebook_retravaill!M649))</f>
        <v>524335.43916140753</v>
      </c>
    </row>
    <row r="650" spans="1:12">
      <c r="A650">
        <f>[1]Result_notebook_retravaill!A650</f>
        <v>2032</v>
      </c>
      <c r="B650" t="str">
        <f>[1]Result_notebook_retravaill!B650</f>
        <v>Copper</v>
      </c>
      <c r="C650" t="str">
        <f>[1]Result_notebook_retravaill!C650</f>
        <v>Canada Net-zero</v>
      </c>
      <c r="D650" t="str">
        <f>[1]Result_notebook_retravaill!D650</f>
        <v>Production potential</v>
      </c>
      <c r="E650" t="str">
        <f>[1]Result_notebook_retravaill!E650</f>
        <v>Current shares</v>
      </c>
      <c r="F650" t="str">
        <f>[1]Result_notebook_retravaill!F650</f>
        <v>Expansion Extractive+Circularity</v>
      </c>
      <c r="G650">
        <f>[1]Result_notebook_retravaill!G650</f>
        <v>1157294.299877228</v>
      </c>
      <c r="H650" s="3">
        <f>IF([1]Result_notebook_retravaill!I650&gt;[1]Result_notebook_retravaill!G650,[1]Result_notebook_retravaill!I650/[1]Result_notebook_retravaill!N650,[1]Result_notebook_retravaill!H650)</f>
        <v>758265.43720270914</v>
      </c>
      <c r="I650" s="3">
        <f>[1]Result_notebook_retravaill!K650</f>
        <v>636065.04457708367</v>
      </c>
      <c r="J650" s="3">
        <f>MIN(G650,[1]Result_notebook_retravaill!I650)</f>
        <v>398550.90121124388</v>
      </c>
      <c r="K650" s="3">
        <f>IF([1]Result_notebook_retravaill!I650&gt;[1]Result_notebook_retravaill!G650,0,IF([1]Result_notebook_retravaill!I650+[1]Result_notebook_retravaill!J650&gt;[1]Result_notebook_retravaill!G650,[1]Result_notebook_retravaill!G650-[1]Result_notebook_retravaill!I650,[1]Result_notebook_retravaill!J650))</f>
        <v>234407.95950457657</v>
      </c>
      <c r="L650" s="3">
        <f>IF([1]Result_notebook_retravaill!I650&gt;[1]Result_notebook_retravaill!G650,0,IF([1]Result_notebook_retravaill!I650+[1]Result_notebook_retravaill!J650&gt;[1]Result_notebook_retravaill!G650,0,[1]Result_notebook_retravaill!M650))</f>
        <v>524335.43916140753</v>
      </c>
    </row>
    <row r="651" spans="1:12">
      <c r="A651">
        <f>[1]Result_notebook_retravaill!A651</f>
        <v>2032</v>
      </c>
      <c r="B651" t="str">
        <f>[1]Result_notebook_retravaill!B651</f>
        <v>Copper</v>
      </c>
      <c r="C651" t="str">
        <f>[1]Result_notebook_retravaill!C651</f>
        <v>Canada Net-zero</v>
      </c>
      <c r="D651" t="str">
        <f>[1]Result_notebook_retravaill!D651</f>
        <v>Production potential</v>
      </c>
      <c r="E651" t="str">
        <f>[1]Result_notebook_retravaill!E651</f>
        <v>100% CAN</v>
      </c>
      <c r="F651" t="str">
        <f>[1]Result_notebook_retravaill!F651</f>
        <v>Integrated</v>
      </c>
      <c r="G651">
        <f>[1]Result_notebook_retravaill!G651</f>
        <v>1157294.299877228</v>
      </c>
      <c r="H651" s="3">
        <f>IF([1]Result_notebook_retravaill!I651&gt;[1]Result_notebook_retravaill!G651,[1]Result_notebook_retravaill!I651/[1]Result_notebook_retravaill!N651,[1]Result_notebook_retravaill!H651)</f>
        <v>758265.43720270914</v>
      </c>
      <c r="I651" s="3">
        <f>[1]Result_notebook_retravaill!K651</f>
        <v>636065.04457708367</v>
      </c>
      <c r="J651" s="3">
        <f>MIN(G651,[1]Result_notebook_retravaill!I651)</f>
        <v>632958.8607158208</v>
      </c>
      <c r="K651" s="3">
        <f>IF([1]Result_notebook_retravaill!I651&gt;[1]Result_notebook_retravaill!G651,0,IF([1]Result_notebook_retravaill!I651+[1]Result_notebook_retravaill!J651&gt;[1]Result_notebook_retravaill!G651,[1]Result_notebook_retravaill!G651-[1]Result_notebook_retravaill!I651,[1]Result_notebook_retravaill!J651))</f>
        <v>0</v>
      </c>
      <c r="L651" s="3">
        <f>IF([1]Result_notebook_retravaill!I651&gt;[1]Result_notebook_retravaill!G651,0,IF([1]Result_notebook_retravaill!I651+[1]Result_notebook_retravaill!J651&gt;[1]Result_notebook_retravaill!G651,0,[1]Result_notebook_retravaill!M651))</f>
        <v>524335.43916140718</v>
      </c>
    </row>
    <row r="652" spans="1:12">
      <c r="A652">
        <f>[1]Result_notebook_retravaill!A652</f>
        <v>2032</v>
      </c>
      <c r="B652" t="str">
        <f>[1]Result_notebook_retravaill!B652</f>
        <v>Copper</v>
      </c>
      <c r="C652" t="str">
        <f>[1]Result_notebook_retravaill!C652</f>
        <v>Current Measures</v>
      </c>
      <c r="D652" t="str">
        <f>[1]Result_notebook_retravaill!D652</f>
        <v>Existing production</v>
      </c>
      <c r="E652" t="str">
        <f>[1]Result_notebook_retravaill!E652</f>
        <v>Current shares</v>
      </c>
      <c r="F652" t="str">
        <f>[1]Result_notebook_retravaill!F652</f>
        <v>NIMBY</v>
      </c>
      <c r="G652">
        <f>[1]Result_notebook_retravaill!G652</f>
        <v>989816.62019349821</v>
      </c>
      <c r="H652" s="3">
        <f>IF([1]Result_notebook_retravaill!I652&gt;[1]Result_notebook_retravaill!G652,[1]Result_notebook_retravaill!I652/[1]Result_notebook_retravaill!N652,[1]Result_notebook_retravaill!H652)</f>
        <v>0</v>
      </c>
      <c r="I652" s="3">
        <f>[1]Result_notebook_retravaill!K652</f>
        <v>1192550.144811444</v>
      </c>
      <c r="J652" s="3">
        <f>MIN(G652,[1]Result_notebook_retravaill!I652)</f>
        <v>0</v>
      </c>
      <c r="K652" s="3">
        <f>IF([1]Result_notebook_retravaill!I652&gt;[1]Result_notebook_retravaill!G652,0,IF([1]Result_notebook_retravaill!I652+[1]Result_notebook_retravaill!J652&gt;[1]Result_notebook_retravaill!G652,[1]Result_notebook_retravaill!G652-[1]Result_notebook_retravaill!I652,[1]Result_notebook_retravaill!J652))</f>
        <v>0</v>
      </c>
      <c r="L652" s="3">
        <f>IF([1]Result_notebook_retravaill!I652&gt;[1]Result_notebook_retravaill!G652,0,IF([1]Result_notebook_retravaill!I652+[1]Result_notebook_retravaill!J652&gt;[1]Result_notebook_retravaill!G652,0,[1]Result_notebook_retravaill!M652))</f>
        <v>989816.62019349821</v>
      </c>
    </row>
    <row r="653" spans="1:12">
      <c r="A653">
        <f>[1]Result_notebook_retravaill!A653</f>
        <v>2032</v>
      </c>
      <c r="B653" t="str">
        <f>[1]Result_notebook_retravaill!B653</f>
        <v>Copper</v>
      </c>
      <c r="C653" t="str">
        <f>[1]Result_notebook_retravaill!C653</f>
        <v>Current Measures</v>
      </c>
      <c r="D653" t="str">
        <f>[1]Result_notebook_retravaill!D653</f>
        <v>Existing production</v>
      </c>
      <c r="E653" t="str">
        <f>[1]Result_notebook_retravaill!E653</f>
        <v>Current shares</v>
      </c>
      <c r="F653" t="str">
        <f>[1]Result_notebook_retravaill!F653</f>
        <v>Status Quo</v>
      </c>
      <c r="G653">
        <f>[1]Result_notebook_retravaill!G653</f>
        <v>989816.62019349821</v>
      </c>
      <c r="H653" s="3">
        <f>IF([1]Result_notebook_retravaill!I653&gt;[1]Result_notebook_retravaill!G653,[1]Result_notebook_retravaill!I653/[1]Result_notebook_retravaill!N653,[1]Result_notebook_retravaill!H653)</f>
        <v>309453</v>
      </c>
      <c r="I653" s="3">
        <f>[1]Result_notebook_retravaill!K653</f>
        <v>883097.14481144375</v>
      </c>
      <c r="J653" s="3">
        <f>MIN(G653,[1]Result_notebook_retravaill!I653)</f>
        <v>162651.1851674339</v>
      </c>
      <c r="K653" s="3">
        <f>IF([1]Result_notebook_retravaill!I653&gt;[1]Result_notebook_retravaill!G653,0,IF([1]Result_notebook_retravaill!I653+[1]Result_notebook_retravaill!J653&gt;[1]Result_notebook_retravaill!G653,[1]Result_notebook_retravaill!G653-[1]Result_notebook_retravaill!I653,[1]Result_notebook_retravaill!J653))</f>
        <v>95663.395341040537</v>
      </c>
      <c r="L653" s="3">
        <f>IF([1]Result_notebook_retravaill!I653&gt;[1]Result_notebook_retravaill!G653,0,IF([1]Result_notebook_retravaill!I653+[1]Result_notebook_retravaill!J653&gt;[1]Result_notebook_retravaill!G653,0,[1]Result_notebook_retravaill!M653))</f>
        <v>731502.03968502372</v>
      </c>
    </row>
    <row r="654" spans="1:12">
      <c r="A654">
        <f>[1]Result_notebook_retravaill!A654</f>
        <v>2032</v>
      </c>
      <c r="B654" t="str">
        <f>[1]Result_notebook_retravaill!B654</f>
        <v>Copper</v>
      </c>
      <c r="C654" t="str">
        <f>[1]Result_notebook_retravaill!C654</f>
        <v>Current Measures</v>
      </c>
      <c r="D654" t="str">
        <f>[1]Result_notebook_retravaill!D654</f>
        <v>Production potential</v>
      </c>
      <c r="E654" t="str">
        <f>[1]Result_notebook_retravaill!E654</f>
        <v>Current shares</v>
      </c>
      <c r="F654" t="str">
        <f>[1]Result_notebook_retravaill!F654</f>
        <v>Expansion Extractive</v>
      </c>
      <c r="G654">
        <f>[1]Result_notebook_retravaill!G654</f>
        <v>989816.62019349821</v>
      </c>
      <c r="H654" s="3">
        <f>IF([1]Result_notebook_retravaill!I654&gt;[1]Result_notebook_retravaill!G654,[1]Result_notebook_retravaill!I654/[1]Result_notebook_retravaill!N654,[1]Result_notebook_retravaill!H654)</f>
        <v>758265.43720270914</v>
      </c>
      <c r="I654" s="3">
        <f>[1]Result_notebook_retravaill!K654</f>
        <v>434284.70760873461</v>
      </c>
      <c r="J654" s="3">
        <f>MIN(G654,[1]Result_notebook_retravaill!I654)</f>
        <v>398550.90121124388</v>
      </c>
      <c r="K654" s="3">
        <f>IF([1]Result_notebook_retravaill!I654&gt;[1]Result_notebook_retravaill!G654,0,IF([1]Result_notebook_retravaill!I654+[1]Result_notebook_retravaill!J654&gt;[1]Result_notebook_retravaill!G654,[1]Result_notebook_retravaill!G654-[1]Result_notebook_retravaill!I654,[1]Result_notebook_retravaill!J654))</f>
        <v>234407.95950457657</v>
      </c>
      <c r="L654" s="3">
        <f>IF([1]Result_notebook_retravaill!I654&gt;[1]Result_notebook_retravaill!G654,0,IF([1]Result_notebook_retravaill!I654+[1]Result_notebook_retravaill!J654&gt;[1]Result_notebook_retravaill!G654,0,[1]Result_notebook_retravaill!M654))</f>
        <v>356857.7594776777</v>
      </c>
    </row>
    <row r="655" spans="1:12">
      <c r="A655">
        <f>[1]Result_notebook_retravaill!A655</f>
        <v>2032</v>
      </c>
      <c r="B655" t="str">
        <f>[1]Result_notebook_retravaill!B655</f>
        <v>Copper</v>
      </c>
      <c r="C655" t="str">
        <f>[1]Result_notebook_retravaill!C655</f>
        <v>Current Measures</v>
      </c>
      <c r="D655" t="str">
        <f>[1]Result_notebook_retravaill!D655</f>
        <v>Production potential</v>
      </c>
      <c r="E655" t="str">
        <f>[1]Result_notebook_retravaill!E655</f>
        <v>Current shares</v>
      </c>
      <c r="F655" t="str">
        <f>[1]Result_notebook_retravaill!F655</f>
        <v>Expansion Extractive+Circularity</v>
      </c>
      <c r="G655">
        <f>[1]Result_notebook_retravaill!G655</f>
        <v>989816.62019349821</v>
      </c>
      <c r="H655" s="3">
        <f>IF([1]Result_notebook_retravaill!I655&gt;[1]Result_notebook_retravaill!G655,[1]Result_notebook_retravaill!I655/[1]Result_notebook_retravaill!N655,[1]Result_notebook_retravaill!H655)</f>
        <v>758265.43720270914</v>
      </c>
      <c r="I655" s="3">
        <f>[1]Result_notebook_retravaill!K655</f>
        <v>434284.70760873461</v>
      </c>
      <c r="J655" s="3">
        <f>MIN(G655,[1]Result_notebook_retravaill!I655)</f>
        <v>398550.90121124388</v>
      </c>
      <c r="K655" s="3">
        <f>IF([1]Result_notebook_retravaill!I655&gt;[1]Result_notebook_retravaill!G655,0,IF([1]Result_notebook_retravaill!I655+[1]Result_notebook_retravaill!J655&gt;[1]Result_notebook_retravaill!G655,[1]Result_notebook_retravaill!G655-[1]Result_notebook_retravaill!I655,[1]Result_notebook_retravaill!J655))</f>
        <v>234407.95950457657</v>
      </c>
      <c r="L655" s="3">
        <f>IF([1]Result_notebook_retravaill!I655&gt;[1]Result_notebook_retravaill!G655,0,IF([1]Result_notebook_retravaill!I655+[1]Result_notebook_retravaill!J655&gt;[1]Result_notebook_retravaill!G655,0,[1]Result_notebook_retravaill!M655))</f>
        <v>356857.7594776777</v>
      </c>
    </row>
    <row r="656" spans="1:12">
      <c r="A656">
        <f>[1]Result_notebook_retravaill!A656</f>
        <v>2032</v>
      </c>
      <c r="B656" t="str">
        <f>[1]Result_notebook_retravaill!B656</f>
        <v>Copper</v>
      </c>
      <c r="C656" t="str">
        <f>[1]Result_notebook_retravaill!C656</f>
        <v>Current Measures</v>
      </c>
      <c r="D656" t="str">
        <f>[1]Result_notebook_retravaill!D656</f>
        <v>Production potential</v>
      </c>
      <c r="E656" t="str">
        <f>[1]Result_notebook_retravaill!E656</f>
        <v>100% CAN</v>
      </c>
      <c r="F656" t="str">
        <f>[1]Result_notebook_retravaill!F656</f>
        <v>Integrated</v>
      </c>
      <c r="G656">
        <f>[1]Result_notebook_retravaill!G656</f>
        <v>989816.62019349821</v>
      </c>
      <c r="H656" s="3">
        <f>IF([1]Result_notebook_retravaill!I656&gt;[1]Result_notebook_retravaill!G656,[1]Result_notebook_retravaill!I656/[1]Result_notebook_retravaill!N656,[1]Result_notebook_retravaill!H656)</f>
        <v>758265.43720270914</v>
      </c>
      <c r="I656" s="3">
        <f>[1]Result_notebook_retravaill!K656</f>
        <v>434284.70760873461</v>
      </c>
      <c r="J656" s="3">
        <f>MIN(G656,[1]Result_notebook_retravaill!I656)</f>
        <v>632958.8607158208</v>
      </c>
      <c r="K656" s="3">
        <f>IF([1]Result_notebook_retravaill!I656&gt;[1]Result_notebook_retravaill!G656,0,IF([1]Result_notebook_retravaill!I656+[1]Result_notebook_retravaill!J656&gt;[1]Result_notebook_retravaill!G656,[1]Result_notebook_retravaill!G656-[1]Result_notebook_retravaill!I656,[1]Result_notebook_retravaill!J656))</f>
        <v>0</v>
      </c>
      <c r="L656" s="3">
        <f>IF([1]Result_notebook_retravaill!I656&gt;[1]Result_notebook_retravaill!G656,0,IF([1]Result_notebook_retravaill!I656+[1]Result_notebook_retravaill!J656&gt;[1]Result_notebook_retravaill!G656,0,[1]Result_notebook_retravaill!M656))</f>
        <v>356857.75947767741</v>
      </c>
    </row>
    <row r="657" spans="1:12">
      <c r="A657">
        <f>[1]Result_notebook_retravaill!A657</f>
        <v>2032</v>
      </c>
      <c r="B657" t="str">
        <f>[1]Result_notebook_retravaill!B657</f>
        <v>Copper</v>
      </c>
      <c r="C657" t="str">
        <f>[1]Result_notebook_retravaill!C657</f>
        <v>Global Net-zero</v>
      </c>
      <c r="D657" t="str">
        <f>[1]Result_notebook_retravaill!D657</f>
        <v>Existing production</v>
      </c>
      <c r="E657" t="str">
        <f>[1]Result_notebook_retravaill!E657</f>
        <v>Current shares</v>
      </c>
      <c r="F657" t="str">
        <f>[1]Result_notebook_retravaill!F657</f>
        <v>NIMBY</v>
      </c>
      <c r="G657">
        <f>[1]Result_notebook_retravaill!G657</f>
        <v>1117400.391829256</v>
      </c>
      <c r="H657" s="3">
        <f>IF([1]Result_notebook_retravaill!I657&gt;[1]Result_notebook_retravaill!G657,[1]Result_notebook_retravaill!I657/[1]Result_notebook_retravaill!N657,[1]Result_notebook_retravaill!H657)</f>
        <v>0</v>
      </c>
      <c r="I657" s="3">
        <f>[1]Result_notebook_retravaill!K657</f>
        <v>1346265.5323244049</v>
      </c>
      <c r="J657" s="3">
        <f>MIN(G657,[1]Result_notebook_retravaill!I657)</f>
        <v>0</v>
      </c>
      <c r="K657" s="3">
        <f>IF([1]Result_notebook_retravaill!I657&gt;[1]Result_notebook_retravaill!G657,0,IF([1]Result_notebook_retravaill!I657+[1]Result_notebook_retravaill!J657&gt;[1]Result_notebook_retravaill!G657,[1]Result_notebook_retravaill!G657-[1]Result_notebook_retravaill!I657,[1]Result_notebook_retravaill!J657))</f>
        <v>0</v>
      </c>
      <c r="L657" s="3">
        <f>IF([1]Result_notebook_retravaill!I657&gt;[1]Result_notebook_retravaill!G657,0,IF([1]Result_notebook_retravaill!I657+[1]Result_notebook_retravaill!J657&gt;[1]Result_notebook_retravaill!G657,0,[1]Result_notebook_retravaill!M657))</f>
        <v>1117400.391829256</v>
      </c>
    </row>
    <row r="658" spans="1:12">
      <c r="A658">
        <f>[1]Result_notebook_retravaill!A658</f>
        <v>2032</v>
      </c>
      <c r="B658" t="str">
        <f>[1]Result_notebook_retravaill!B658</f>
        <v>Copper</v>
      </c>
      <c r="C658" t="str">
        <f>[1]Result_notebook_retravaill!C658</f>
        <v>Global Net-zero</v>
      </c>
      <c r="D658" t="str">
        <f>[1]Result_notebook_retravaill!D658</f>
        <v>Existing production</v>
      </c>
      <c r="E658" t="str">
        <f>[1]Result_notebook_retravaill!E658</f>
        <v>Current shares</v>
      </c>
      <c r="F658" t="str">
        <f>[1]Result_notebook_retravaill!F658</f>
        <v>Status Quo</v>
      </c>
      <c r="G658">
        <f>[1]Result_notebook_retravaill!G658</f>
        <v>1117400.391829256</v>
      </c>
      <c r="H658" s="3">
        <f>IF([1]Result_notebook_retravaill!I658&gt;[1]Result_notebook_retravaill!G658,[1]Result_notebook_retravaill!I658/[1]Result_notebook_retravaill!N658,[1]Result_notebook_retravaill!H658)</f>
        <v>309453</v>
      </c>
      <c r="I658" s="3">
        <f>[1]Result_notebook_retravaill!K658</f>
        <v>1036812.532324405</v>
      </c>
      <c r="J658" s="3">
        <f>MIN(G658,[1]Result_notebook_retravaill!I658)</f>
        <v>162651.1851674339</v>
      </c>
      <c r="K658" s="3">
        <f>IF([1]Result_notebook_retravaill!I658&gt;[1]Result_notebook_retravaill!G658,0,IF([1]Result_notebook_retravaill!I658+[1]Result_notebook_retravaill!J658&gt;[1]Result_notebook_retravaill!G658,[1]Result_notebook_retravaill!G658-[1]Result_notebook_retravaill!I658,[1]Result_notebook_retravaill!J658))</f>
        <v>95663.395341040537</v>
      </c>
      <c r="L658" s="3">
        <f>IF([1]Result_notebook_retravaill!I658&gt;[1]Result_notebook_retravaill!G658,0,IF([1]Result_notebook_retravaill!I658+[1]Result_notebook_retravaill!J658&gt;[1]Result_notebook_retravaill!G658,0,[1]Result_notebook_retravaill!M658))</f>
        <v>859085.81132078147</v>
      </c>
    </row>
    <row r="659" spans="1:12">
      <c r="A659">
        <f>[1]Result_notebook_retravaill!A659</f>
        <v>2032</v>
      </c>
      <c r="B659" t="str">
        <f>[1]Result_notebook_retravaill!B659</f>
        <v>Copper</v>
      </c>
      <c r="C659" t="str">
        <f>[1]Result_notebook_retravaill!C659</f>
        <v>Global Net-zero</v>
      </c>
      <c r="D659" t="str">
        <f>[1]Result_notebook_retravaill!D659</f>
        <v>Production potential</v>
      </c>
      <c r="E659" t="str">
        <f>[1]Result_notebook_retravaill!E659</f>
        <v>Current shares</v>
      </c>
      <c r="F659" t="str">
        <f>[1]Result_notebook_retravaill!F659</f>
        <v>Expansion Extractive</v>
      </c>
      <c r="G659">
        <f>[1]Result_notebook_retravaill!G659</f>
        <v>1117400.391829256</v>
      </c>
      <c r="H659" s="3">
        <f>IF([1]Result_notebook_retravaill!I659&gt;[1]Result_notebook_retravaill!G659,[1]Result_notebook_retravaill!I659/[1]Result_notebook_retravaill!N659,[1]Result_notebook_retravaill!H659)</f>
        <v>758265.43720270914</v>
      </c>
      <c r="I659" s="3">
        <f>[1]Result_notebook_retravaill!K659</f>
        <v>588000.09512169578</v>
      </c>
      <c r="J659" s="3">
        <f>MIN(G659,[1]Result_notebook_retravaill!I659)</f>
        <v>398550.90121124388</v>
      </c>
      <c r="K659" s="3">
        <f>IF([1]Result_notebook_retravaill!I659&gt;[1]Result_notebook_retravaill!G659,0,IF([1]Result_notebook_retravaill!I659+[1]Result_notebook_retravaill!J659&gt;[1]Result_notebook_retravaill!G659,[1]Result_notebook_retravaill!G659-[1]Result_notebook_retravaill!I659,[1]Result_notebook_retravaill!J659))</f>
        <v>234407.95950457657</v>
      </c>
      <c r="L659" s="3">
        <f>IF([1]Result_notebook_retravaill!I659&gt;[1]Result_notebook_retravaill!G659,0,IF([1]Result_notebook_retravaill!I659+[1]Result_notebook_retravaill!J659&gt;[1]Result_notebook_retravaill!G659,0,[1]Result_notebook_retravaill!M659))</f>
        <v>484441.53111343546</v>
      </c>
    </row>
    <row r="660" spans="1:12">
      <c r="A660">
        <f>[1]Result_notebook_retravaill!A660</f>
        <v>2032</v>
      </c>
      <c r="B660" t="str">
        <f>[1]Result_notebook_retravaill!B660</f>
        <v>Copper</v>
      </c>
      <c r="C660" t="str">
        <f>[1]Result_notebook_retravaill!C660</f>
        <v>Global Net-zero</v>
      </c>
      <c r="D660" t="str">
        <f>[1]Result_notebook_retravaill!D660</f>
        <v>Production potential</v>
      </c>
      <c r="E660" t="str">
        <f>[1]Result_notebook_retravaill!E660</f>
        <v>Current shares</v>
      </c>
      <c r="F660" t="str">
        <f>[1]Result_notebook_retravaill!F660</f>
        <v>Expansion Extractive+Circularity</v>
      </c>
      <c r="G660">
        <f>[1]Result_notebook_retravaill!G660</f>
        <v>1117400.391829256</v>
      </c>
      <c r="H660" s="3">
        <f>IF([1]Result_notebook_retravaill!I660&gt;[1]Result_notebook_retravaill!G660,[1]Result_notebook_retravaill!I660/[1]Result_notebook_retravaill!N660,[1]Result_notebook_retravaill!H660)</f>
        <v>758265.43720270914</v>
      </c>
      <c r="I660" s="3">
        <f>[1]Result_notebook_retravaill!K660</f>
        <v>588000.09512169578</v>
      </c>
      <c r="J660" s="3">
        <f>MIN(G660,[1]Result_notebook_retravaill!I660)</f>
        <v>398550.90121124388</v>
      </c>
      <c r="K660" s="3">
        <f>IF([1]Result_notebook_retravaill!I660&gt;[1]Result_notebook_retravaill!G660,0,IF([1]Result_notebook_retravaill!I660+[1]Result_notebook_retravaill!J660&gt;[1]Result_notebook_retravaill!G660,[1]Result_notebook_retravaill!G660-[1]Result_notebook_retravaill!I660,[1]Result_notebook_retravaill!J660))</f>
        <v>234407.95950457657</v>
      </c>
      <c r="L660" s="3">
        <f>IF([1]Result_notebook_retravaill!I660&gt;[1]Result_notebook_retravaill!G660,0,IF([1]Result_notebook_retravaill!I660+[1]Result_notebook_retravaill!J660&gt;[1]Result_notebook_retravaill!G660,0,[1]Result_notebook_retravaill!M660))</f>
        <v>484441.53111343546</v>
      </c>
    </row>
    <row r="661" spans="1:12">
      <c r="A661">
        <f>[1]Result_notebook_retravaill!A661</f>
        <v>2032</v>
      </c>
      <c r="B661" t="str">
        <f>[1]Result_notebook_retravaill!B661</f>
        <v>Copper</v>
      </c>
      <c r="C661" t="str">
        <f>[1]Result_notebook_retravaill!C661</f>
        <v>Global Net-zero</v>
      </c>
      <c r="D661" t="str">
        <f>[1]Result_notebook_retravaill!D661</f>
        <v>Production potential</v>
      </c>
      <c r="E661" t="str">
        <f>[1]Result_notebook_retravaill!E661</f>
        <v>100% CAN</v>
      </c>
      <c r="F661" t="str">
        <f>[1]Result_notebook_retravaill!F661</f>
        <v>Integrated</v>
      </c>
      <c r="G661">
        <f>[1]Result_notebook_retravaill!G661</f>
        <v>1117400.391829256</v>
      </c>
      <c r="H661" s="3">
        <f>IF([1]Result_notebook_retravaill!I661&gt;[1]Result_notebook_retravaill!G661,[1]Result_notebook_retravaill!I661/[1]Result_notebook_retravaill!N661,[1]Result_notebook_retravaill!H661)</f>
        <v>758265.43720270914</v>
      </c>
      <c r="I661" s="3">
        <f>[1]Result_notebook_retravaill!K661</f>
        <v>588000.09512169578</v>
      </c>
      <c r="J661" s="3">
        <f>MIN(G661,[1]Result_notebook_retravaill!I661)</f>
        <v>632958.8607158208</v>
      </c>
      <c r="K661" s="3">
        <f>IF([1]Result_notebook_retravaill!I661&gt;[1]Result_notebook_retravaill!G661,0,IF([1]Result_notebook_retravaill!I661+[1]Result_notebook_retravaill!J661&gt;[1]Result_notebook_retravaill!G661,[1]Result_notebook_retravaill!G661-[1]Result_notebook_retravaill!I661,[1]Result_notebook_retravaill!J661))</f>
        <v>0</v>
      </c>
      <c r="L661" s="3">
        <f>IF([1]Result_notebook_retravaill!I661&gt;[1]Result_notebook_retravaill!G661,0,IF([1]Result_notebook_retravaill!I661+[1]Result_notebook_retravaill!J661&gt;[1]Result_notebook_retravaill!G661,0,[1]Result_notebook_retravaill!M661))</f>
        <v>484441.53111343522</v>
      </c>
    </row>
    <row r="662" spans="1:12">
      <c r="A662">
        <f>[1]Result_notebook_retravaill!A662</f>
        <v>2032</v>
      </c>
      <c r="B662" t="str">
        <f>[1]Result_notebook_retravaill!B662</f>
        <v>Neodymium</v>
      </c>
      <c r="C662" t="str">
        <f>[1]Result_notebook_retravaill!C662</f>
        <v>Canada Net-zero</v>
      </c>
      <c r="D662" t="str">
        <f>[1]Result_notebook_retravaill!D662</f>
        <v>Existing production</v>
      </c>
      <c r="E662" t="str">
        <f>[1]Result_notebook_retravaill!E662</f>
        <v>Current shares</v>
      </c>
      <c r="F662" t="str">
        <f>[1]Result_notebook_retravaill!F662</f>
        <v>NIMBY</v>
      </c>
      <c r="G662">
        <f>[1]Result_notebook_retravaill!G662</f>
        <v>3229.5787882307568</v>
      </c>
      <c r="H662" s="3">
        <f>IF([1]Result_notebook_retravaill!I662&gt;[1]Result_notebook_retravaill!G662,[1]Result_notebook_retravaill!I662/[1]Result_notebook_retravaill!N662,[1]Result_notebook_retravaill!H662)</f>
        <v>0</v>
      </c>
      <c r="I662" s="3">
        <f>[1]Result_notebook_retravaill!K662</f>
        <v>5382.6313137179286</v>
      </c>
      <c r="J662" s="3">
        <f>MIN(G662,[1]Result_notebook_retravaill!I662)</f>
        <v>0</v>
      </c>
      <c r="K662" s="3">
        <f>IF([1]Result_notebook_retravaill!I662&gt;[1]Result_notebook_retravaill!G662,0,IF([1]Result_notebook_retravaill!I662+[1]Result_notebook_retravaill!J662&gt;[1]Result_notebook_retravaill!G662,[1]Result_notebook_retravaill!G662-[1]Result_notebook_retravaill!I662,[1]Result_notebook_retravaill!J662))</f>
        <v>0</v>
      </c>
      <c r="L662" s="3">
        <f>IF([1]Result_notebook_retravaill!I662&gt;[1]Result_notebook_retravaill!G662,0,IF([1]Result_notebook_retravaill!I662+[1]Result_notebook_retravaill!J662&gt;[1]Result_notebook_retravaill!G662,0,[1]Result_notebook_retravaill!M662))</f>
        <v>3229.5787882307568</v>
      </c>
    </row>
    <row r="663" spans="1:12">
      <c r="A663">
        <f>[1]Result_notebook_retravaill!A663</f>
        <v>2032</v>
      </c>
      <c r="B663" t="str">
        <f>[1]Result_notebook_retravaill!B663</f>
        <v>Neodymium</v>
      </c>
      <c r="C663" t="str">
        <f>[1]Result_notebook_retravaill!C663</f>
        <v>Canada Net-zero</v>
      </c>
      <c r="D663" t="str">
        <f>[1]Result_notebook_retravaill!D663</f>
        <v>Existing production</v>
      </c>
      <c r="E663" t="str">
        <f>[1]Result_notebook_retravaill!E663</f>
        <v>Current shares</v>
      </c>
      <c r="F663" t="str">
        <f>[1]Result_notebook_retravaill!F663</f>
        <v>Status Quo</v>
      </c>
      <c r="G663">
        <f>[1]Result_notebook_retravaill!G663</f>
        <v>3229.5787882307568</v>
      </c>
      <c r="H663" s="3">
        <f>IF([1]Result_notebook_retravaill!I663&gt;[1]Result_notebook_retravaill!G663,[1]Result_notebook_retravaill!I663/[1]Result_notebook_retravaill!N663,[1]Result_notebook_retravaill!H663)</f>
        <v>0</v>
      </c>
      <c r="I663" s="3">
        <f>[1]Result_notebook_retravaill!K663</f>
        <v>5382.6313137179286</v>
      </c>
      <c r="J663" s="3">
        <f>MIN(G663,[1]Result_notebook_retravaill!I663)</f>
        <v>0</v>
      </c>
      <c r="K663" s="3">
        <f>IF([1]Result_notebook_retravaill!I663&gt;[1]Result_notebook_retravaill!G663,0,IF([1]Result_notebook_retravaill!I663+[1]Result_notebook_retravaill!J663&gt;[1]Result_notebook_retravaill!G663,[1]Result_notebook_retravaill!G663-[1]Result_notebook_retravaill!I663,[1]Result_notebook_retravaill!J663))</f>
        <v>0</v>
      </c>
      <c r="L663" s="3">
        <f>IF([1]Result_notebook_retravaill!I663&gt;[1]Result_notebook_retravaill!G663,0,IF([1]Result_notebook_retravaill!I663+[1]Result_notebook_retravaill!J663&gt;[1]Result_notebook_retravaill!G663,0,[1]Result_notebook_retravaill!M663))</f>
        <v>3229.5787882307568</v>
      </c>
    </row>
    <row r="664" spans="1:12">
      <c r="A664">
        <f>[1]Result_notebook_retravaill!A664</f>
        <v>2032</v>
      </c>
      <c r="B664" t="str">
        <f>[1]Result_notebook_retravaill!B664</f>
        <v>Neodymium</v>
      </c>
      <c r="C664" t="str">
        <f>[1]Result_notebook_retravaill!C664</f>
        <v>Canada Net-zero</v>
      </c>
      <c r="D664" t="str">
        <f>[1]Result_notebook_retravaill!D664</f>
        <v>Production potential</v>
      </c>
      <c r="E664" t="str">
        <f>[1]Result_notebook_retravaill!E664</f>
        <v>Current shares</v>
      </c>
      <c r="F664" t="str">
        <f>[1]Result_notebook_retravaill!F664</f>
        <v>Expansion Extractive</v>
      </c>
      <c r="G664">
        <f>[1]Result_notebook_retravaill!G664</f>
        <v>3229.5787882307568</v>
      </c>
      <c r="H664" s="3">
        <f>IF([1]Result_notebook_retravaill!I664&gt;[1]Result_notebook_retravaill!G664,[1]Result_notebook_retravaill!I664/[1]Result_notebook_retravaill!N664,[1]Result_notebook_retravaill!H664)</f>
        <v>29.109663626080231</v>
      </c>
      <c r="I664" s="3">
        <f>[1]Result_notebook_retravaill!K664</f>
        <v>5353.5216500918486</v>
      </c>
      <c r="J664" s="3">
        <f>MIN(G664,[1]Result_notebook_retravaill!I664)</f>
        <v>17.42341200168546</v>
      </c>
      <c r="K664" s="3">
        <f>IF([1]Result_notebook_retravaill!I664&gt;[1]Result_notebook_retravaill!G664,0,IF([1]Result_notebook_retravaill!I664+[1]Result_notebook_retravaill!J664&gt;[1]Result_notebook_retravaill!G664,[1]Result_notebook_retravaill!G664-[1]Result_notebook_retravaill!I664,[1]Result_notebook_retravaill!J664))</f>
        <v>11.686251624394771</v>
      </c>
      <c r="L664" s="3">
        <f>IF([1]Result_notebook_retravaill!I664&gt;[1]Result_notebook_retravaill!G664,0,IF([1]Result_notebook_retravaill!I664+[1]Result_notebook_retravaill!J664&gt;[1]Result_notebook_retravaill!G664,0,[1]Result_notebook_retravaill!M664))</f>
        <v>3200.4691246046764</v>
      </c>
    </row>
    <row r="665" spans="1:12">
      <c r="A665">
        <f>[1]Result_notebook_retravaill!A665</f>
        <v>2032</v>
      </c>
      <c r="B665" t="str">
        <f>[1]Result_notebook_retravaill!B665</f>
        <v>Neodymium</v>
      </c>
      <c r="C665" t="str">
        <f>[1]Result_notebook_retravaill!C665</f>
        <v>Canada Net-zero</v>
      </c>
      <c r="D665" t="str">
        <f>[1]Result_notebook_retravaill!D665</f>
        <v>Production potential</v>
      </c>
      <c r="E665" t="str">
        <f>[1]Result_notebook_retravaill!E665</f>
        <v>Current shares</v>
      </c>
      <c r="F665" t="str">
        <f>[1]Result_notebook_retravaill!F665</f>
        <v>Expansion Extractive+Circularity</v>
      </c>
      <c r="G665">
        <f>[1]Result_notebook_retravaill!G665</f>
        <v>3229.5787882307568</v>
      </c>
      <c r="H665" s="3">
        <f>IF([1]Result_notebook_retravaill!I665&gt;[1]Result_notebook_retravaill!G665,[1]Result_notebook_retravaill!I665/[1]Result_notebook_retravaill!N665,[1]Result_notebook_retravaill!H665)</f>
        <v>29.109663626080231</v>
      </c>
      <c r="I665" s="3">
        <f>[1]Result_notebook_retravaill!K665</f>
        <v>5353.5216500918486</v>
      </c>
      <c r="J665" s="3">
        <f>MIN(G665,[1]Result_notebook_retravaill!I665)</f>
        <v>17.42341200168546</v>
      </c>
      <c r="K665" s="3">
        <f>IF([1]Result_notebook_retravaill!I665&gt;[1]Result_notebook_retravaill!G665,0,IF([1]Result_notebook_retravaill!I665+[1]Result_notebook_retravaill!J665&gt;[1]Result_notebook_retravaill!G665,[1]Result_notebook_retravaill!G665-[1]Result_notebook_retravaill!I665,[1]Result_notebook_retravaill!J665))</f>
        <v>11.686251624394771</v>
      </c>
      <c r="L665" s="3">
        <f>IF([1]Result_notebook_retravaill!I665&gt;[1]Result_notebook_retravaill!G665,0,IF([1]Result_notebook_retravaill!I665+[1]Result_notebook_retravaill!J665&gt;[1]Result_notebook_retravaill!G665,0,[1]Result_notebook_retravaill!M665))</f>
        <v>3200.4691246046764</v>
      </c>
    </row>
    <row r="666" spans="1:12">
      <c r="A666">
        <f>[1]Result_notebook_retravaill!A666</f>
        <v>2032</v>
      </c>
      <c r="B666" t="str">
        <f>[1]Result_notebook_retravaill!B666</f>
        <v>Neodymium</v>
      </c>
      <c r="C666" t="str">
        <f>[1]Result_notebook_retravaill!C666</f>
        <v>Canada Net-zero</v>
      </c>
      <c r="D666" t="str">
        <f>[1]Result_notebook_retravaill!D666</f>
        <v>Production potential</v>
      </c>
      <c r="E666" t="str">
        <f>[1]Result_notebook_retravaill!E666</f>
        <v>100% CAN</v>
      </c>
      <c r="F666" t="str">
        <f>[1]Result_notebook_retravaill!F666</f>
        <v>Integrated</v>
      </c>
      <c r="G666">
        <f>[1]Result_notebook_retravaill!G666</f>
        <v>3229.5787882307568</v>
      </c>
      <c r="H666" s="3">
        <f>IF([1]Result_notebook_retravaill!I666&gt;[1]Result_notebook_retravaill!G666,[1]Result_notebook_retravaill!I666/[1]Result_notebook_retravaill!N666,[1]Result_notebook_retravaill!H666)</f>
        <v>29.109663626080231</v>
      </c>
      <c r="I666" s="3">
        <f>[1]Result_notebook_retravaill!K666</f>
        <v>5353.5216500918486</v>
      </c>
      <c r="J666" s="3">
        <f>MIN(G666,[1]Result_notebook_retravaill!I666)</f>
        <v>17.42341200168546</v>
      </c>
      <c r="K666" s="3">
        <f>IF([1]Result_notebook_retravaill!I666&gt;[1]Result_notebook_retravaill!G666,0,IF([1]Result_notebook_retravaill!I666+[1]Result_notebook_retravaill!J666&gt;[1]Result_notebook_retravaill!G666,[1]Result_notebook_retravaill!G666-[1]Result_notebook_retravaill!I666,[1]Result_notebook_retravaill!J666))</f>
        <v>11.686251624394771</v>
      </c>
      <c r="L666" s="3">
        <f>IF([1]Result_notebook_retravaill!I666&gt;[1]Result_notebook_retravaill!G666,0,IF([1]Result_notebook_retravaill!I666+[1]Result_notebook_retravaill!J666&gt;[1]Result_notebook_retravaill!G666,0,[1]Result_notebook_retravaill!M666))</f>
        <v>3200.4691246046764</v>
      </c>
    </row>
    <row r="667" spans="1:12">
      <c r="A667">
        <f>[1]Result_notebook_retravaill!A667</f>
        <v>2032</v>
      </c>
      <c r="B667" t="str">
        <f>[1]Result_notebook_retravaill!B667</f>
        <v>Neodymium</v>
      </c>
      <c r="C667" t="str">
        <f>[1]Result_notebook_retravaill!C667</f>
        <v>Current Measures</v>
      </c>
      <c r="D667" t="str">
        <f>[1]Result_notebook_retravaill!D667</f>
        <v>Existing production</v>
      </c>
      <c r="E667" t="str">
        <f>[1]Result_notebook_retravaill!E667</f>
        <v>Current shares</v>
      </c>
      <c r="F667" t="str">
        <f>[1]Result_notebook_retravaill!F667</f>
        <v>NIMBY</v>
      </c>
      <c r="G667">
        <f>[1]Result_notebook_retravaill!G667</f>
        <v>1128.9836988018969</v>
      </c>
      <c r="H667" s="3">
        <f>IF([1]Result_notebook_retravaill!I667&gt;[1]Result_notebook_retravaill!G667,[1]Result_notebook_retravaill!I667/[1]Result_notebook_retravaill!N667,[1]Result_notebook_retravaill!H667)</f>
        <v>0</v>
      </c>
      <c r="I667" s="3">
        <f>[1]Result_notebook_retravaill!K667</f>
        <v>1881.6394980031621</v>
      </c>
      <c r="J667" s="3">
        <f>MIN(G667,[1]Result_notebook_retravaill!I667)</f>
        <v>0</v>
      </c>
      <c r="K667" s="3">
        <f>IF([1]Result_notebook_retravaill!I667&gt;[1]Result_notebook_retravaill!G667,0,IF([1]Result_notebook_retravaill!I667+[1]Result_notebook_retravaill!J667&gt;[1]Result_notebook_retravaill!G667,[1]Result_notebook_retravaill!G667-[1]Result_notebook_retravaill!I667,[1]Result_notebook_retravaill!J667))</f>
        <v>0</v>
      </c>
      <c r="L667" s="3">
        <f>IF([1]Result_notebook_retravaill!I667&gt;[1]Result_notebook_retravaill!G667,0,IF([1]Result_notebook_retravaill!I667+[1]Result_notebook_retravaill!J667&gt;[1]Result_notebook_retravaill!G667,0,[1]Result_notebook_retravaill!M667))</f>
        <v>1128.9836988018969</v>
      </c>
    </row>
    <row r="668" spans="1:12">
      <c r="A668">
        <f>[1]Result_notebook_retravaill!A668</f>
        <v>2032</v>
      </c>
      <c r="B668" t="str">
        <f>[1]Result_notebook_retravaill!B668</f>
        <v>Neodymium</v>
      </c>
      <c r="C668" t="str">
        <f>[1]Result_notebook_retravaill!C668</f>
        <v>Current Measures</v>
      </c>
      <c r="D668" t="str">
        <f>[1]Result_notebook_retravaill!D668</f>
        <v>Existing production</v>
      </c>
      <c r="E668" t="str">
        <f>[1]Result_notebook_retravaill!E668</f>
        <v>Current shares</v>
      </c>
      <c r="F668" t="str">
        <f>[1]Result_notebook_retravaill!F668</f>
        <v>Status Quo</v>
      </c>
      <c r="G668">
        <f>[1]Result_notebook_retravaill!G668</f>
        <v>1128.9836988018969</v>
      </c>
      <c r="H668" s="3">
        <f>IF([1]Result_notebook_retravaill!I668&gt;[1]Result_notebook_retravaill!G668,[1]Result_notebook_retravaill!I668/[1]Result_notebook_retravaill!N668,[1]Result_notebook_retravaill!H668)</f>
        <v>0</v>
      </c>
      <c r="I668" s="3">
        <f>[1]Result_notebook_retravaill!K668</f>
        <v>1881.6394980031621</v>
      </c>
      <c r="J668" s="3">
        <f>MIN(G668,[1]Result_notebook_retravaill!I668)</f>
        <v>0</v>
      </c>
      <c r="K668" s="3">
        <f>IF([1]Result_notebook_retravaill!I668&gt;[1]Result_notebook_retravaill!G668,0,IF([1]Result_notebook_retravaill!I668+[1]Result_notebook_retravaill!J668&gt;[1]Result_notebook_retravaill!G668,[1]Result_notebook_retravaill!G668-[1]Result_notebook_retravaill!I668,[1]Result_notebook_retravaill!J668))</f>
        <v>0</v>
      </c>
      <c r="L668" s="3">
        <f>IF([1]Result_notebook_retravaill!I668&gt;[1]Result_notebook_retravaill!G668,0,IF([1]Result_notebook_retravaill!I668+[1]Result_notebook_retravaill!J668&gt;[1]Result_notebook_retravaill!G668,0,[1]Result_notebook_retravaill!M668))</f>
        <v>1128.9836988018969</v>
      </c>
    </row>
    <row r="669" spans="1:12">
      <c r="A669">
        <f>[1]Result_notebook_retravaill!A669</f>
        <v>2032</v>
      </c>
      <c r="B669" t="str">
        <f>[1]Result_notebook_retravaill!B669</f>
        <v>Neodymium</v>
      </c>
      <c r="C669" t="str">
        <f>[1]Result_notebook_retravaill!C669</f>
        <v>Current Measures</v>
      </c>
      <c r="D669" t="str">
        <f>[1]Result_notebook_retravaill!D669</f>
        <v>Production potential</v>
      </c>
      <c r="E669" t="str">
        <f>[1]Result_notebook_retravaill!E669</f>
        <v>Current shares</v>
      </c>
      <c r="F669" t="str">
        <f>[1]Result_notebook_retravaill!F669</f>
        <v>Expansion Extractive</v>
      </c>
      <c r="G669">
        <f>[1]Result_notebook_retravaill!G669</f>
        <v>1128.9836988018969</v>
      </c>
      <c r="H669" s="3">
        <f>IF([1]Result_notebook_retravaill!I669&gt;[1]Result_notebook_retravaill!G669,[1]Result_notebook_retravaill!I669/[1]Result_notebook_retravaill!N669,[1]Result_notebook_retravaill!H669)</f>
        <v>29.109663626080231</v>
      </c>
      <c r="I669" s="3">
        <f>[1]Result_notebook_retravaill!K669</f>
        <v>1852.529834377081</v>
      </c>
      <c r="J669" s="3">
        <f>MIN(G669,[1]Result_notebook_retravaill!I669)</f>
        <v>17.42341200168546</v>
      </c>
      <c r="K669" s="3">
        <f>IF([1]Result_notebook_retravaill!I669&gt;[1]Result_notebook_retravaill!G669,0,IF([1]Result_notebook_retravaill!I669+[1]Result_notebook_retravaill!J669&gt;[1]Result_notebook_retravaill!G669,[1]Result_notebook_retravaill!G669-[1]Result_notebook_retravaill!I669,[1]Result_notebook_retravaill!J669))</f>
        <v>11.686251624394771</v>
      </c>
      <c r="L669" s="3">
        <f>IF([1]Result_notebook_retravaill!I669&gt;[1]Result_notebook_retravaill!G669,0,IF([1]Result_notebook_retravaill!I669+[1]Result_notebook_retravaill!J669&gt;[1]Result_notebook_retravaill!G669,0,[1]Result_notebook_retravaill!M669))</f>
        <v>1099.8740351758172</v>
      </c>
    </row>
    <row r="670" spans="1:12">
      <c r="A670">
        <f>[1]Result_notebook_retravaill!A670</f>
        <v>2032</v>
      </c>
      <c r="B670" t="str">
        <f>[1]Result_notebook_retravaill!B670</f>
        <v>Neodymium</v>
      </c>
      <c r="C670" t="str">
        <f>[1]Result_notebook_retravaill!C670</f>
        <v>Current Measures</v>
      </c>
      <c r="D670" t="str">
        <f>[1]Result_notebook_retravaill!D670</f>
        <v>Production potential</v>
      </c>
      <c r="E670" t="str">
        <f>[1]Result_notebook_retravaill!E670</f>
        <v>Current shares</v>
      </c>
      <c r="F670" t="str">
        <f>[1]Result_notebook_retravaill!F670</f>
        <v>Expansion Extractive+Circularity</v>
      </c>
      <c r="G670">
        <f>[1]Result_notebook_retravaill!G670</f>
        <v>1128.9836988018969</v>
      </c>
      <c r="H670" s="3">
        <f>IF([1]Result_notebook_retravaill!I670&gt;[1]Result_notebook_retravaill!G670,[1]Result_notebook_retravaill!I670/[1]Result_notebook_retravaill!N670,[1]Result_notebook_retravaill!H670)</f>
        <v>29.109663626080231</v>
      </c>
      <c r="I670" s="3">
        <f>[1]Result_notebook_retravaill!K670</f>
        <v>1852.529834377081</v>
      </c>
      <c r="J670" s="3">
        <f>MIN(G670,[1]Result_notebook_retravaill!I670)</f>
        <v>17.42341200168546</v>
      </c>
      <c r="K670" s="3">
        <f>IF([1]Result_notebook_retravaill!I670&gt;[1]Result_notebook_retravaill!G670,0,IF([1]Result_notebook_retravaill!I670+[1]Result_notebook_retravaill!J670&gt;[1]Result_notebook_retravaill!G670,[1]Result_notebook_retravaill!G670-[1]Result_notebook_retravaill!I670,[1]Result_notebook_retravaill!J670))</f>
        <v>11.686251624394771</v>
      </c>
      <c r="L670" s="3">
        <f>IF([1]Result_notebook_retravaill!I670&gt;[1]Result_notebook_retravaill!G670,0,IF([1]Result_notebook_retravaill!I670+[1]Result_notebook_retravaill!J670&gt;[1]Result_notebook_retravaill!G670,0,[1]Result_notebook_retravaill!M670))</f>
        <v>1099.8740351758172</v>
      </c>
    </row>
    <row r="671" spans="1:12">
      <c r="A671">
        <f>[1]Result_notebook_retravaill!A671</f>
        <v>2032</v>
      </c>
      <c r="B671" t="str">
        <f>[1]Result_notebook_retravaill!B671</f>
        <v>Neodymium</v>
      </c>
      <c r="C671" t="str">
        <f>[1]Result_notebook_retravaill!C671</f>
        <v>Current Measures</v>
      </c>
      <c r="D671" t="str">
        <f>[1]Result_notebook_retravaill!D671</f>
        <v>Production potential</v>
      </c>
      <c r="E671" t="str">
        <f>[1]Result_notebook_retravaill!E671</f>
        <v>100% CAN</v>
      </c>
      <c r="F671" t="str">
        <f>[1]Result_notebook_retravaill!F671</f>
        <v>Integrated</v>
      </c>
      <c r="G671">
        <f>[1]Result_notebook_retravaill!G671</f>
        <v>1128.9836988018969</v>
      </c>
      <c r="H671" s="3">
        <f>IF([1]Result_notebook_retravaill!I671&gt;[1]Result_notebook_retravaill!G671,[1]Result_notebook_retravaill!I671/[1]Result_notebook_retravaill!N671,[1]Result_notebook_retravaill!H671)</f>
        <v>29.109663626080231</v>
      </c>
      <c r="I671" s="3">
        <f>[1]Result_notebook_retravaill!K671</f>
        <v>1852.529834377081</v>
      </c>
      <c r="J671" s="3">
        <f>MIN(G671,[1]Result_notebook_retravaill!I671)</f>
        <v>17.42341200168546</v>
      </c>
      <c r="K671" s="3">
        <f>IF([1]Result_notebook_retravaill!I671&gt;[1]Result_notebook_retravaill!G671,0,IF([1]Result_notebook_retravaill!I671+[1]Result_notebook_retravaill!J671&gt;[1]Result_notebook_retravaill!G671,[1]Result_notebook_retravaill!G671-[1]Result_notebook_retravaill!I671,[1]Result_notebook_retravaill!J671))</f>
        <v>11.686251624394771</v>
      </c>
      <c r="L671" s="3">
        <f>IF([1]Result_notebook_retravaill!I671&gt;[1]Result_notebook_retravaill!G671,0,IF([1]Result_notebook_retravaill!I671+[1]Result_notebook_retravaill!J671&gt;[1]Result_notebook_retravaill!G671,0,[1]Result_notebook_retravaill!M671))</f>
        <v>1099.8740351758172</v>
      </c>
    </row>
    <row r="672" spans="1:12">
      <c r="A672">
        <f>[1]Result_notebook_retravaill!A672</f>
        <v>2032</v>
      </c>
      <c r="B672" t="str">
        <f>[1]Result_notebook_retravaill!B672</f>
        <v>Neodymium</v>
      </c>
      <c r="C672" t="str">
        <f>[1]Result_notebook_retravaill!C672</f>
        <v>Global Net-zero</v>
      </c>
      <c r="D672" t="str">
        <f>[1]Result_notebook_retravaill!D672</f>
        <v>Existing production</v>
      </c>
      <c r="E672" t="str">
        <f>[1]Result_notebook_retravaill!E672</f>
        <v>Current shares</v>
      </c>
      <c r="F672" t="str">
        <f>[1]Result_notebook_retravaill!F672</f>
        <v>NIMBY</v>
      </c>
      <c r="G672">
        <f>[1]Result_notebook_retravaill!G672</f>
        <v>3088.6760232568031</v>
      </c>
      <c r="H672" s="3">
        <f>IF([1]Result_notebook_retravaill!I672&gt;[1]Result_notebook_retravaill!G672,[1]Result_notebook_retravaill!I672/[1]Result_notebook_retravaill!N672,[1]Result_notebook_retravaill!H672)</f>
        <v>0</v>
      </c>
      <c r="I672" s="3">
        <f>[1]Result_notebook_retravaill!K672</f>
        <v>5147.7933720946721</v>
      </c>
      <c r="J672" s="3">
        <f>MIN(G672,[1]Result_notebook_retravaill!I672)</f>
        <v>0</v>
      </c>
      <c r="K672" s="3">
        <f>IF([1]Result_notebook_retravaill!I672&gt;[1]Result_notebook_retravaill!G672,0,IF([1]Result_notebook_retravaill!I672+[1]Result_notebook_retravaill!J672&gt;[1]Result_notebook_retravaill!G672,[1]Result_notebook_retravaill!G672-[1]Result_notebook_retravaill!I672,[1]Result_notebook_retravaill!J672))</f>
        <v>0</v>
      </c>
      <c r="L672" s="3">
        <f>IF([1]Result_notebook_retravaill!I672&gt;[1]Result_notebook_retravaill!G672,0,IF([1]Result_notebook_retravaill!I672+[1]Result_notebook_retravaill!J672&gt;[1]Result_notebook_retravaill!G672,0,[1]Result_notebook_retravaill!M672))</f>
        <v>3088.6760232568031</v>
      </c>
    </row>
    <row r="673" spans="1:12">
      <c r="A673">
        <f>[1]Result_notebook_retravaill!A673</f>
        <v>2032</v>
      </c>
      <c r="B673" t="str">
        <f>[1]Result_notebook_retravaill!B673</f>
        <v>Neodymium</v>
      </c>
      <c r="C673" t="str">
        <f>[1]Result_notebook_retravaill!C673</f>
        <v>Global Net-zero</v>
      </c>
      <c r="D673" t="str">
        <f>[1]Result_notebook_retravaill!D673</f>
        <v>Existing production</v>
      </c>
      <c r="E673" t="str">
        <f>[1]Result_notebook_retravaill!E673</f>
        <v>Current shares</v>
      </c>
      <c r="F673" t="str">
        <f>[1]Result_notebook_retravaill!F673</f>
        <v>Status Quo</v>
      </c>
      <c r="G673">
        <f>[1]Result_notebook_retravaill!G673</f>
        <v>3088.6760232568031</v>
      </c>
      <c r="H673" s="3">
        <f>IF([1]Result_notebook_retravaill!I673&gt;[1]Result_notebook_retravaill!G673,[1]Result_notebook_retravaill!I673/[1]Result_notebook_retravaill!N673,[1]Result_notebook_retravaill!H673)</f>
        <v>0</v>
      </c>
      <c r="I673" s="3">
        <f>[1]Result_notebook_retravaill!K673</f>
        <v>5147.7933720946721</v>
      </c>
      <c r="J673" s="3">
        <f>MIN(G673,[1]Result_notebook_retravaill!I673)</f>
        <v>0</v>
      </c>
      <c r="K673" s="3">
        <f>IF([1]Result_notebook_retravaill!I673&gt;[1]Result_notebook_retravaill!G673,0,IF([1]Result_notebook_retravaill!I673+[1]Result_notebook_retravaill!J673&gt;[1]Result_notebook_retravaill!G673,[1]Result_notebook_retravaill!G673-[1]Result_notebook_retravaill!I673,[1]Result_notebook_retravaill!J673))</f>
        <v>0</v>
      </c>
      <c r="L673" s="3">
        <f>IF([1]Result_notebook_retravaill!I673&gt;[1]Result_notebook_retravaill!G673,0,IF([1]Result_notebook_retravaill!I673+[1]Result_notebook_retravaill!J673&gt;[1]Result_notebook_retravaill!G673,0,[1]Result_notebook_retravaill!M673))</f>
        <v>3088.6760232568031</v>
      </c>
    </row>
    <row r="674" spans="1:12">
      <c r="A674">
        <f>[1]Result_notebook_retravaill!A674</f>
        <v>2032</v>
      </c>
      <c r="B674" t="str">
        <f>[1]Result_notebook_retravaill!B674</f>
        <v>Neodymium</v>
      </c>
      <c r="C674" t="str">
        <f>[1]Result_notebook_retravaill!C674</f>
        <v>Global Net-zero</v>
      </c>
      <c r="D674" t="str">
        <f>[1]Result_notebook_retravaill!D674</f>
        <v>Production potential</v>
      </c>
      <c r="E674" t="str">
        <f>[1]Result_notebook_retravaill!E674</f>
        <v>Current shares</v>
      </c>
      <c r="F674" t="str">
        <f>[1]Result_notebook_retravaill!F674</f>
        <v>Expansion Extractive</v>
      </c>
      <c r="G674">
        <f>[1]Result_notebook_retravaill!G674</f>
        <v>3088.6760232568031</v>
      </c>
      <c r="H674" s="3">
        <f>IF([1]Result_notebook_retravaill!I674&gt;[1]Result_notebook_retravaill!G674,[1]Result_notebook_retravaill!I674/[1]Result_notebook_retravaill!N674,[1]Result_notebook_retravaill!H674)</f>
        <v>29.109663626080231</v>
      </c>
      <c r="I674" s="3">
        <f>[1]Result_notebook_retravaill!K674</f>
        <v>5118.6837084685922</v>
      </c>
      <c r="J674" s="3">
        <f>MIN(G674,[1]Result_notebook_retravaill!I674)</f>
        <v>17.42341200168546</v>
      </c>
      <c r="K674" s="3">
        <f>IF([1]Result_notebook_retravaill!I674&gt;[1]Result_notebook_retravaill!G674,0,IF([1]Result_notebook_retravaill!I674+[1]Result_notebook_retravaill!J674&gt;[1]Result_notebook_retravaill!G674,[1]Result_notebook_retravaill!G674-[1]Result_notebook_retravaill!I674,[1]Result_notebook_retravaill!J674))</f>
        <v>11.686251624394771</v>
      </c>
      <c r="L674" s="3">
        <f>IF([1]Result_notebook_retravaill!I674&gt;[1]Result_notebook_retravaill!G674,0,IF([1]Result_notebook_retravaill!I674+[1]Result_notebook_retravaill!J674&gt;[1]Result_notebook_retravaill!G674,0,[1]Result_notebook_retravaill!M674))</f>
        <v>3059.5663596307236</v>
      </c>
    </row>
    <row r="675" spans="1:12">
      <c r="A675">
        <f>[1]Result_notebook_retravaill!A675</f>
        <v>2032</v>
      </c>
      <c r="B675" t="str">
        <f>[1]Result_notebook_retravaill!B675</f>
        <v>Neodymium</v>
      </c>
      <c r="C675" t="str">
        <f>[1]Result_notebook_retravaill!C675</f>
        <v>Global Net-zero</v>
      </c>
      <c r="D675" t="str">
        <f>[1]Result_notebook_retravaill!D675</f>
        <v>Production potential</v>
      </c>
      <c r="E675" t="str">
        <f>[1]Result_notebook_retravaill!E675</f>
        <v>Current shares</v>
      </c>
      <c r="F675" t="str">
        <f>[1]Result_notebook_retravaill!F675</f>
        <v>Expansion Extractive+Circularity</v>
      </c>
      <c r="G675">
        <f>[1]Result_notebook_retravaill!G675</f>
        <v>3088.6760232568031</v>
      </c>
      <c r="H675" s="3">
        <f>IF([1]Result_notebook_retravaill!I675&gt;[1]Result_notebook_retravaill!G675,[1]Result_notebook_retravaill!I675/[1]Result_notebook_retravaill!N675,[1]Result_notebook_retravaill!H675)</f>
        <v>29.109663626080231</v>
      </c>
      <c r="I675" s="3">
        <f>[1]Result_notebook_retravaill!K675</f>
        <v>5118.6837084685922</v>
      </c>
      <c r="J675" s="3">
        <f>MIN(G675,[1]Result_notebook_retravaill!I675)</f>
        <v>17.42341200168546</v>
      </c>
      <c r="K675" s="3">
        <f>IF([1]Result_notebook_retravaill!I675&gt;[1]Result_notebook_retravaill!G675,0,IF([1]Result_notebook_retravaill!I675+[1]Result_notebook_retravaill!J675&gt;[1]Result_notebook_retravaill!G675,[1]Result_notebook_retravaill!G675-[1]Result_notebook_retravaill!I675,[1]Result_notebook_retravaill!J675))</f>
        <v>11.686251624394771</v>
      </c>
      <c r="L675" s="3">
        <f>IF([1]Result_notebook_retravaill!I675&gt;[1]Result_notebook_retravaill!G675,0,IF([1]Result_notebook_retravaill!I675+[1]Result_notebook_retravaill!J675&gt;[1]Result_notebook_retravaill!G675,0,[1]Result_notebook_retravaill!M675))</f>
        <v>3059.5663596307236</v>
      </c>
    </row>
    <row r="676" spans="1:12">
      <c r="A676">
        <f>[1]Result_notebook_retravaill!A676</f>
        <v>2032</v>
      </c>
      <c r="B676" t="str">
        <f>[1]Result_notebook_retravaill!B676</f>
        <v>Neodymium</v>
      </c>
      <c r="C676" t="str">
        <f>[1]Result_notebook_retravaill!C676</f>
        <v>Global Net-zero</v>
      </c>
      <c r="D676" t="str">
        <f>[1]Result_notebook_retravaill!D676</f>
        <v>Production potential</v>
      </c>
      <c r="E676" t="str">
        <f>[1]Result_notebook_retravaill!E676</f>
        <v>100% CAN</v>
      </c>
      <c r="F676" t="str">
        <f>[1]Result_notebook_retravaill!F676</f>
        <v>Integrated</v>
      </c>
      <c r="G676">
        <f>[1]Result_notebook_retravaill!G676</f>
        <v>3088.6760232568031</v>
      </c>
      <c r="H676" s="3">
        <f>IF([1]Result_notebook_retravaill!I676&gt;[1]Result_notebook_retravaill!G676,[1]Result_notebook_retravaill!I676/[1]Result_notebook_retravaill!N676,[1]Result_notebook_retravaill!H676)</f>
        <v>29.109663626080231</v>
      </c>
      <c r="I676" s="3">
        <f>[1]Result_notebook_retravaill!K676</f>
        <v>5118.6837084685922</v>
      </c>
      <c r="J676" s="3">
        <f>MIN(G676,[1]Result_notebook_retravaill!I676)</f>
        <v>17.42341200168546</v>
      </c>
      <c r="K676" s="3">
        <f>IF([1]Result_notebook_retravaill!I676&gt;[1]Result_notebook_retravaill!G676,0,IF([1]Result_notebook_retravaill!I676+[1]Result_notebook_retravaill!J676&gt;[1]Result_notebook_retravaill!G676,[1]Result_notebook_retravaill!G676-[1]Result_notebook_retravaill!I676,[1]Result_notebook_retravaill!J676))</f>
        <v>11.686251624394771</v>
      </c>
      <c r="L676" s="3">
        <f>IF([1]Result_notebook_retravaill!I676&gt;[1]Result_notebook_retravaill!G676,0,IF([1]Result_notebook_retravaill!I676+[1]Result_notebook_retravaill!J676&gt;[1]Result_notebook_retravaill!G676,0,[1]Result_notebook_retravaill!M676))</f>
        <v>3059.5663596307236</v>
      </c>
    </row>
    <row r="677" spans="1:12">
      <c r="A677">
        <f>[1]Result_notebook_retravaill!A677</f>
        <v>2032</v>
      </c>
      <c r="B677" t="str">
        <f>[1]Result_notebook_retravaill!B677</f>
        <v>Nickel</v>
      </c>
      <c r="C677" t="str">
        <f>[1]Result_notebook_retravaill!C677</f>
        <v>Canada Net-zero</v>
      </c>
      <c r="D677" t="str">
        <f>[1]Result_notebook_retravaill!D677</f>
        <v>Existing production</v>
      </c>
      <c r="E677" t="str">
        <f>[1]Result_notebook_retravaill!E677</f>
        <v>Current shares</v>
      </c>
      <c r="F677" t="str">
        <f>[1]Result_notebook_retravaill!F677</f>
        <v>NIMBY</v>
      </c>
      <c r="G677">
        <f>[1]Result_notebook_retravaill!G677</f>
        <v>108954.6041363616</v>
      </c>
      <c r="H677" s="3">
        <f>IF([1]Result_notebook_retravaill!I677&gt;[1]Result_notebook_retravaill!G677,[1]Result_notebook_retravaill!I677/[1]Result_notebook_retravaill!N677,[1]Result_notebook_retravaill!H677)</f>
        <v>0</v>
      </c>
      <c r="I677" s="3">
        <f>[1]Result_notebook_retravaill!K677</f>
        <v>137917.2204257742</v>
      </c>
      <c r="J677" s="3">
        <f>MIN(G677,[1]Result_notebook_retravaill!I677)</f>
        <v>0</v>
      </c>
      <c r="K677" s="3">
        <f>IF([1]Result_notebook_retravaill!I677&gt;[1]Result_notebook_retravaill!G677,0,IF([1]Result_notebook_retravaill!I677+[1]Result_notebook_retravaill!J677&gt;[1]Result_notebook_retravaill!G677,[1]Result_notebook_retravaill!G677-[1]Result_notebook_retravaill!I677,[1]Result_notebook_retravaill!J677))</f>
        <v>0</v>
      </c>
      <c r="L677" s="3">
        <f>IF([1]Result_notebook_retravaill!I677&gt;[1]Result_notebook_retravaill!G677,0,IF([1]Result_notebook_retravaill!I677+[1]Result_notebook_retravaill!J677&gt;[1]Result_notebook_retravaill!G677,0,[1]Result_notebook_retravaill!M677))</f>
        <v>108954.6041363616</v>
      </c>
    </row>
    <row r="678" spans="1:12">
      <c r="A678">
        <f>[1]Result_notebook_retravaill!A678</f>
        <v>2032</v>
      </c>
      <c r="B678" t="str">
        <f>[1]Result_notebook_retravaill!B678</f>
        <v>Nickel</v>
      </c>
      <c r="C678" t="str">
        <f>[1]Result_notebook_retravaill!C678</f>
        <v>Canada Net-zero</v>
      </c>
      <c r="D678" t="str">
        <f>[1]Result_notebook_retravaill!D678</f>
        <v>Existing production</v>
      </c>
      <c r="E678" t="str">
        <f>[1]Result_notebook_retravaill!E678</f>
        <v>Current shares</v>
      </c>
      <c r="F678" t="str">
        <f>[1]Result_notebook_retravaill!F678</f>
        <v>Status Quo</v>
      </c>
      <c r="G678">
        <f>[1]Result_notebook_retravaill!G678</f>
        <v>108954.6041363616</v>
      </c>
      <c r="H678" s="3">
        <f>IF([1]Result_notebook_retravaill!I678&gt;[1]Result_notebook_retravaill!G678,[1]Result_notebook_retravaill!I678/[1]Result_notebook_retravaill!N678,[1]Result_notebook_retravaill!H678)</f>
        <v>139278</v>
      </c>
      <c r="I678" s="3">
        <f>[1]Result_notebook_retravaill!K678</f>
        <v>0</v>
      </c>
      <c r="J678" s="3">
        <f>MIN(G678,[1]Result_notebook_retravaill!I678)</f>
        <v>78118.250613288372</v>
      </c>
      <c r="K678" s="3">
        <f>IF([1]Result_notebook_retravaill!I678&gt;[1]Result_notebook_retravaill!G678,0,IF([1]Result_notebook_retravaill!I678+[1]Result_notebook_retravaill!J678&gt;[1]Result_notebook_retravaill!G678,[1]Result_notebook_retravaill!G678-[1]Result_notebook_retravaill!I678,[1]Result_notebook_retravaill!J678))</f>
        <v>19260.814234886071</v>
      </c>
      <c r="L678" s="3">
        <f>IF([1]Result_notebook_retravaill!I678&gt;[1]Result_notebook_retravaill!G678,0,IF([1]Result_notebook_retravaill!I678+[1]Result_notebook_retravaill!J678&gt;[1]Result_notebook_retravaill!G678,0,[1]Result_notebook_retravaill!M678))</f>
        <v>11575.539288187148</v>
      </c>
    </row>
    <row r="679" spans="1:12">
      <c r="A679">
        <f>[1]Result_notebook_retravaill!A679</f>
        <v>2032</v>
      </c>
      <c r="B679" t="str">
        <f>[1]Result_notebook_retravaill!B679</f>
        <v>Nickel</v>
      </c>
      <c r="C679" t="str">
        <f>[1]Result_notebook_retravaill!C679</f>
        <v>Canada Net-zero</v>
      </c>
      <c r="D679" t="str">
        <f>[1]Result_notebook_retravaill!D679</f>
        <v>Production potential</v>
      </c>
      <c r="E679" t="str">
        <f>[1]Result_notebook_retravaill!E679</f>
        <v>Current shares</v>
      </c>
      <c r="F679" t="str">
        <f>[1]Result_notebook_retravaill!F679</f>
        <v>Expansion Extractive</v>
      </c>
      <c r="G679">
        <f>[1]Result_notebook_retravaill!G679</f>
        <v>108954.6041363616</v>
      </c>
      <c r="H679" s="3">
        <f>IF([1]Result_notebook_retravaill!I679&gt;[1]Result_notebook_retravaill!G679,[1]Result_notebook_retravaill!I679/[1]Result_notebook_retravaill!N679,[1]Result_notebook_retravaill!H679)</f>
        <v>158501.98428456089</v>
      </c>
      <c r="I679" s="3">
        <f>[1]Result_notebook_retravaill!K679</f>
        <v>0</v>
      </c>
      <c r="J679" s="3">
        <f>MIN(G679,[1]Result_notebook_retravaill!I679)</f>
        <v>108954.6041363616</v>
      </c>
      <c r="K679" s="3">
        <f>IF([1]Result_notebook_retravaill!I679&gt;[1]Result_notebook_retravaill!G679,0,IF([1]Result_notebook_retravaill!I679+[1]Result_notebook_retravaill!J679&gt;[1]Result_notebook_retravaill!G679,[1]Result_notebook_retravaill!G679-[1]Result_notebook_retravaill!I679,[1]Result_notebook_retravaill!J679))</f>
        <v>0</v>
      </c>
      <c r="L679" s="3">
        <f>IF([1]Result_notebook_retravaill!I679&gt;[1]Result_notebook_retravaill!G679,0,IF([1]Result_notebook_retravaill!I679+[1]Result_notebook_retravaill!J679&gt;[1]Result_notebook_retravaill!G679,0,[1]Result_notebook_retravaill!M679))</f>
        <v>0</v>
      </c>
    </row>
    <row r="680" spans="1:12">
      <c r="A680">
        <f>[1]Result_notebook_retravaill!A680</f>
        <v>2032</v>
      </c>
      <c r="B680" t="str">
        <f>[1]Result_notebook_retravaill!B680</f>
        <v>Nickel</v>
      </c>
      <c r="C680" t="str">
        <f>[1]Result_notebook_retravaill!C680</f>
        <v>Canada Net-zero</v>
      </c>
      <c r="D680" t="str">
        <f>[1]Result_notebook_retravaill!D680</f>
        <v>Production potential</v>
      </c>
      <c r="E680" t="str">
        <f>[1]Result_notebook_retravaill!E680</f>
        <v>Current shares</v>
      </c>
      <c r="F680" t="str">
        <f>[1]Result_notebook_retravaill!F680</f>
        <v>Expansion Extractive+Circularity</v>
      </c>
      <c r="G680">
        <f>[1]Result_notebook_retravaill!G680</f>
        <v>108954.6041363616</v>
      </c>
      <c r="H680" s="3">
        <f>IF([1]Result_notebook_retravaill!I680&gt;[1]Result_notebook_retravaill!G680,[1]Result_notebook_retravaill!I680/[1]Result_notebook_retravaill!N680,[1]Result_notebook_retravaill!H680)</f>
        <v>158501.98428456089</v>
      </c>
      <c r="I680" s="3">
        <f>[1]Result_notebook_retravaill!K680</f>
        <v>0</v>
      </c>
      <c r="J680" s="3">
        <f>MIN(G680,[1]Result_notebook_retravaill!I680)</f>
        <v>108954.6041363616</v>
      </c>
      <c r="K680" s="3">
        <f>IF([1]Result_notebook_retravaill!I680&gt;[1]Result_notebook_retravaill!G680,0,IF([1]Result_notebook_retravaill!I680+[1]Result_notebook_retravaill!J680&gt;[1]Result_notebook_retravaill!G680,[1]Result_notebook_retravaill!G680-[1]Result_notebook_retravaill!I680,[1]Result_notebook_retravaill!J680))</f>
        <v>0</v>
      </c>
      <c r="L680" s="3">
        <f>IF([1]Result_notebook_retravaill!I680&gt;[1]Result_notebook_retravaill!G680,0,IF([1]Result_notebook_retravaill!I680+[1]Result_notebook_retravaill!J680&gt;[1]Result_notebook_retravaill!G680,0,[1]Result_notebook_retravaill!M680))</f>
        <v>0</v>
      </c>
    </row>
    <row r="681" spans="1:12">
      <c r="A681">
        <f>[1]Result_notebook_retravaill!A681</f>
        <v>2032</v>
      </c>
      <c r="B681" t="str">
        <f>[1]Result_notebook_retravaill!B681</f>
        <v>Nickel</v>
      </c>
      <c r="C681" t="str">
        <f>[1]Result_notebook_retravaill!C681</f>
        <v>Canada Net-zero</v>
      </c>
      <c r="D681" t="str">
        <f>[1]Result_notebook_retravaill!D681</f>
        <v>Production potential</v>
      </c>
      <c r="E681" t="str">
        <f>[1]Result_notebook_retravaill!E681</f>
        <v>100% CAN</v>
      </c>
      <c r="F681" t="str">
        <f>[1]Result_notebook_retravaill!F681</f>
        <v>Integrated</v>
      </c>
      <c r="G681">
        <f>[1]Result_notebook_retravaill!G681</f>
        <v>108954.6041363616</v>
      </c>
      <c r="H681" s="3">
        <f>IF([1]Result_notebook_retravaill!I681&gt;[1]Result_notebook_retravaill!G681,[1]Result_notebook_retravaill!I681/[1]Result_notebook_retravaill!N681,[1]Result_notebook_retravaill!H681)</f>
        <v>222559.22869436015</v>
      </c>
      <c r="I681" s="3">
        <f>[1]Result_notebook_retravaill!K681</f>
        <v>0</v>
      </c>
      <c r="J681" s="3">
        <f>MIN(G681,[1]Result_notebook_retravaill!I681)</f>
        <v>108954.6041363616</v>
      </c>
      <c r="K681" s="3">
        <f>IF([1]Result_notebook_retravaill!I681&gt;[1]Result_notebook_retravaill!G681,0,IF([1]Result_notebook_retravaill!I681+[1]Result_notebook_retravaill!J681&gt;[1]Result_notebook_retravaill!G681,[1]Result_notebook_retravaill!G681-[1]Result_notebook_retravaill!I681,[1]Result_notebook_retravaill!J681))</f>
        <v>0</v>
      </c>
      <c r="L681" s="3">
        <f>IF([1]Result_notebook_retravaill!I681&gt;[1]Result_notebook_retravaill!G681,0,IF([1]Result_notebook_retravaill!I681+[1]Result_notebook_retravaill!J681&gt;[1]Result_notebook_retravaill!G681,0,[1]Result_notebook_retravaill!M681))</f>
        <v>0</v>
      </c>
    </row>
    <row r="682" spans="1:12">
      <c r="A682">
        <f>[1]Result_notebook_retravaill!A682</f>
        <v>2032</v>
      </c>
      <c r="B682" t="str">
        <f>[1]Result_notebook_retravaill!B682</f>
        <v>Nickel</v>
      </c>
      <c r="C682" t="str">
        <f>[1]Result_notebook_retravaill!C682</f>
        <v>Current Measures</v>
      </c>
      <c r="D682" t="str">
        <f>[1]Result_notebook_retravaill!D682</f>
        <v>Existing production</v>
      </c>
      <c r="E682" t="str">
        <f>[1]Result_notebook_retravaill!E682</f>
        <v>Current shares</v>
      </c>
      <c r="F682" t="str">
        <f>[1]Result_notebook_retravaill!F682</f>
        <v>NIMBY</v>
      </c>
      <c r="G682">
        <f>[1]Result_notebook_retravaill!G682</f>
        <v>49277.628426306859</v>
      </c>
      <c r="H682" s="3">
        <f>IF([1]Result_notebook_retravaill!I682&gt;[1]Result_notebook_retravaill!G682,[1]Result_notebook_retravaill!I682/[1]Result_notebook_retravaill!N682,[1]Result_notebook_retravaill!H682)</f>
        <v>0</v>
      </c>
      <c r="I682" s="3">
        <f>[1]Result_notebook_retravaill!K682</f>
        <v>62376.744843426401</v>
      </c>
      <c r="J682" s="3">
        <f>MIN(G682,[1]Result_notebook_retravaill!I682)</f>
        <v>0</v>
      </c>
      <c r="K682" s="3">
        <f>IF([1]Result_notebook_retravaill!I682&gt;[1]Result_notebook_retravaill!G682,0,IF([1]Result_notebook_retravaill!I682+[1]Result_notebook_retravaill!J682&gt;[1]Result_notebook_retravaill!G682,[1]Result_notebook_retravaill!G682-[1]Result_notebook_retravaill!I682,[1]Result_notebook_retravaill!J682))</f>
        <v>0</v>
      </c>
      <c r="L682" s="3">
        <f>IF([1]Result_notebook_retravaill!I682&gt;[1]Result_notebook_retravaill!G682,0,IF([1]Result_notebook_retravaill!I682+[1]Result_notebook_retravaill!J682&gt;[1]Result_notebook_retravaill!G682,0,[1]Result_notebook_retravaill!M682))</f>
        <v>49277.628426306859</v>
      </c>
    </row>
    <row r="683" spans="1:12">
      <c r="A683">
        <f>[1]Result_notebook_retravaill!A683</f>
        <v>2032</v>
      </c>
      <c r="B683" t="str">
        <f>[1]Result_notebook_retravaill!B683</f>
        <v>Nickel</v>
      </c>
      <c r="C683" t="str">
        <f>[1]Result_notebook_retravaill!C683</f>
        <v>Current Measures</v>
      </c>
      <c r="D683" t="str">
        <f>[1]Result_notebook_retravaill!D683</f>
        <v>Existing production</v>
      </c>
      <c r="E683" t="str">
        <f>[1]Result_notebook_retravaill!E683</f>
        <v>Current shares</v>
      </c>
      <c r="F683" t="str">
        <f>[1]Result_notebook_retravaill!F683</f>
        <v>Status Quo</v>
      </c>
      <c r="G683">
        <f>[1]Result_notebook_retravaill!G683</f>
        <v>49277.628426306859</v>
      </c>
      <c r="H683" s="3">
        <f>IF([1]Result_notebook_retravaill!I683&gt;[1]Result_notebook_retravaill!G683,[1]Result_notebook_retravaill!I683/[1]Result_notebook_retravaill!N683,[1]Result_notebook_retravaill!H683)</f>
        <v>111729.90545638361</v>
      </c>
      <c r="I683" s="3">
        <f>[1]Result_notebook_retravaill!K683</f>
        <v>0</v>
      </c>
      <c r="J683" s="3">
        <f>MIN(G683,[1]Result_notebook_retravaill!I683)</f>
        <v>49277.628426306859</v>
      </c>
      <c r="K683" s="3">
        <f>IF([1]Result_notebook_retravaill!I683&gt;[1]Result_notebook_retravaill!G683,0,IF([1]Result_notebook_retravaill!I683+[1]Result_notebook_retravaill!J683&gt;[1]Result_notebook_retravaill!G683,[1]Result_notebook_retravaill!G683-[1]Result_notebook_retravaill!I683,[1]Result_notebook_retravaill!J683))</f>
        <v>0</v>
      </c>
      <c r="L683" s="3">
        <f>IF([1]Result_notebook_retravaill!I683&gt;[1]Result_notebook_retravaill!G683,0,IF([1]Result_notebook_retravaill!I683+[1]Result_notebook_retravaill!J683&gt;[1]Result_notebook_retravaill!G683,0,[1]Result_notebook_retravaill!M683))</f>
        <v>0</v>
      </c>
    </row>
    <row r="684" spans="1:12">
      <c r="A684">
        <f>[1]Result_notebook_retravaill!A684</f>
        <v>2032</v>
      </c>
      <c r="B684" t="str">
        <f>[1]Result_notebook_retravaill!B684</f>
        <v>Nickel</v>
      </c>
      <c r="C684" t="str">
        <f>[1]Result_notebook_retravaill!C684</f>
        <v>Current Measures</v>
      </c>
      <c r="D684" t="str">
        <f>[1]Result_notebook_retravaill!D684</f>
        <v>Production potential</v>
      </c>
      <c r="E684" t="str">
        <f>[1]Result_notebook_retravaill!E684</f>
        <v>Current shares</v>
      </c>
      <c r="F684" t="str">
        <f>[1]Result_notebook_retravaill!F684</f>
        <v>Expansion Extractive</v>
      </c>
      <c r="G684">
        <f>[1]Result_notebook_retravaill!G684</f>
        <v>49277.628426306859</v>
      </c>
      <c r="H684" s="3">
        <f>IF([1]Result_notebook_retravaill!I684&gt;[1]Result_notebook_retravaill!G684,[1]Result_notebook_retravaill!I684/[1]Result_notebook_retravaill!N684,[1]Result_notebook_retravaill!H684)</f>
        <v>158501.98428456089</v>
      </c>
      <c r="I684" s="3">
        <f>[1]Result_notebook_retravaill!K684</f>
        <v>0</v>
      </c>
      <c r="J684" s="3">
        <f>MIN(G684,[1]Result_notebook_retravaill!I684)</f>
        <v>49277.628426306859</v>
      </c>
      <c r="K684" s="3">
        <f>IF([1]Result_notebook_retravaill!I684&gt;[1]Result_notebook_retravaill!G684,0,IF([1]Result_notebook_retravaill!I684+[1]Result_notebook_retravaill!J684&gt;[1]Result_notebook_retravaill!G684,[1]Result_notebook_retravaill!G684-[1]Result_notebook_retravaill!I684,[1]Result_notebook_retravaill!J684))</f>
        <v>0</v>
      </c>
      <c r="L684" s="3">
        <f>IF([1]Result_notebook_retravaill!I684&gt;[1]Result_notebook_retravaill!G684,0,IF([1]Result_notebook_retravaill!I684+[1]Result_notebook_retravaill!J684&gt;[1]Result_notebook_retravaill!G684,0,[1]Result_notebook_retravaill!M684))</f>
        <v>0</v>
      </c>
    </row>
    <row r="685" spans="1:12">
      <c r="A685">
        <f>[1]Result_notebook_retravaill!A685</f>
        <v>2032</v>
      </c>
      <c r="B685" t="str">
        <f>[1]Result_notebook_retravaill!B685</f>
        <v>Nickel</v>
      </c>
      <c r="C685" t="str">
        <f>[1]Result_notebook_retravaill!C685</f>
        <v>Current Measures</v>
      </c>
      <c r="D685" t="str">
        <f>[1]Result_notebook_retravaill!D685</f>
        <v>Production potential</v>
      </c>
      <c r="E685" t="str">
        <f>[1]Result_notebook_retravaill!E685</f>
        <v>Current shares</v>
      </c>
      <c r="F685" t="str">
        <f>[1]Result_notebook_retravaill!F685</f>
        <v>Expansion Extractive+Circularity</v>
      </c>
      <c r="G685">
        <f>[1]Result_notebook_retravaill!G685</f>
        <v>49277.628426306859</v>
      </c>
      <c r="H685" s="3">
        <f>IF([1]Result_notebook_retravaill!I685&gt;[1]Result_notebook_retravaill!G685,[1]Result_notebook_retravaill!I685/[1]Result_notebook_retravaill!N685,[1]Result_notebook_retravaill!H685)</f>
        <v>158501.98428456089</v>
      </c>
      <c r="I685" s="3">
        <f>[1]Result_notebook_retravaill!K685</f>
        <v>0</v>
      </c>
      <c r="J685" s="3">
        <f>MIN(G685,[1]Result_notebook_retravaill!I685)</f>
        <v>49277.628426306859</v>
      </c>
      <c r="K685" s="3">
        <f>IF([1]Result_notebook_retravaill!I685&gt;[1]Result_notebook_retravaill!G685,0,IF([1]Result_notebook_retravaill!I685+[1]Result_notebook_retravaill!J685&gt;[1]Result_notebook_retravaill!G685,[1]Result_notebook_retravaill!G685-[1]Result_notebook_retravaill!I685,[1]Result_notebook_retravaill!J685))</f>
        <v>0</v>
      </c>
      <c r="L685" s="3">
        <f>IF([1]Result_notebook_retravaill!I685&gt;[1]Result_notebook_retravaill!G685,0,IF([1]Result_notebook_retravaill!I685+[1]Result_notebook_retravaill!J685&gt;[1]Result_notebook_retravaill!G685,0,[1]Result_notebook_retravaill!M685))</f>
        <v>0</v>
      </c>
    </row>
    <row r="686" spans="1:12">
      <c r="A686">
        <f>[1]Result_notebook_retravaill!A686</f>
        <v>2032</v>
      </c>
      <c r="B686" t="str">
        <f>[1]Result_notebook_retravaill!B686</f>
        <v>Nickel</v>
      </c>
      <c r="C686" t="str">
        <f>[1]Result_notebook_retravaill!C686</f>
        <v>Current Measures</v>
      </c>
      <c r="D686" t="str">
        <f>[1]Result_notebook_retravaill!D686</f>
        <v>Production potential</v>
      </c>
      <c r="E686" t="str">
        <f>[1]Result_notebook_retravaill!E686</f>
        <v>100% CAN</v>
      </c>
      <c r="F686" t="str">
        <f>[1]Result_notebook_retravaill!F686</f>
        <v>Integrated</v>
      </c>
      <c r="G686">
        <f>[1]Result_notebook_retravaill!G686</f>
        <v>49277.628426306859</v>
      </c>
      <c r="H686" s="3">
        <f>IF([1]Result_notebook_retravaill!I686&gt;[1]Result_notebook_retravaill!G686,[1]Result_notebook_retravaill!I686/[1]Result_notebook_retravaill!N686,[1]Result_notebook_retravaill!H686)</f>
        <v>222559.22869436015</v>
      </c>
      <c r="I686" s="3">
        <f>[1]Result_notebook_retravaill!K686</f>
        <v>0</v>
      </c>
      <c r="J686" s="3">
        <f>MIN(G686,[1]Result_notebook_retravaill!I686)</f>
        <v>49277.628426306859</v>
      </c>
      <c r="K686" s="3">
        <f>IF([1]Result_notebook_retravaill!I686&gt;[1]Result_notebook_retravaill!G686,0,IF([1]Result_notebook_retravaill!I686+[1]Result_notebook_retravaill!J686&gt;[1]Result_notebook_retravaill!G686,[1]Result_notebook_retravaill!G686-[1]Result_notebook_retravaill!I686,[1]Result_notebook_retravaill!J686))</f>
        <v>0</v>
      </c>
      <c r="L686" s="3">
        <f>IF([1]Result_notebook_retravaill!I686&gt;[1]Result_notebook_retravaill!G686,0,IF([1]Result_notebook_retravaill!I686+[1]Result_notebook_retravaill!J686&gt;[1]Result_notebook_retravaill!G686,0,[1]Result_notebook_retravaill!M686))</f>
        <v>0</v>
      </c>
    </row>
    <row r="687" spans="1:12">
      <c r="A687">
        <f>[1]Result_notebook_retravaill!A687</f>
        <v>2032</v>
      </c>
      <c r="B687" t="str">
        <f>[1]Result_notebook_retravaill!B687</f>
        <v>Nickel</v>
      </c>
      <c r="C687" t="str">
        <f>[1]Result_notebook_retravaill!C687</f>
        <v>Global Net-zero</v>
      </c>
      <c r="D687" t="str">
        <f>[1]Result_notebook_retravaill!D687</f>
        <v>Existing production</v>
      </c>
      <c r="E687" t="str">
        <f>[1]Result_notebook_retravaill!E687</f>
        <v>Current shares</v>
      </c>
      <c r="F687" t="str">
        <f>[1]Result_notebook_retravaill!F687</f>
        <v>NIMBY</v>
      </c>
      <c r="G687">
        <f>[1]Result_notebook_retravaill!G687</f>
        <v>103780.1262842799</v>
      </c>
      <c r="H687" s="3">
        <f>IF([1]Result_notebook_retravaill!I687&gt;[1]Result_notebook_retravaill!G687,[1]Result_notebook_retravaill!I687/[1]Result_notebook_retravaill!N687,[1]Result_notebook_retravaill!H687)</f>
        <v>0</v>
      </c>
      <c r="I687" s="3">
        <f>[1]Result_notebook_retravaill!K687</f>
        <v>131367.24846111381</v>
      </c>
      <c r="J687" s="3">
        <f>MIN(G687,[1]Result_notebook_retravaill!I687)</f>
        <v>0</v>
      </c>
      <c r="K687" s="3">
        <f>IF([1]Result_notebook_retravaill!I687&gt;[1]Result_notebook_retravaill!G687,0,IF([1]Result_notebook_retravaill!I687+[1]Result_notebook_retravaill!J687&gt;[1]Result_notebook_retravaill!G687,[1]Result_notebook_retravaill!G687-[1]Result_notebook_retravaill!I687,[1]Result_notebook_retravaill!J687))</f>
        <v>0</v>
      </c>
      <c r="L687" s="3">
        <f>IF([1]Result_notebook_retravaill!I687&gt;[1]Result_notebook_retravaill!G687,0,IF([1]Result_notebook_retravaill!I687+[1]Result_notebook_retravaill!J687&gt;[1]Result_notebook_retravaill!G687,0,[1]Result_notebook_retravaill!M687))</f>
        <v>103780.1262842799</v>
      </c>
    </row>
    <row r="688" spans="1:12">
      <c r="A688">
        <f>[1]Result_notebook_retravaill!A688</f>
        <v>2032</v>
      </c>
      <c r="B688" t="str">
        <f>[1]Result_notebook_retravaill!B688</f>
        <v>Nickel</v>
      </c>
      <c r="C688" t="str">
        <f>[1]Result_notebook_retravaill!C688</f>
        <v>Global Net-zero</v>
      </c>
      <c r="D688" t="str">
        <f>[1]Result_notebook_retravaill!D688</f>
        <v>Existing production</v>
      </c>
      <c r="E688" t="str">
        <f>[1]Result_notebook_retravaill!E688</f>
        <v>Current shares</v>
      </c>
      <c r="F688" t="str">
        <f>[1]Result_notebook_retravaill!F688</f>
        <v>Status Quo</v>
      </c>
      <c r="G688">
        <f>[1]Result_notebook_retravaill!G688</f>
        <v>103780.1262842799</v>
      </c>
      <c r="H688" s="3">
        <f>IF([1]Result_notebook_retravaill!I688&gt;[1]Result_notebook_retravaill!G688,[1]Result_notebook_retravaill!I688/[1]Result_notebook_retravaill!N688,[1]Result_notebook_retravaill!H688)</f>
        <v>139278</v>
      </c>
      <c r="I688" s="3">
        <f>[1]Result_notebook_retravaill!K688</f>
        <v>0</v>
      </c>
      <c r="J688" s="3">
        <f>MIN(G688,[1]Result_notebook_retravaill!I688)</f>
        <v>78118.250613288372</v>
      </c>
      <c r="K688" s="3">
        <f>IF([1]Result_notebook_retravaill!I688&gt;[1]Result_notebook_retravaill!G688,0,IF([1]Result_notebook_retravaill!I688+[1]Result_notebook_retravaill!J688&gt;[1]Result_notebook_retravaill!G688,[1]Result_notebook_retravaill!G688-[1]Result_notebook_retravaill!I688,[1]Result_notebook_retravaill!J688))</f>
        <v>19260.814234886071</v>
      </c>
      <c r="L688" s="3">
        <f>IF([1]Result_notebook_retravaill!I688&gt;[1]Result_notebook_retravaill!G688,0,IF([1]Result_notebook_retravaill!I688+[1]Result_notebook_retravaill!J688&gt;[1]Result_notebook_retravaill!G688,0,[1]Result_notebook_retravaill!M688))</f>
        <v>6401.0614361054577</v>
      </c>
    </row>
    <row r="689" spans="1:12">
      <c r="A689">
        <f>[1]Result_notebook_retravaill!A689</f>
        <v>2032</v>
      </c>
      <c r="B689" t="str">
        <f>[1]Result_notebook_retravaill!B689</f>
        <v>Nickel</v>
      </c>
      <c r="C689" t="str">
        <f>[1]Result_notebook_retravaill!C689</f>
        <v>Global Net-zero</v>
      </c>
      <c r="D689" t="str">
        <f>[1]Result_notebook_retravaill!D689</f>
        <v>Production potential</v>
      </c>
      <c r="E689" t="str">
        <f>[1]Result_notebook_retravaill!E689</f>
        <v>Current shares</v>
      </c>
      <c r="F689" t="str">
        <f>[1]Result_notebook_retravaill!F689</f>
        <v>Expansion Extractive</v>
      </c>
      <c r="G689">
        <f>[1]Result_notebook_retravaill!G689</f>
        <v>103780.1262842799</v>
      </c>
      <c r="H689" s="3">
        <f>IF([1]Result_notebook_retravaill!I689&gt;[1]Result_notebook_retravaill!G689,[1]Result_notebook_retravaill!I689/[1]Result_notebook_retravaill!N689,[1]Result_notebook_retravaill!H689)</f>
        <v>158501.98428456089</v>
      </c>
      <c r="I689" s="3">
        <f>[1]Result_notebook_retravaill!K689</f>
        <v>0</v>
      </c>
      <c r="J689" s="3">
        <f>MIN(G689,[1]Result_notebook_retravaill!I689)</f>
        <v>103780.1262842799</v>
      </c>
      <c r="K689" s="3">
        <f>IF([1]Result_notebook_retravaill!I689&gt;[1]Result_notebook_retravaill!G689,0,IF([1]Result_notebook_retravaill!I689+[1]Result_notebook_retravaill!J689&gt;[1]Result_notebook_retravaill!G689,[1]Result_notebook_retravaill!G689-[1]Result_notebook_retravaill!I689,[1]Result_notebook_retravaill!J689))</f>
        <v>0</v>
      </c>
      <c r="L689" s="3">
        <f>IF([1]Result_notebook_retravaill!I689&gt;[1]Result_notebook_retravaill!G689,0,IF([1]Result_notebook_retravaill!I689+[1]Result_notebook_retravaill!J689&gt;[1]Result_notebook_retravaill!G689,0,[1]Result_notebook_retravaill!M689))</f>
        <v>0</v>
      </c>
    </row>
    <row r="690" spans="1:12">
      <c r="A690">
        <f>[1]Result_notebook_retravaill!A690</f>
        <v>2032</v>
      </c>
      <c r="B690" t="str">
        <f>[1]Result_notebook_retravaill!B690</f>
        <v>Nickel</v>
      </c>
      <c r="C690" t="str">
        <f>[1]Result_notebook_retravaill!C690</f>
        <v>Global Net-zero</v>
      </c>
      <c r="D690" t="str">
        <f>[1]Result_notebook_retravaill!D690</f>
        <v>Production potential</v>
      </c>
      <c r="E690" t="str">
        <f>[1]Result_notebook_retravaill!E690</f>
        <v>Current shares</v>
      </c>
      <c r="F690" t="str">
        <f>[1]Result_notebook_retravaill!F690</f>
        <v>Expansion Extractive+Circularity</v>
      </c>
      <c r="G690">
        <f>[1]Result_notebook_retravaill!G690</f>
        <v>103780.1262842799</v>
      </c>
      <c r="H690" s="3">
        <f>IF([1]Result_notebook_retravaill!I690&gt;[1]Result_notebook_retravaill!G690,[1]Result_notebook_retravaill!I690/[1]Result_notebook_retravaill!N690,[1]Result_notebook_retravaill!H690)</f>
        <v>158501.98428456089</v>
      </c>
      <c r="I690" s="3">
        <f>[1]Result_notebook_retravaill!K690</f>
        <v>0</v>
      </c>
      <c r="J690" s="3">
        <f>MIN(G690,[1]Result_notebook_retravaill!I690)</f>
        <v>103780.1262842799</v>
      </c>
      <c r="K690" s="3">
        <f>IF([1]Result_notebook_retravaill!I690&gt;[1]Result_notebook_retravaill!G690,0,IF([1]Result_notebook_retravaill!I690+[1]Result_notebook_retravaill!J690&gt;[1]Result_notebook_retravaill!G690,[1]Result_notebook_retravaill!G690-[1]Result_notebook_retravaill!I690,[1]Result_notebook_retravaill!J690))</f>
        <v>0</v>
      </c>
      <c r="L690" s="3">
        <f>IF([1]Result_notebook_retravaill!I690&gt;[1]Result_notebook_retravaill!G690,0,IF([1]Result_notebook_retravaill!I690+[1]Result_notebook_retravaill!J690&gt;[1]Result_notebook_retravaill!G690,0,[1]Result_notebook_retravaill!M690))</f>
        <v>0</v>
      </c>
    </row>
    <row r="691" spans="1:12">
      <c r="A691">
        <f>[1]Result_notebook_retravaill!A691</f>
        <v>2032</v>
      </c>
      <c r="B691" t="str">
        <f>[1]Result_notebook_retravaill!B691</f>
        <v>Nickel</v>
      </c>
      <c r="C691" t="str">
        <f>[1]Result_notebook_retravaill!C691</f>
        <v>Global Net-zero</v>
      </c>
      <c r="D691" t="str">
        <f>[1]Result_notebook_retravaill!D691</f>
        <v>Production potential</v>
      </c>
      <c r="E691" t="str">
        <f>[1]Result_notebook_retravaill!E691</f>
        <v>100% CAN</v>
      </c>
      <c r="F691" t="str">
        <f>[1]Result_notebook_retravaill!F691</f>
        <v>Integrated</v>
      </c>
      <c r="G691">
        <f>[1]Result_notebook_retravaill!G691</f>
        <v>103780.1262842799</v>
      </c>
      <c r="H691" s="3">
        <f>IF([1]Result_notebook_retravaill!I691&gt;[1]Result_notebook_retravaill!G691,[1]Result_notebook_retravaill!I691/[1]Result_notebook_retravaill!N691,[1]Result_notebook_retravaill!H691)</f>
        <v>222559.22869436015</v>
      </c>
      <c r="I691" s="3">
        <f>[1]Result_notebook_retravaill!K691</f>
        <v>0</v>
      </c>
      <c r="J691" s="3">
        <f>MIN(G691,[1]Result_notebook_retravaill!I691)</f>
        <v>103780.1262842799</v>
      </c>
      <c r="K691" s="3">
        <f>IF([1]Result_notebook_retravaill!I691&gt;[1]Result_notebook_retravaill!G691,0,IF([1]Result_notebook_retravaill!I691+[1]Result_notebook_retravaill!J691&gt;[1]Result_notebook_retravaill!G691,[1]Result_notebook_retravaill!G691-[1]Result_notebook_retravaill!I691,[1]Result_notebook_retravaill!J691))</f>
        <v>0</v>
      </c>
      <c r="L691" s="3">
        <f>IF([1]Result_notebook_retravaill!I691&gt;[1]Result_notebook_retravaill!G691,0,IF([1]Result_notebook_retravaill!I691+[1]Result_notebook_retravaill!J691&gt;[1]Result_notebook_retravaill!G691,0,[1]Result_notebook_retravaill!M691))</f>
        <v>0</v>
      </c>
    </row>
    <row r="692" spans="1:12">
      <c r="A692">
        <f>[1]Result_notebook_retravaill!A692</f>
        <v>2032</v>
      </c>
      <c r="B692" t="str">
        <f>[1]Result_notebook_retravaill!B692</f>
        <v>Graphite</v>
      </c>
      <c r="C692" t="str">
        <f>[1]Result_notebook_retravaill!C692</f>
        <v>Canada Net-zero</v>
      </c>
      <c r="D692" t="str">
        <f>[1]Result_notebook_retravaill!D692</f>
        <v>Existing production</v>
      </c>
      <c r="E692" t="str">
        <f>[1]Result_notebook_retravaill!E692</f>
        <v>Current shares</v>
      </c>
      <c r="F692" t="str">
        <f>[1]Result_notebook_retravaill!F692</f>
        <v>NIMBY</v>
      </c>
      <c r="G692">
        <f>[1]Result_notebook_retravaill!G692</f>
        <v>2450.943187437073</v>
      </c>
      <c r="H692" s="3">
        <f>IF([1]Result_notebook_retravaill!I692&gt;[1]Result_notebook_retravaill!G692,[1]Result_notebook_retravaill!I692/[1]Result_notebook_retravaill!N692,[1]Result_notebook_retravaill!H692)</f>
        <v>0</v>
      </c>
      <c r="I692" s="3">
        <f>[1]Result_notebook_retravaill!K692</f>
        <v>2450.943187437073</v>
      </c>
      <c r="J692" s="3">
        <f>MIN(G692,[1]Result_notebook_retravaill!I692)</f>
        <v>0</v>
      </c>
      <c r="K692" s="3">
        <f>IF([1]Result_notebook_retravaill!I692&gt;[1]Result_notebook_retravaill!G692,0,IF([1]Result_notebook_retravaill!I692+[1]Result_notebook_retravaill!J692&gt;[1]Result_notebook_retravaill!G692,[1]Result_notebook_retravaill!G692-[1]Result_notebook_retravaill!I692,[1]Result_notebook_retravaill!J692))</f>
        <v>0</v>
      </c>
      <c r="L692" s="3">
        <f>IF([1]Result_notebook_retravaill!I692&gt;[1]Result_notebook_retravaill!G692,0,IF([1]Result_notebook_retravaill!I692+[1]Result_notebook_retravaill!J692&gt;[1]Result_notebook_retravaill!G692,0,[1]Result_notebook_retravaill!M692))</f>
        <v>2450.943187437073</v>
      </c>
    </row>
    <row r="693" spans="1:12">
      <c r="A693">
        <f>[1]Result_notebook_retravaill!A693</f>
        <v>2032</v>
      </c>
      <c r="B693" t="str">
        <f>[1]Result_notebook_retravaill!B693</f>
        <v>Graphite</v>
      </c>
      <c r="C693" t="str">
        <f>[1]Result_notebook_retravaill!C693</f>
        <v>Canada Net-zero</v>
      </c>
      <c r="D693" t="str">
        <f>[1]Result_notebook_retravaill!D693</f>
        <v>Existing production</v>
      </c>
      <c r="E693" t="str">
        <f>[1]Result_notebook_retravaill!E693</f>
        <v>Current shares</v>
      </c>
      <c r="F693" t="str">
        <f>[1]Result_notebook_retravaill!F693</f>
        <v>Status Quo</v>
      </c>
      <c r="G693">
        <f>[1]Result_notebook_retravaill!G693</f>
        <v>2450.943187437073</v>
      </c>
      <c r="H693" s="3">
        <f>IF([1]Result_notebook_retravaill!I693&gt;[1]Result_notebook_retravaill!G693,[1]Result_notebook_retravaill!I693/[1]Result_notebook_retravaill!N693,[1]Result_notebook_retravaill!H693)</f>
        <v>0</v>
      </c>
      <c r="I693" s="3">
        <f>[1]Result_notebook_retravaill!K693</f>
        <v>2450.943187437073</v>
      </c>
      <c r="J693" s="3">
        <f>MIN(G693,[1]Result_notebook_retravaill!I693)</f>
        <v>0</v>
      </c>
      <c r="K693" s="3">
        <f>IF([1]Result_notebook_retravaill!I693&gt;[1]Result_notebook_retravaill!G693,0,IF([1]Result_notebook_retravaill!I693+[1]Result_notebook_retravaill!J693&gt;[1]Result_notebook_retravaill!G693,[1]Result_notebook_retravaill!G693-[1]Result_notebook_retravaill!I693,[1]Result_notebook_retravaill!J693))</f>
        <v>0</v>
      </c>
      <c r="L693" s="3">
        <f>IF([1]Result_notebook_retravaill!I693&gt;[1]Result_notebook_retravaill!G693,0,IF([1]Result_notebook_retravaill!I693+[1]Result_notebook_retravaill!J693&gt;[1]Result_notebook_retravaill!G693,0,[1]Result_notebook_retravaill!M693))</f>
        <v>2450.943187437073</v>
      </c>
    </row>
    <row r="694" spans="1:12">
      <c r="A694">
        <f>[1]Result_notebook_retravaill!A694</f>
        <v>2032</v>
      </c>
      <c r="B694" t="str">
        <f>[1]Result_notebook_retravaill!B694</f>
        <v>Graphite</v>
      </c>
      <c r="C694" t="str">
        <f>[1]Result_notebook_retravaill!C694</f>
        <v>Canada Net-zero</v>
      </c>
      <c r="D694" t="str">
        <f>[1]Result_notebook_retravaill!D694</f>
        <v>Production potential</v>
      </c>
      <c r="E694" t="str">
        <f>[1]Result_notebook_retravaill!E694</f>
        <v>Current shares</v>
      </c>
      <c r="F694" t="str">
        <f>[1]Result_notebook_retravaill!F694</f>
        <v>Expansion Extractive</v>
      </c>
      <c r="G694">
        <f>[1]Result_notebook_retravaill!G694</f>
        <v>2450.943187437073</v>
      </c>
      <c r="H694" s="3">
        <f>IF([1]Result_notebook_retravaill!I694&gt;[1]Result_notebook_retravaill!G694,[1]Result_notebook_retravaill!I694/[1]Result_notebook_retravaill!N694,[1]Result_notebook_retravaill!H694)</f>
        <v>49033.820374727635</v>
      </c>
      <c r="I694" s="3">
        <f>[1]Result_notebook_retravaill!K694</f>
        <v>0</v>
      </c>
      <c r="J694" s="3">
        <f>MIN(G694,[1]Result_notebook_retravaill!I694)</f>
        <v>2450.943187437073</v>
      </c>
      <c r="K694" s="3">
        <f>IF([1]Result_notebook_retravaill!I694&gt;[1]Result_notebook_retravaill!G694,0,IF([1]Result_notebook_retravaill!I694+[1]Result_notebook_retravaill!J694&gt;[1]Result_notebook_retravaill!G694,[1]Result_notebook_retravaill!G694-[1]Result_notebook_retravaill!I694,[1]Result_notebook_retravaill!J694))</f>
        <v>0</v>
      </c>
      <c r="L694" s="3">
        <f>IF([1]Result_notebook_retravaill!I694&gt;[1]Result_notebook_retravaill!G694,0,IF([1]Result_notebook_retravaill!I694+[1]Result_notebook_retravaill!J694&gt;[1]Result_notebook_retravaill!G694,0,[1]Result_notebook_retravaill!M694))</f>
        <v>0</v>
      </c>
    </row>
    <row r="695" spans="1:12">
      <c r="A695">
        <f>[1]Result_notebook_retravaill!A695</f>
        <v>2032</v>
      </c>
      <c r="B695" t="str">
        <f>[1]Result_notebook_retravaill!B695</f>
        <v>Graphite</v>
      </c>
      <c r="C695" t="str">
        <f>[1]Result_notebook_retravaill!C695</f>
        <v>Canada Net-zero</v>
      </c>
      <c r="D695" t="str">
        <f>[1]Result_notebook_retravaill!D695</f>
        <v>Production potential</v>
      </c>
      <c r="E695" t="str">
        <f>[1]Result_notebook_retravaill!E695</f>
        <v>Current shares</v>
      </c>
      <c r="F695" t="str">
        <f>[1]Result_notebook_retravaill!F695</f>
        <v>Expansion Extractive+Circularity</v>
      </c>
      <c r="G695">
        <f>[1]Result_notebook_retravaill!G695</f>
        <v>2450.943187437073</v>
      </c>
      <c r="H695" s="3">
        <f>IF([1]Result_notebook_retravaill!I695&gt;[1]Result_notebook_retravaill!G695,[1]Result_notebook_retravaill!I695/[1]Result_notebook_retravaill!N695,[1]Result_notebook_retravaill!H695)</f>
        <v>49033.820374727635</v>
      </c>
      <c r="I695" s="3">
        <f>[1]Result_notebook_retravaill!K695</f>
        <v>0</v>
      </c>
      <c r="J695" s="3">
        <f>MIN(G695,[1]Result_notebook_retravaill!I695)</f>
        <v>2450.943187437073</v>
      </c>
      <c r="K695" s="3">
        <f>IF([1]Result_notebook_retravaill!I695&gt;[1]Result_notebook_retravaill!G695,0,IF([1]Result_notebook_retravaill!I695+[1]Result_notebook_retravaill!J695&gt;[1]Result_notebook_retravaill!G695,[1]Result_notebook_retravaill!G695-[1]Result_notebook_retravaill!I695,[1]Result_notebook_retravaill!J695))</f>
        <v>0</v>
      </c>
      <c r="L695" s="3">
        <f>IF([1]Result_notebook_retravaill!I695&gt;[1]Result_notebook_retravaill!G695,0,IF([1]Result_notebook_retravaill!I695+[1]Result_notebook_retravaill!J695&gt;[1]Result_notebook_retravaill!G695,0,[1]Result_notebook_retravaill!M695))</f>
        <v>0</v>
      </c>
    </row>
    <row r="696" spans="1:12">
      <c r="A696">
        <f>[1]Result_notebook_retravaill!A696</f>
        <v>2032</v>
      </c>
      <c r="B696" t="str">
        <f>[1]Result_notebook_retravaill!B696</f>
        <v>Graphite</v>
      </c>
      <c r="C696" t="str">
        <f>[1]Result_notebook_retravaill!C696</f>
        <v>Canada Net-zero</v>
      </c>
      <c r="D696" t="str">
        <f>[1]Result_notebook_retravaill!D696</f>
        <v>Production potential</v>
      </c>
      <c r="E696" t="str">
        <f>[1]Result_notebook_retravaill!E696</f>
        <v>100% CAN</v>
      </c>
      <c r="F696" t="str">
        <f>[1]Result_notebook_retravaill!F696</f>
        <v>Integrated</v>
      </c>
      <c r="G696">
        <f>[1]Result_notebook_retravaill!G696</f>
        <v>2450.943187437073</v>
      </c>
      <c r="H696" s="3">
        <f>IF([1]Result_notebook_retravaill!I696&gt;[1]Result_notebook_retravaill!G696,[1]Result_notebook_retravaill!I696/[1]Result_notebook_retravaill!N696,[1]Result_notebook_retravaill!H696)</f>
        <v>49033.820374727635</v>
      </c>
      <c r="I696" s="3">
        <f>[1]Result_notebook_retravaill!K696</f>
        <v>0</v>
      </c>
      <c r="J696" s="3">
        <f>MIN(G696,[1]Result_notebook_retravaill!I696)</f>
        <v>2450.943187437073</v>
      </c>
      <c r="K696" s="3">
        <f>IF([1]Result_notebook_retravaill!I696&gt;[1]Result_notebook_retravaill!G696,0,IF([1]Result_notebook_retravaill!I696+[1]Result_notebook_retravaill!J696&gt;[1]Result_notebook_retravaill!G696,[1]Result_notebook_retravaill!G696-[1]Result_notebook_retravaill!I696,[1]Result_notebook_retravaill!J696))</f>
        <v>0</v>
      </c>
      <c r="L696" s="3">
        <f>IF([1]Result_notebook_retravaill!I696&gt;[1]Result_notebook_retravaill!G696,0,IF([1]Result_notebook_retravaill!I696+[1]Result_notebook_retravaill!J696&gt;[1]Result_notebook_retravaill!G696,0,[1]Result_notebook_retravaill!M696))</f>
        <v>0</v>
      </c>
    </row>
    <row r="697" spans="1:12">
      <c r="A697">
        <f>[1]Result_notebook_retravaill!A697</f>
        <v>2032</v>
      </c>
      <c r="B697" t="str">
        <f>[1]Result_notebook_retravaill!B697</f>
        <v>Graphite</v>
      </c>
      <c r="C697" t="str">
        <f>[1]Result_notebook_retravaill!C697</f>
        <v>Current Measures</v>
      </c>
      <c r="D697" t="str">
        <f>[1]Result_notebook_retravaill!D697</f>
        <v>Existing production</v>
      </c>
      <c r="E697" t="str">
        <f>[1]Result_notebook_retravaill!E697</f>
        <v>Current shares</v>
      </c>
      <c r="F697" t="str">
        <f>[1]Result_notebook_retravaill!F697</f>
        <v>NIMBY</v>
      </c>
      <c r="G697">
        <f>[1]Result_notebook_retravaill!G697</f>
        <v>1004.026198286667</v>
      </c>
      <c r="H697" s="3">
        <f>IF([1]Result_notebook_retravaill!I697&gt;[1]Result_notebook_retravaill!G697,[1]Result_notebook_retravaill!I697/[1]Result_notebook_retravaill!N697,[1]Result_notebook_retravaill!H697)</f>
        <v>0</v>
      </c>
      <c r="I697" s="3">
        <f>[1]Result_notebook_retravaill!K697</f>
        <v>1004.026198286667</v>
      </c>
      <c r="J697" s="3">
        <f>MIN(G697,[1]Result_notebook_retravaill!I697)</f>
        <v>0</v>
      </c>
      <c r="K697" s="3">
        <f>IF([1]Result_notebook_retravaill!I697&gt;[1]Result_notebook_retravaill!G697,0,IF([1]Result_notebook_retravaill!I697+[1]Result_notebook_retravaill!J697&gt;[1]Result_notebook_retravaill!G697,[1]Result_notebook_retravaill!G697-[1]Result_notebook_retravaill!I697,[1]Result_notebook_retravaill!J697))</f>
        <v>0</v>
      </c>
      <c r="L697" s="3">
        <f>IF([1]Result_notebook_retravaill!I697&gt;[1]Result_notebook_retravaill!G697,0,IF([1]Result_notebook_retravaill!I697+[1]Result_notebook_retravaill!J697&gt;[1]Result_notebook_retravaill!G697,0,[1]Result_notebook_retravaill!M697))</f>
        <v>1004.026198286667</v>
      </c>
    </row>
    <row r="698" spans="1:12">
      <c r="A698">
        <f>[1]Result_notebook_retravaill!A698</f>
        <v>2032</v>
      </c>
      <c r="B698" t="str">
        <f>[1]Result_notebook_retravaill!B698</f>
        <v>Graphite</v>
      </c>
      <c r="C698" t="str">
        <f>[1]Result_notebook_retravaill!C698</f>
        <v>Current Measures</v>
      </c>
      <c r="D698" t="str">
        <f>[1]Result_notebook_retravaill!D698</f>
        <v>Existing production</v>
      </c>
      <c r="E698" t="str">
        <f>[1]Result_notebook_retravaill!E698</f>
        <v>Current shares</v>
      </c>
      <c r="F698" t="str">
        <f>[1]Result_notebook_retravaill!F698</f>
        <v>Status Quo</v>
      </c>
      <c r="G698">
        <f>[1]Result_notebook_retravaill!G698</f>
        <v>1004.026198286667</v>
      </c>
      <c r="H698" s="3">
        <f>IF([1]Result_notebook_retravaill!I698&gt;[1]Result_notebook_retravaill!G698,[1]Result_notebook_retravaill!I698/[1]Result_notebook_retravaill!N698,[1]Result_notebook_retravaill!H698)</f>
        <v>0</v>
      </c>
      <c r="I698" s="3">
        <f>[1]Result_notebook_retravaill!K698</f>
        <v>1004.026198286667</v>
      </c>
      <c r="J698" s="3">
        <f>MIN(G698,[1]Result_notebook_retravaill!I698)</f>
        <v>0</v>
      </c>
      <c r="K698" s="3">
        <f>IF([1]Result_notebook_retravaill!I698&gt;[1]Result_notebook_retravaill!G698,0,IF([1]Result_notebook_retravaill!I698+[1]Result_notebook_retravaill!J698&gt;[1]Result_notebook_retravaill!G698,[1]Result_notebook_retravaill!G698-[1]Result_notebook_retravaill!I698,[1]Result_notebook_retravaill!J698))</f>
        <v>0</v>
      </c>
      <c r="L698" s="3">
        <f>IF([1]Result_notebook_retravaill!I698&gt;[1]Result_notebook_retravaill!G698,0,IF([1]Result_notebook_retravaill!I698+[1]Result_notebook_retravaill!J698&gt;[1]Result_notebook_retravaill!G698,0,[1]Result_notebook_retravaill!M698))</f>
        <v>1004.026198286667</v>
      </c>
    </row>
    <row r="699" spans="1:12">
      <c r="A699">
        <f>[1]Result_notebook_retravaill!A699</f>
        <v>2032</v>
      </c>
      <c r="B699" t="str">
        <f>[1]Result_notebook_retravaill!B699</f>
        <v>Graphite</v>
      </c>
      <c r="C699" t="str">
        <f>[1]Result_notebook_retravaill!C699</f>
        <v>Current Measures</v>
      </c>
      <c r="D699" t="str">
        <f>[1]Result_notebook_retravaill!D699</f>
        <v>Production potential</v>
      </c>
      <c r="E699" t="str">
        <f>[1]Result_notebook_retravaill!E699</f>
        <v>Current shares</v>
      </c>
      <c r="F699" t="str">
        <f>[1]Result_notebook_retravaill!F699</f>
        <v>Expansion Extractive</v>
      </c>
      <c r="G699">
        <f>[1]Result_notebook_retravaill!G699</f>
        <v>1004.026198286667</v>
      </c>
      <c r="H699" s="3">
        <f>IF([1]Result_notebook_retravaill!I699&gt;[1]Result_notebook_retravaill!G699,[1]Result_notebook_retravaill!I699/[1]Result_notebook_retravaill!N699,[1]Result_notebook_retravaill!H699)</f>
        <v>49033.820374727635</v>
      </c>
      <c r="I699" s="3">
        <f>[1]Result_notebook_retravaill!K699</f>
        <v>0</v>
      </c>
      <c r="J699" s="3">
        <f>MIN(G699,[1]Result_notebook_retravaill!I699)</f>
        <v>1004.026198286667</v>
      </c>
      <c r="K699" s="3">
        <f>IF([1]Result_notebook_retravaill!I699&gt;[1]Result_notebook_retravaill!G699,0,IF([1]Result_notebook_retravaill!I699+[1]Result_notebook_retravaill!J699&gt;[1]Result_notebook_retravaill!G699,[1]Result_notebook_retravaill!G699-[1]Result_notebook_retravaill!I699,[1]Result_notebook_retravaill!J699))</f>
        <v>0</v>
      </c>
      <c r="L699" s="3">
        <f>IF([1]Result_notebook_retravaill!I699&gt;[1]Result_notebook_retravaill!G699,0,IF([1]Result_notebook_retravaill!I699+[1]Result_notebook_retravaill!J699&gt;[1]Result_notebook_retravaill!G699,0,[1]Result_notebook_retravaill!M699))</f>
        <v>0</v>
      </c>
    </row>
    <row r="700" spans="1:12">
      <c r="A700">
        <f>[1]Result_notebook_retravaill!A700</f>
        <v>2032</v>
      </c>
      <c r="B700" t="str">
        <f>[1]Result_notebook_retravaill!B700</f>
        <v>Graphite</v>
      </c>
      <c r="C700" t="str">
        <f>[1]Result_notebook_retravaill!C700</f>
        <v>Current Measures</v>
      </c>
      <c r="D700" t="str">
        <f>[1]Result_notebook_retravaill!D700</f>
        <v>Production potential</v>
      </c>
      <c r="E700" t="str">
        <f>[1]Result_notebook_retravaill!E700</f>
        <v>Current shares</v>
      </c>
      <c r="F700" t="str">
        <f>[1]Result_notebook_retravaill!F700</f>
        <v>Expansion Extractive+Circularity</v>
      </c>
      <c r="G700">
        <f>[1]Result_notebook_retravaill!G700</f>
        <v>1004.026198286667</v>
      </c>
      <c r="H700" s="3">
        <f>IF([1]Result_notebook_retravaill!I700&gt;[1]Result_notebook_retravaill!G700,[1]Result_notebook_retravaill!I700/[1]Result_notebook_retravaill!N700,[1]Result_notebook_retravaill!H700)</f>
        <v>49033.820374727635</v>
      </c>
      <c r="I700" s="3">
        <f>[1]Result_notebook_retravaill!K700</f>
        <v>0</v>
      </c>
      <c r="J700" s="3">
        <f>MIN(G700,[1]Result_notebook_retravaill!I700)</f>
        <v>1004.026198286667</v>
      </c>
      <c r="K700" s="3">
        <f>IF([1]Result_notebook_retravaill!I700&gt;[1]Result_notebook_retravaill!G700,0,IF([1]Result_notebook_retravaill!I700+[1]Result_notebook_retravaill!J700&gt;[1]Result_notebook_retravaill!G700,[1]Result_notebook_retravaill!G700-[1]Result_notebook_retravaill!I700,[1]Result_notebook_retravaill!J700))</f>
        <v>0</v>
      </c>
      <c r="L700" s="3">
        <f>IF([1]Result_notebook_retravaill!I700&gt;[1]Result_notebook_retravaill!G700,0,IF([1]Result_notebook_retravaill!I700+[1]Result_notebook_retravaill!J700&gt;[1]Result_notebook_retravaill!G700,0,[1]Result_notebook_retravaill!M700))</f>
        <v>0</v>
      </c>
    </row>
    <row r="701" spans="1:12">
      <c r="A701">
        <f>[1]Result_notebook_retravaill!A701</f>
        <v>2032</v>
      </c>
      <c r="B701" t="str">
        <f>[1]Result_notebook_retravaill!B701</f>
        <v>Graphite</v>
      </c>
      <c r="C701" t="str">
        <f>[1]Result_notebook_retravaill!C701</f>
        <v>Current Measures</v>
      </c>
      <c r="D701" t="str">
        <f>[1]Result_notebook_retravaill!D701</f>
        <v>Production potential</v>
      </c>
      <c r="E701" t="str">
        <f>[1]Result_notebook_retravaill!E701</f>
        <v>100% CAN</v>
      </c>
      <c r="F701" t="str">
        <f>[1]Result_notebook_retravaill!F701</f>
        <v>Integrated</v>
      </c>
      <c r="G701">
        <f>[1]Result_notebook_retravaill!G701</f>
        <v>1004.026198286667</v>
      </c>
      <c r="H701" s="3">
        <f>IF([1]Result_notebook_retravaill!I701&gt;[1]Result_notebook_retravaill!G701,[1]Result_notebook_retravaill!I701/[1]Result_notebook_retravaill!N701,[1]Result_notebook_retravaill!H701)</f>
        <v>49033.820374727635</v>
      </c>
      <c r="I701" s="3">
        <f>[1]Result_notebook_retravaill!K701</f>
        <v>0</v>
      </c>
      <c r="J701" s="3">
        <f>MIN(G701,[1]Result_notebook_retravaill!I701)</f>
        <v>1004.026198286667</v>
      </c>
      <c r="K701" s="3">
        <f>IF([1]Result_notebook_retravaill!I701&gt;[1]Result_notebook_retravaill!G701,0,IF([1]Result_notebook_retravaill!I701+[1]Result_notebook_retravaill!J701&gt;[1]Result_notebook_retravaill!G701,[1]Result_notebook_retravaill!G701-[1]Result_notebook_retravaill!I701,[1]Result_notebook_retravaill!J701))</f>
        <v>0</v>
      </c>
      <c r="L701" s="3">
        <f>IF([1]Result_notebook_retravaill!I701&gt;[1]Result_notebook_retravaill!G701,0,IF([1]Result_notebook_retravaill!I701+[1]Result_notebook_retravaill!J701&gt;[1]Result_notebook_retravaill!G701,0,[1]Result_notebook_retravaill!M701))</f>
        <v>0</v>
      </c>
    </row>
    <row r="702" spans="1:12">
      <c r="A702">
        <f>[1]Result_notebook_retravaill!A702</f>
        <v>2032</v>
      </c>
      <c r="B702" t="str">
        <f>[1]Result_notebook_retravaill!B702</f>
        <v>Graphite</v>
      </c>
      <c r="C702" t="str">
        <f>[1]Result_notebook_retravaill!C702</f>
        <v>Global Net-zero</v>
      </c>
      <c r="D702" t="str">
        <f>[1]Result_notebook_retravaill!D702</f>
        <v>Existing production</v>
      </c>
      <c r="E702" t="str">
        <f>[1]Result_notebook_retravaill!E702</f>
        <v>Current shares</v>
      </c>
      <c r="F702" t="str">
        <f>[1]Result_notebook_retravaill!F702</f>
        <v>NIMBY</v>
      </c>
      <c r="G702">
        <f>[1]Result_notebook_retravaill!G702</f>
        <v>2325.6357382728388</v>
      </c>
      <c r="H702" s="3">
        <f>IF([1]Result_notebook_retravaill!I702&gt;[1]Result_notebook_retravaill!G702,[1]Result_notebook_retravaill!I702/[1]Result_notebook_retravaill!N702,[1]Result_notebook_retravaill!H702)</f>
        <v>0</v>
      </c>
      <c r="I702" s="3">
        <f>[1]Result_notebook_retravaill!K702</f>
        <v>2325.6357382728388</v>
      </c>
      <c r="J702" s="3">
        <f>MIN(G702,[1]Result_notebook_retravaill!I702)</f>
        <v>0</v>
      </c>
      <c r="K702" s="3">
        <f>IF([1]Result_notebook_retravaill!I702&gt;[1]Result_notebook_retravaill!G702,0,IF([1]Result_notebook_retravaill!I702+[1]Result_notebook_retravaill!J702&gt;[1]Result_notebook_retravaill!G702,[1]Result_notebook_retravaill!G702-[1]Result_notebook_retravaill!I702,[1]Result_notebook_retravaill!J702))</f>
        <v>0</v>
      </c>
      <c r="L702" s="3">
        <f>IF([1]Result_notebook_retravaill!I702&gt;[1]Result_notebook_retravaill!G702,0,IF([1]Result_notebook_retravaill!I702+[1]Result_notebook_retravaill!J702&gt;[1]Result_notebook_retravaill!G702,0,[1]Result_notebook_retravaill!M702))</f>
        <v>2325.6357382728388</v>
      </c>
    </row>
    <row r="703" spans="1:12">
      <c r="A703">
        <f>[1]Result_notebook_retravaill!A703</f>
        <v>2032</v>
      </c>
      <c r="B703" t="str">
        <f>[1]Result_notebook_retravaill!B703</f>
        <v>Graphite</v>
      </c>
      <c r="C703" t="str">
        <f>[1]Result_notebook_retravaill!C703</f>
        <v>Global Net-zero</v>
      </c>
      <c r="D703" t="str">
        <f>[1]Result_notebook_retravaill!D703</f>
        <v>Existing production</v>
      </c>
      <c r="E703" t="str">
        <f>[1]Result_notebook_retravaill!E703</f>
        <v>Current shares</v>
      </c>
      <c r="F703" t="str">
        <f>[1]Result_notebook_retravaill!F703</f>
        <v>Status Quo</v>
      </c>
      <c r="G703">
        <f>[1]Result_notebook_retravaill!G703</f>
        <v>2325.6357382728388</v>
      </c>
      <c r="H703" s="3">
        <f>IF([1]Result_notebook_retravaill!I703&gt;[1]Result_notebook_retravaill!G703,[1]Result_notebook_retravaill!I703/[1]Result_notebook_retravaill!N703,[1]Result_notebook_retravaill!H703)</f>
        <v>0</v>
      </c>
      <c r="I703" s="3">
        <f>[1]Result_notebook_retravaill!K703</f>
        <v>2325.6357382728388</v>
      </c>
      <c r="J703" s="3">
        <f>MIN(G703,[1]Result_notebook_retravaill!I703)</f>
        <v>0</v>
      </c>
      <c r="K703" s="3">
        <f>IF([1]Result_notebook_retravaill!I703&gt;[1]Result_notebook_retravaill!G703,0,IF([1]Result_notebook_retravaill!I703+[1]Result_notebook_retravaill!J703&gt;[1]Result_notebook_retravaill!G703,[1]Result_notebook_retravaill!G703-[1]Result_notebook_retravaill!I703,[1]Result_notebook_retravaill!J703))</f>
        <v>0</v>
      </c>
      <c r="L703" s="3">
        <f>IF([1]Result_notebook_retravaill!I703&gt;[1]Result_notebook_retravaill!G703,0,IF([1]Result_notebook_retravaill!I703+[1]Result_notebook_retravaill!J703&gt;[1]Result_notebook_retravaill!G703,0,[1]Result_notebook_retravaill!M703))</f>
        <v>2325.6357382728388</v>
      </c>
    </row>
    <row r="704" spans="1:12">
      <c r="A704">
        <f>[1]Result_notebook_retravaill!A704</f>
        <v>2032</v>
      </c>
      <c r="B704" t="str">
        <f>[1]Result_notebook_retravaill!B704</f>
        <v>Graphite</v>
      </c>
      <c r="C704" t="str">
        <f>[1]Result_notebook_retravaill!C704</f>
        <v>Global Net-zero</v>
      </c>
      <c r="D704" t="str">
        <f>[1]Result_notebook_retravaill!D704</f>
        <v>Production potential</v>
      </c>
      <c r="E704" t="str">
        <f>[1]Result_notebook_retravaill!E704</f>
        <v>Current shares</v>
      </c>
      <c r="F704" t="str">
        <f>[1]Result_notebook_retravaill!F704</f>
        <v>Expansion Extractive</v>
      </c>
      <c r="G704">
        <f>[1]Result_notebook_retravaill!G704</f>
        <v>2325.6357382728388</v>
      </c>
      <c r="H704" s="3">
        <f>IF([1]Result_notebook_retravaill!I704&gt;[1]Result_notebook_retravaill!G704,[1]Result_notebook_retravaill!I704/[1]Result_notebook_retravaill!N704,[1]Result_notebook_retravaill!H704)</f>
        <v>49033.820374727635</v>
      </c>
      <c r="I704" s="3">
        <f>[1]Result_notebook_retravaill!K704</f>
        <v>0</v>
      </c>
      <c r="J704" s="3">
        <f>MIN(G704,[1]Result_notebook_retravaill!I704)</f>
        <v>2325.6357382728388</v>
      </c>
      <c r="K704" s="3">
        <f>IF([1]Result_notebook_retravaill!I704&gt;[1]Result_notebook_retravaill!G704,0,IF([1]Result_notebook_retravaill!I704+[1]Result_notebook_retravaill!J704&gt;[1]Result_notebook_retravaill!G704,[1]Result_notebook_retravaill!G704-[1]Result_notebook_retravaill!I704,[1]Result_notebook_retravaill!J704))</f>
        <v>0</v>
      </c>
      <c r="L704" s="3">
        <f>IF([1]Result_notebook_retravaill!I704&gt;[1]Result_notebook_retravaill!G704,0,IF([1]Result_notebook_retravaill!I704+[1]Result_notebook_retravaill!J704&gt;[1]Result_notebook_retravaill!G704,0,[1]Result_notebook_retravaill!M704))</f>
        <v>0</v>
      </c>
    </row>
    <row r="705" spans="1:12">
      <c r="A705">
        <f>[1]Result_notebook_retravaill!A705</f>
        <v>2032</v>
      </c>
      <c r="B705" t="str">
        <f>[1]Result_notebook_retravaill!B705</f>
        <v>Graphite</v>
      </c>
      <c r="C705" t="str">
        <f>[1]Result_notebook_retravaill!C705</f>
        <v>Global Net-zero</v>
      </c>
      <c r="D705" t="str">
        <f>[1]Result_notebook_retravaill!D705</f>
        <v>Production potential</v>
      </c>
      <c r="E705" t="str">
        <f>[1]Result_notebook_retravaill!E705</f>
        <v>Current shares</v>
      </c>
      <c r="F705" t="str">
        <f>[1]Result_notebook_retravaill!F705</f>
        <v>Expansion Extractive+Circularity</v>
      </c>
      <c r="G705">
        <f>[1]Result_notebook_retravaill!G705</f>
        <v>2325.6357382728388</v>
      </c>
      <c r="H705" s="3">
        <f>IF([1]Result_notebook_retravaill!I705&gt;[1]Result_notebook_retravaill!G705,[1]Result_notebook_retravaill!I705/[1]Result_notebook_retravaill!N705,[1]Result_notebook_retravaill!H705)</f>
        <v>49033.820374727635</v>
      </c>
      <c r="I705" s="3">
        <f>[1]Result_notebook_retravaill!K705</f>
        <v>0</v>
      </c>
      <c r="J705" s="3">
        <f>MIN(G705,[1]Result_notebook_retravaill!I705)</f>
        <v>2325.6357382728388</v>
      </c>
      <c r="K705" s="3">
        <f>IF([1]Result_notebook_retravaill!I705&gt;[1]Result_notebook_retravaill!G705,0,IF([1]Result_notebook_retravaill!I705+[1]Result_notebook_retravaill!J705&gt;[1]Result_notebook_retravaill!G705,[1]Result_notebook_retravaill!G705-[1]Result_notebook_retravaill!I705,[1]Result_notebook_retravaill!J705))</f>
        <v>0</v>
      </c>
      <c r="L705" s="3">
        <f>IF([1]Result_notebook_retravaill!I705&gt;[1]Result_notebook_retravaill!G705,0,IF([1]Result_notebook_retravaill!I705+[1]Result_notebook_retravaill!J705&gt;[1]Result_notebook_retravaill!G705,0,[1]Result_notebook_retravaill!M705))</f>
        <v>0</v>
      </c>
    </row>
    <row r="706" spans="1:12">
      <c r="A706">
        <f>[1]Result_notebook_retravaill!A706</f>
        <v>2032</v>
      </c>
      <c r="B706" t="str">
        <f>[1]Result_notebook_retravaill!B706</f>
        <v>Graphite</v>
      </c>
      <c r="C706" t="str">
        <f>[1]Result_notebook_retravaill!C706</f>
        <v>Global Net-zero</v>
      </c>
      <c r="D706" t="str">
        <f>[1]Result_notebook_retravaill!D706</f>
        <v>Production potential</v>
      </c>
      <c r="E706" t="str">
        <f>[1]Result_notebook_retravaill!E706</f>
        <v>100% CAN</v>
      </c>
      <c r="F706" t="str">
        <f>[1]Result_notebook_retravaill!F706</f>
        <v>Integrated</v>
      </c>
      <c r="G706">
        <f>[1]Result_notebook_retravaill!G706</f>
        <v>2325.6357382728388</v>
      </c>
      <c r="H706" s="3">
        <f>IF([1]Result_notebook_retravaill!I706&gt;[1]Result_notebook_retravaill!G706,[1]Result_notebook_retravaill!I706/[1]Result_notebook_retravaill!N706,[1]Result_notebook_retravaill!H706)</f>
        <v>49033.820374727635</v>
      </c>
      <c r="I706" s="3">
        <f>[1]Result_notebook_retravaill!K706</f>
        <v>0</v>
      </c>
      <c r="J706" s="3">
        <f>MIN(G706,[1]Result_notebook_retravaill!I706)</f>
        <v>2325.6357382728388</v>
      </c>
      <c r="K706" s="3">
        <f>IF([1]Result_notebook_retravaill!I706&gt;[1]Result_notebook_retravaill!G706,0,IF([1]Result_notebook_retravaill!I706+[1]Result_notebook_retravaill!J706&gt;[1]Result_notebook_retravaill!G706,[1]Result_notebook_retravaill!G706-[1]Result_notebook_retravaill!I706,[1]Result_notebook_retravaill!J706))</f>
        <v>0</v>
      </c>
      <c r="L706" s="3">
        <f>IF([1]Result_notebook_retravaill!I706&gt;[1]Result_notebook_retravaill!G706,0,IF([1]Result_notebook_retravaill!I706+[1]Result_notebook_retravaill!J706&gt;[1]Result_notebook_retravaill!G706,0,[1]Result_notebook_retravaill!M706))</f>
        <v>0</v>
      </c>
    </row>
    <row r="707" spans="1:12">
      <c r="A707">
        <f>[1]Result_notebook_retravaill!A707</f>
        <v>2032</v>
      </c>
      <c r="B707" t="str">
        <f>[1]Result_notebook_retravaill!B707</f>
        <v>Lithium</v>
      </c>
      <c r="C707" t="str">
        <f>[1]Result_notebook_retravaill!C707</f>
        <v>Canada Net-zero</v>
      </c>
      <c r="D707" t="str">
        <f>[1]Result_notebook_retravaill!D707</f>
        <v>Existing production</v>
      </c>
      <c r="E707" t="str">
        <f>[1]Result_notebook_retravaill!E707</f>
        <v>Current shares</v>
      </c>
      <c r="F707" t="str">
        <f>[1]Result_notebook_retravaill!F707</f>
        <v>NIMBY</v>
      </c>
      <c r="G707">
        <f>[1]Result_notebook_retravaill!G707</f>
        <v>43216.40196908595</v>
      </c>
      <c r="H707" s="3">
        <f>IF([1]Result_notebook_retravaill!I707&gt;[1]Result_notebook_retravaill!G707,[1]Result_notebook_retravaill!I707/[1]Result_notebook_retravaill!N707,[1]Result_notebook_retravaill!H707)</f>
        <v>0</v>
      </c>
      <c r="I707" s="3">
        <f>[1]Result_notebook_retravaill!K707</f>
        <v>61737.717098694207</v>
      </c>
      <c r="J707" s="3">
        <f>MIN(G707,[1]Result_notebook_retravaill!I707)</f>
        <v>0</v>
      </c>
      <c r="K707" s="3">
        <f>IF([1]Result_notebook_retravaill!I707&gt;[1]Result_notebook_retravaill!G707,0,IF([1]Result_notebook_retravaill!I707+[1]Result_notebook_retravaill!J707&gt;[1]Result_notebook_retravaill!G707,[1]Result_notebook_retravaill!G707-[1]Result_notebook_retravaill!I707,[1]Result_notebook_retravaill!J707))</f>
        <v>0</v>
      </c>
      <c r="L707" s="3">
        <f>IF([1]Result_notebook_retravaill!I707&gt;[1]Result_notebook_retravaill!G707,0,IF([1]Result_notebook_retravaill!I707+[1]Result_notebook_retravaill!J707&gt;[1]Result_notebook_retravaill!G707,0,[1]Result_notebook_retravaill!M707))</f>
        <v>43216.40196908595</v>
      </c>
    </row>
    <row r="708" spans="1:12">
      <c r="A708">
        <f>[1]Result_notebook_retravaill!A708</f>
        <v>2032</v>
      </c>
      <c r="B708" t="str">
        <f>[1]Result_notebook_retravaill!B708</f>
        <v>Lithium</v>
      </c>
      <c r="C708" t="str">
        <f>[1]Result_notebook_retravaill!C708</f>
        <v>Canada Net-zero</v>
      </c>
      <c r="D708" t="str">
        <f>[1]Result_notebook_retravaill!D708</f>
        <v>Existing production</v>
      </c>
      <c r="E708" t="str">
        <f>[1]Result_notebook_retravaill!E708</f>
        <v>Current shares</v>
      </c>
      <c r="F708" t="str">
        <f>[1]Result_notebook_retravaill!F708</f>
        <v>Status Quo</v>
      </c>
      <c r="G708">
        <f>[1]Result_notebook_retravaill!G708</f>
        <v>43216.40196908595</v>
      </c>
      <c r="H708" s="3">
        <f>IF([1]Result_notebook_retravaill!I708&gt;[1]Result_notebook_retravaill!G708,[1]Result_notebook_retravaill!I708/[1]Result_notebook_retravaill!N708,[1]Result_notebook_retravaill!H708)</f>
        <v>40610</v>
      </c>
      <c r="I708" s="3">
        <f>[1]Result_notebook_retravaill!K708</f>
        <v>21127.717098694211</v>
      </c>
      <c r="J708" s="3">
        <f>MIN(G708,[1]Result_notebook_retravaill!I708)</f>
        <v>28393.312823880038</v>
      </c>
      <c r="K708" s="3">
        <f>IF([1]Result_notebook_retravaill!I708&gt;[1]Result_notebook_retravaill!G708,0,IF([1]Result_notebook_retravaill!I708+[1]Result_notebook_retravaill!J708&gt;[1]Result_notebook_retravaill!G708,[1]Result_notebook_retravaill!G708-[1]Result_notebook_retravaill!I708,[1]Result_notebook_retravaill!J708))</f>
        <v>3589.2955984958098</v>
      </c>
      <c r="L708" s="3">
        <f>IF([1]Result_notebook_retravaill!I708&gt;[1]Result_notebook_retravaill!G708,0,IF([1]Result_notebook_retravaill!I708+[1]Result_notebook_retravaill!J708&gt;[1]Result_notebook_retravaill!G708,0,[1]Result_notebook_retravaill!M708))</f>
        <v>11233.7935467101</v>
      </c>
    </row>
    <row r="709" spans="1:12">
      <c r="A709">
        <f>[1]Result_notebook_retravaill!A709</f>
        <v>2032</v>
      </c>
      <c r="B709" t="str">
        <f>[1]Result_notebook_retravaill!B709</f>
        <v>Lithium</v>
      </c>
      <c r="C709" t="str">
        <f>[1]Result_notebook_retravaill!C709</f>
        <v>Canada Net-zero</v>
      </c>
      <c r="D709" t="str">
        <f>[1]Result_notebook_retravaill!D709</f>
        <v>Production potential</v>
      </c>
      <c r="E709" t="str">
        <f>[1]Result_notebook_retravaill!E709</f>
        <v>Current shares</v>
      </c>
      <c r="F709" t="str">
        <f>[1]Result_notebook_retravaill!F709</f>
        <v>Expansion Extractive</v>
      </c>
      <c r="G709">
        <f>[1]Result_notebook_retravaill!G709</f>
        <v>43216.40196908595</v>
      </c>
      <c r="H709" s="3">
        <f>IF([1]Result_notebook_retravaill!I709&gt;[1]Result_notebook_retravaill!G709,[1]Result_notebook_retravaill!I709/[1]Result_notebook_retravaill!N709,[1]Result_notebook_retravaill!H709)</f>
        <v>130730.86507793679</v>
      </c>
      <c r="I709" s="3">
        <f>[1]Result_notebook_retravaill!K709</f>
        <v>0</v>
      </c>
      <c r="J709" s="3">
        <f>MIN(G709,[1]Result_notebook_retravaill!I709)</f>
        <v>43216.40196908595</v>
      </c>
      <c r="K709" s="3">
        <f>IF([1]Result_notebook_retravaill!I709&gt;[1]Result_notebook_retravaill!G709,0,IF([1]Result_notebook_retravaill!I709+[1]Result_notebook_retravaill!J709&gt;[1]Result_notebook_retravaill!G709,[1]Result_notebook_retravaill!G709-[1]Result_notebook_retravaill!I709,[1]Result_notebook_retravaill!J709))</f>
        <v>0</v>
      </c>
      <c r="L709" s="3">
        <f>IF([1]Result_notebook_retravaill!I709&gt;[1]Result_notebook_retravaill!G709,0,IF([1]Result_notebook_retravaill!I709+[1]Result_notebook_retravaill!J709&gt;[1]Result_notebook_retravaill!G709,0,[1]Result_notebook_retravaill!M709))</f>
        <v>0</v>
      </c>
    </row>
    <row r="710" spans="1:12">
      <c r="A710">
        <f>[1]Result_notebook_retravaill!A710</f>
        <v>2032</v>
      </c>
      <c r="B710" t="str">
        <f>[1]Result_notebook_retravaill!B710</f>
        <v>Lithium</v>
      </c>
      <c r="C710" t="str">
        <f>[1]Result_notebook_retravaill!C710</f>
        <v>Canada Net-zero</v>
      </c>
      <c r="D710" t="str">
        <f>[1]Result_notebook_retravaill!D710</f>
        <v>Production potential</v>
      </c>
      <c r="E710" t="str">
        <f>[1]Result_notebook_retravaill!E710</f>
        <v>Current shares</v>
      </c>
      <c r="F710" t="str">
        <f>[1]Result_notebook_retravaill!F710</f>
        <v>Expansion Extractive+Circularity</v>
      </c>
      <c r="G710">
        <f>[1]Result_notebook_retravaill!G710</f>
        <v>43216.40196908595</v>
      </c>
      <c r="H710" s="3">
        <f>IF([1]Result_notebook_retravaill!I710&gt;[1]Result_notebook_retravaill!G710,[1]Result_notebook_retravaill!I710/[1]Result_notebook_retravaill!N710,[1]Result_notebook_retravaill!H710)</f>
        <v>130730.86507793679</v>
      </c>
      <c r="I710" s="3">
        <f>[1]Result_notebook_retravaill!K710</f>
        <v>0</v>
      </c>
      <c r="J710" s="3">
        <f>MIN(G710,[1]Result_notebook_retravaill!I710)</f>
        <v>43216.40196908595</v>
      </c>
      <c r="K710" s="3">
        <f>IF([1]Result_notebook_retravaill!I710&gt;[1]Result_notebook_retravaill!G710,0,IF([1]Result_notebook_retravaill!I710+[1]Result_notebook_retravaill!J710&gt;[1]Result_notebook_retravaill!G710,[1]Result_notebook_retravaill!G710-[1]Result_notebook_retravaill!I710,[1]Result_notebook_retravaill!J710))</f>
        <v>0</v>
      </c>
      <c r="L710" s="3">
        <f>IF([1]Result_notebook_retravaill!I710&gt;[1]Result_notebook_retravaill!G710,0,IF([1]Result_notebook_retravaill!I710+[1]Result_notebook_retravaill!J710&gt;[1]Result_notebook_retravaill!G710,0,[1]Result_notebook_retravaill!M710))</f>
        <v>0</v>
      </c>
    </row>
    <row r="711" spans="1:12">
      <c r="A711">
        <f>[1]Result_notebook_retravaill!A711</f>
        <v>2032</v>
      </c>
      <c r="B711" t="str">
        <f>[1]Result_notebook_retravaill!B711</f>
        <v>Lithium</v>
      </c>
      <c r="C711" t="str">
        <f>[1]Result_notebook_retravaill!C711</f>
        <v>Canada Net-zero</v>
      </c>
      <c r="D711" t="str">
        <f>[1]Result_notebook_retravaill!D711</f>
        <v>Production potential</v>
      </c>
      <c r="E711" t="str">
        <f>[1]Result_notebook_retravaill!E711</f>
        <v>100% CAN</v>
      </c>
      <c r="F711" t="str">
        <f>[1]Result_notebook_retravaill!F711</f>
        <v>Integrated</v>
      </c>
      <c r="G711">
        <f>[1]Result_notebook_retravaill!G711</f>
        <v>43216.40196908595</v>
      </c>
      <c r="H711" s="3">
        <f>IF([1]Result_notebook_retravaill!I711&gt;[1]Result_notebook_retravaill!G711,[1]Result_notebook_retravaill!I711/[1]Result_notebook_retravaill!N711,[1]Result_notebook_retravaill!H711)</f>
        <v>130730.86507793679</v>
      </c>
      <c r="I711" s="3">
        <f>[1]Result_notebook_retravaill!K711</f>
        <v>0</v>
      </c>
      <c r="J711" s="3">
        <f>MIN(G711,[1]Result_notebook_retravaill!I711)</f>
        <v>43216.40196908595</v>
      </c>
      <c r="K711" s="3">
        <f>IF([1]Result_notebook_retravaill!I711&gt;[1]Result_notebook_retravaill!G711,0,IF([1]Result_notebook_retravaill!I711+[1]Result_notebook_retravaill!J711&gt;[1]Result_notebook_retravaill!G711,[1]Result_notebook_retravaill!G711-[1]Result_notebook_retravaill!I711,[1]Result_notebook_retravaill!J711))</f>
        <v>0</v>
      </c>
      <c r="L711" s="3">
        <f>IF([1]Result_notebook_retravaill!I711&gt;[1]Result_notebook_retravaill!G711,0,IF([1]Result_notebook_retravaill!I711+[1]Result_notebook_retravaill!J711&gt;[1]Result_notebook_retravaill!G711,0,[1]Result_notebook_retravaill!M711))</f>
        <v>0</v>
      </c>
    </row>
    <row r="712" spans="1:12">
      <c r="A712">
        <f>[1]Result_notebook_retravaill!A712</f>
        <v>2032</v>
      </c>
      <c r="B712" t="str">
        <f>[1]Result_notebook_retravaill!B712</f>
        <v>Lithium</v>
      </c>
      <c r="C712" t="str">
        <f>[1]Result_notebook_retravaill!C712</f>
        <v>Current Measures</v>
      </c>
      <c r="D712" t="str">
        <f>[1]Result_notebook_retravaill!D712</f>
        <v>Existing production</v>
      </c>
      <c r="E712" t="str">
        <f>[1]Result_notebook_retravaill!E712</f>
        <v>Current shares</v>
      </c>
      <c r="F712" t="str">
        <f>[1]Result_notebook_retravaill!F712</f>
        <v>NIMBY</v>
      </c>
      <c r="G712">
        <f>[1]Result_notebook_retravaill!G712</f>
        <v>17703.55183876073</v>
      </c>
      <c r="H712" s="3">
        <f>IF([1]Result_notebook_retravaill!I712&gt;[1]Result_notebook_retravaill!G712,[1]Result_notebook_retravaill!I712/[1]Result_notebook_retravaill!N712,[1]Result_notebook_retravaill!H712)</f>
        <v>0</v>
      </c>
      <c r="I712" s="3">
        <f>[1]Result_notebook_retravaill!K712</f>
        <v>25290.788341086762</v>
      </c>
      <c r="J712" s="3">
        <f>MIN(G712,[1]Result_notebook_retravaill!I712)</f>
        <v>0</v>
      </c>
      <c r="K712" s="3">
        <f>IF([1]Result_notebook_retravaill!I712&gt;[1]Result_notebook_retravaill!G712,0,IF([1]Result_notebook_retravaill!I712+[1]Result_notebook_retravaill!J712&gt;[1]Result_notebook_retravaill!G712,[1]Result_notebook_retravaill!G712-[1]Result_notebook_retravaill!I712,[1]Result_notebook_retravaill!J712))</f>
        <v>0</v>
      </c>
      <c r="L712" s="3">
        <f>IF([1]Result_notebook_retravaill!I712&gt;[1]Result_notebook_retravaill!G712,0,IF([1]Result_notebook_retravaill!I712+[1]Result_notebook_retravaill!J712&gt;[1]Result_notebook_retravaill!G712,0,[1]Result_notebook_retravaill!M712))</f>
        <v>17703.55183876073</v>
      </c>
    </row>
    <row r="713" spans="1:12">
      <c r="A713">
        <f>[1]Result_notebook_retravaill!A713</f>
        <v>2032</v>
      </c>
      <c r="B713" t="str">
        <f>[1]Result_notebook_retravaill!B713</f>
        <v>Lithium</v>
      </c>
      <c r="C713" t="str">
        <f>[1]Result_notebook_retravaill!C713</f>
        <v>Current Measures</v>
      </c>
      <c r="D713" t="str">
        <f>[1]Result_notebook_retravaill!D713</f>
        <v>Existing production</v>
      </c>
      <c r="E713" t="str">
        <f>[1]Result_notebook_retravaill!E713</f>
        <v>Current shares</v>
      </c>
      <c r="F713" t="str">
        <f>[1]Result_notebook_retravaill!F713</f>
        <v>Status Quo</v>
      </c>
      <c r="G713">
        <f>[1]Result_notebook_retravaill!G713</f>
        <v>17703.55183876073</v>
      </c>
      <c r="H713" s="3">
        <f>IF([1]Result_notebook_retravaill!I713&gt;[1]Result_notebook_retravaill!G713,[1]Result_notebook_retravaill!I713/[1]Result_notebook_retravaill!N713,[1]Result_notebook_retravaill!H713)</f>
        <v>36052.482603984972</v>
      </c>
      <c r="I713" s="3">
        <f>[1]Result_notebook_retravaill!K713</f>
        <v>0</v>
      </c>
      <c r="J713" s="3">
        <f>MIN(G713,[1]Result_notebook_retravaill!I713)</f>
        <v>17703.55183876073</v>
      </c>
      <c r="K713" s="3">
        <f>IF([1]Result_notebook_retravaill!I713&gt;[1]Result_notebook_retravaill!G713,0,IF([1]Result_notebook_retravaill!I713+[1]Result_notebook_retravaill!J713&gt;[1]Result_notebook_retravaill!G713,[1]Result_notebook_retravaill!G713-[1]Result_notebook_retravaill!I713,[1]Result_notebook_retravaill!J713))</f>
        <v>0</v>
      </c>
      <c r="L713" s="3">
        <f>IF([1]Result_notebook_retravaill!I713&gt;[1]Result_notebook_retravaill!G713,0,IF([1]Result_notebook_retravaill!I713+[1]Result_notebook_retravaill!J713&gt;[1]Result_notebook_retravaill!G713,0,[1]Result_notebook_retravaill!M713))</f>
        <v>0</v>
      </c>
    </row>
    <row r="714" spans="1:12">
      <c r="A714">
        <f>[1]Result_notebook_retravaill!A714</f>
        <v>2032</v>
      </c>
      <c r="B714" t="str">
        <f>[1]Result_notebook_retravaill!B714</f>
        <v>Lithium</v>
      </c>
      <c r="C714" t="str">
        <f>[1]Result_notebook_retravaill!C714</f>
        <v>Current Measures</v>
      </c>
      <c r="D714" t="str">
        <f>[1]Result_notebook_retravaill!D714</f>
        <v>Production potential</v>
      </c>
      <c r="E714" t="str">
        <f>[1]Result_notebook_retravaill!E714</f>
        <v>Current shares</v>
      </c>
      <c r="F714" t="str">
        <f>[1]Result_notebook_retravaill!F714</f>
        <v>Expansion Extractive</v>
      </c>
      <c r="G714">
        <f>[1]Result_notebook_retravaill!G714</f>
        <v>17703.55183876073</v>
      </c>
      <c r="H714" s="3">
        <f>IF([1]Result_notebook_retravaill!I714&gt;[1]Result_notebook_retravaill!G714,[1]Result_notebook_retravaill!I714/[1]Result_notebook_retravaill!N714,[1]Result_notebook_retravaill!H714)</f>
        <v>130730.86507793679</v>
      </c>
      <c r="I714" s="3">
        <f>[1]Result_notebook_retravaill!K714</f>
        <v>0</v>
      </c>
      <c r="J714" s="3">
        <f>MIN(G714,[1]Result_notebook_retravaill!I714)</f>
        <v>17703.55183876073</v>
      </c>
      <c r="K714" s="3">
        <f>IF([1]Result_notebook_retravaill!I714&gt;[1]Result_notebook_retravaill!G714,0,IF([1]Result_notebook_retravaill!I714+[1]Result_notebook_retravaill!J714&gt;[1]Result_notebook_retravaill!G714,[1]Result_notebook_retravaill!G714-[1]Result_notebook_retravaill!I714,[1]Result_notebook_retravaill!J714))</f>
        <v>0</v>
      </c>
      <c r="L714" s="3">
        <f>IF([1]Result_notebook_retravaill!I714&gt;[1]Result_notebook_retravaill!G714,0,IF([1]Result_notebook_retravaill!I714+[1]Result_notebook_retravaill!J714&gt;[1]Result_notebook_retravaill!G714,0,[1]Result_notebook_retravaill!M714))</f>
        <v>0</v>
      </c>
    </row>
    <row r="715" spans="1:12">
      <c r="A715">
        <f>[1]Result_notebook_retravaill!A715</f>
        <v>2032</v>
      </c>
      <c r="B715" t="str">
        <f>[1]Result_notebook_retravaill!B715</f>
        <v>Lithium</v>
      </c>
      <c r="C715" t="str">
        <f>[1]Result_notebook_retravaill!C715</f>
        <v>Current Measures</v>
      </c>
      <c r="D715" t="str">
        <f>[1]Result_notebook_retravaill!D715</f>
        <v>Production potential</v>
      </c>
      <c r="E715" t="str">
        <f>[1]Result_notebook_retravaill!E715</f>
        <v>Current shares</v>
      </c>
      <c r="F715" t="str">
        <f>[1]Result_notebook_retravaill!F715</f>
        <v>Expansion Extractive+Circularity</v>
      </c>
      <c r="G715">
        <f>[1]Result_notebook_retravaill!G715</f>
        <v>17703.55183876073</v>
      </c>
      <c r="H715" s="3">
        <f>IF([1]Result_notebook_retravaill!I715&gt;[1]Result_notebook_retravaill!G715,[1]Result_notebook_retravaill!I715/[1]Result_notebook_retravaill!N715,[1]Result_notebook_retravaill!H715)</f>
        <v>130730.86507793679</v>
      </c>
      <c r="I715" s="3">
        <f>[1]Result_notebook_retravaill!K715</f>
        <v>0</v>
      </c>
      <c r="J715" s="3">
        <f>MIN(G715,[1]Result_notebook_retravaill!I715)</f>
        <v>17703.55183876073</v>
      </c>
      <c r="K715" s="3">
        <f>IF([1]Result_notebook_retravaill!I715&gt;[1]Result_notebook_retravaill!G715,0,IF([1]Result_notebook_retravaill!I715+[1]Result_notebook_retravaill!J715&gt;[1]Result_notebook_retravaill!G715,[1]Result_notebook_retravaill!G715-[1]Result_notebook_retravaill!I715,[1]Result_notebook_retravaill!J715))</f>
        <v>0</v>
      </c>
      <c r="L715" s="3">
        <f>IF([1]Result_notebook_retravaill!I715&gt;[1]Result_notebook_retravaill!G715,0,IF([1]Result_notebook_retravaill!I715+[1]Result_notebook_retravaill!J715&gt;[1]Result_notebook_retravaill!G715,0,[1]Result_notebook_retravaill!M715))</f>
        <v>0</v>
      </c>
    </row>
    <row r="716" spans="1:12">
      <c r="A716">
        <f>[1]Result_notebook_retravaill!A716</f>
        <v>2032</v>
      </c>
      <c r="B716" t="str">
        <f>[1]Result_notebook_retravaill!B716</f>
        <v>Lithium</v>
      </c>
      <c r="C716" t="str">
        <f>[1]Result_notebook_retravaill!C716</f>
        <v>Current Measures</v>
      </c>
      <c r="D716" t="str">
        <f>[1]Result_notebook_retravaill!D716</f>
        <v>Production potential</v>
      </c>
      <c r="E716" t="str">
        <f>[1]Result_notebook_retravaill!E716</f>
        <v>100% CAN</v>
      </c>
      <c r="F716" t="str">
        <f>[1]Result_notebook_retravaill!F716</f>
        <v>Integrated</v>
      </c>
      <c r="G716">
        <f>[1]Result_notebook_retravaill!G716</f>
        <v>17703.55183876073</v>
      </c>
      <c r="H716" s="3">
        <f>IF([1]Result_notebook_retravaill!I716&gt;[1]Result_notebook_retravaill!G716,[1]Result_notebook_retravaill!I716/[1]Result_notebook_retravaill!N716,[1]Result_notebook_retravaill!H716)</f>
        <v>130730.86507793679</v>
      </c>
      <c r="I716" s="3">
        <f>[1]Result_notebook_retravaill!K716</f>
        <v>0</v>
      </c>
      <c r="J716" s="3">
        <f>MIN(G716,[1]Result_notebook_retravaill!I716)</f>
        <v>17703.55183876073</v>
      </c>
      <c r="K716" s="3">
        <f>IF([1]Result_notebook_retravaill!I716&gt;[1]Result_notebook_retravaill!G716,0,IF([1]Result_notebook_retravaill!I716+[1]Result_notebook_retravaill!J716&gt;[1]Result_notebook_retravaill!G716,[1]Result_notebook_retravaill!G716-[1]Result_notebook_retravaill!I716,[1]Result_notebook_retravaill!J716))</f>
        <v>0</v>
      </c>
      <c r="L716" s="3">
        <f>IF([1]Result_notebook_retravaill!I716&gt;[1]Result_notebook_retravaill!G716,0,IF([1]Result_notebook_retravaill!I716+[1]Result_notebook_retravaill!J716&gt;[1]Result_notebook_retravaill!G716,0,[1]Result_notebook_retravaill!M716))</f>
        <v>0</v>
      </c>
    </row>
    <row r="717" spans="1:12">
      <c r="A717">
        <f>[1]Result_notebook_retravaill!A717</f>
        <v>2032</v>
      </c>
      <c r="B717" t="str">
        <f>[1]Result_notebook_retravaill!B717</f>
        <v>Lithium</v>
      </c>
      <c r="C717" t="str">
        <f>[1]Result_notebook_retravaill!C717</f>
        <v>Global Net-zero</v>
      </c>
      <c r="D717" t="str">
        <f>[1]Result_notebook_retravaill!D717</f>
        <v>Existing production</v>
      </c>
      <c r="E717" t="str">
        <f>[1]Result_notebook_retravaill!E717</f>
        <v>Current shares</v>
      </c>
      <c r="F717" t="str">
        <f>[1]Result_notebook_retravaill!F717</f>
        <v>NIMBY</v>
      </c>
      <c r="G717">
        <f>[1]Result_notebook_retravaill!G717</f>
        <v>41006.910896196001</v>
      </c>
      <c r="H717" s="3">
        <f>IF([1]Result_notebook_retravaill!I717&gt;[1]Result_notebook_retravaill!G717,[1]Result_notebook_retravaill!I717/[1]Result_notebook_retravaill!N717,[1]Result_notebook_retravaill!H717)</f>
        <v>0</v>
      </c>
      <c r="I717" s="3">
        <f>[1]Result_notebook_retravaill!K717</f>
        <v>58581.301280280008</v>
      </c>
      <c r="J717" s="3">
        <f>MIN(G717,[1]Result_notebook_retravaill!I717)</f>
        <v>0</v>
      </c>
      <c r="K717" s="3">
        <f>IF([1]Result_notebook_retravaill!I717&gt;[1]Result_notebook_retravaill!G717,0,IF([1]Result_notebook_retravaill!I717+[1]Result_notebook_retravaill!J717&gt;[1]Result_notebook_retravaill!G717,[1]Result_notebook_retravaill!G717-[1]Result_notebook_retravaill!I717,[1]Result_notebook_retravaill!J717))</f>
        <v>0</v>
      </c>
      <c r="L717" s="3">
        <f>IF([1]Result_notebook_retravaill!I717&gt;[1]Result_notebook_retravaill!G717,0,IF([1]Result_notebook_retravaill!I717+[1]Result_notebook_retravaill!J717&gt;[1]Result_notebook_retravaill!G717,0,[1]Result_notebook_retravaill!M717))</f>
        <v>41006.910896196001</v>
      </c>
    </row>
    <row r="718" spans="1:12">
      <c r="A718">
        <f>[1]Result_notebook_retravaill!A718</f>
        <v>2032</v>
      </c>
      <c r="B718" t="str">
        <f>[1]Result_notebook_retravaill!B718</f>
        <v>Lithium</v>
      </c>
      <c r="C718" t="str">
        <f>[1]Result_notebook_retravaill!C718</f>
        <v>Global Net-zero</v>
      </c>
      <c r="D718" t="str">
        <f>[1]Result_notebook_retravaill!D718</f>
        <v>Existing production</v>
      </c>
      <c r="E718" t="str">
        <f>[1]Result_notebook_retravaill!E718</f>
        <v>Current shares</v>
      </c>
      <c r="F718" t="str">
        <f>[1]Result_notebook_retravaill!F718</f>
        <v>Status Quo</v>
      </c>
      <c r="G718">
        <f>[1]Result_notebook_retravaill!G718</f>
        <v>41006.910896196001</v>
      </c>
      <c r="H718" s="3">
        <f>IF([1]Result_notebook_retravaill!I718&gt;[1]Result_notebook_retravaill!G718,[1]Result_notebook_retravaill!I718/[1]Result_notebook_retravaill!N718,[1]Result_notebook_retravaill!H718)</f>
        <v>40610</v>
      </c>
      <c r="I718" s="3">
        <f>[1]Result_notebook_retravaill!K718</f>
        <v>17971.301280280011</v>
      </c>
      <c r="J718" s="3">
        <f>MIN(G718,[1]Result_notebook_retravaill!I718)</f>
        <v>28393.312823880038</v>
      </c>
      <c r="K718" s="3">
        <f>IF([1]Result_notebook_retravaill!I718&gt;[1]Result_notebook_retravaill!G718,0,IF([1]Result_notebook_retravaill!I718+[1]Result_notebook_retravaill!J718&gt;[1]Result_notebook_retravaill!G718,[1]Result_notebook_retravaill!G718-[1]Result_notebook_retravaill!I718,[1]Result_notebook_retravaill!J718))</f>
        <v>3589.2955984958098</v>
      </c>
      <c r="L718" s="3">
        <f>IF([1]Result_notebook_retravaill!I718&gt;[1]Result_notebook_retravaill!G718,0,IF([1]Result_notebook_retravaill!I718+[1]Result_notebook_retravaill!J718&gt;[1]Result_notebook_retravaill!G718,0,[1]Result_notebook_retravaill!M718))</f>
        <v>9024.3024738201493</v>
      </c>
    </row>
    <row r="719" spans="1:12">
      <c r="A719">
        <f>[1]Result_notebook_retravaill!A719</f>
        <v>2032</v>
      </c>
      <c r="B719" t="str">
        <f>[1]Result_notebook_retravaill!B719</f>
        <v>Lithium</v>
      </c>
      <c r="C719" t="str">
        <f>[1]Result_notebook_retravaill!C719</f>
        <v>Global Net-zero</v>
      </c>
      <c r="D719" t="str">
        <f>[1]Result_notebook_retravaill!D719</f>
        <v>Production potential</v>
      </c>
      <c r="E719" t="str">
        <f>[1]Result_notebook_retravaill!E719</f>
        <v>Current shares</v>
      </c>
      <c r="F719" t="str">
        <f>[1]Result_notebook_retravaill!F719</f>
        <v>Expansion Extractive</v>
      </c>
      <c r="G719">
        <f>[1]Result_notebook_retravaill!G719</f>
        <v>41006.910896196001</v>
      </c>
      <c r="H719" s="3">
        <f>IF([1]Result_notebook_retravaill!I719&gt;[1]Result_notebook_retravaill!G719,[1]Result_notebook_retravaill!I719/[1]Result_notebook_retravaill!N719,[1]Result_notebook_retravaill!H719)</f>
        <v>130730.86507793679</v>
      </c>
      <c r="I719" s="3">
        <f>[1]Result_notebook_retravaill!K719</f>
        <v>0</v>
      </c>
      <c r="J719" s="3">
        <f>MIN(G719,[1]Result_notebook_retravaill!I719)</f>
        <v>41006.910896196001</v>
      </c>
      <c r="K719" s="3">
        <f>IF([1]Result_notebook_retravaill!I719&gt;[1]Result_notebook_retravaill!G719,0,IF([1]Result_notebook_retravaill!I719+[1]Result_notebook_retravaill!J719&gt;[1]Result_notebook_retravaill!G719,[1]Result_notebook_retravaill!G719-[1]Result_notebook_retravaill!I719,[1]Result_notebook_retravaill!J719))</f>
        <v>0</v>
      </c>
      <c r="L719" s="3">
        <f>IF([1]Result_notebook_retravaill!I719&gt;[1]Result_notebook_retravaill!G719,0,IF([1]Result_notebook_retravaill!I719+[1]Result_notebook_retravaill!J719&gt;[1]Result_notebook_retravaill!G719,0,[1]Result_notebook_retravaill!M719))</f>
        <v>0</v>
      </c>
    </row>
    <row r="720" spans="1:12">
      <c r="A720">
        <f>[1]Result_notebook_retravaill!A720</f>
        <v>2032</v>
      </c>
      <c r="B720" t="str">
        <f>[1]Result_notebook_retravaill!B720</f>
        <v>Lithium</v>
      </c>
      <c r="C720" t="str">
        <f>[1]Result_notebook_retravaill!C720</f>
        <v>Global Net-zero</v>
      </c>
      <c r="D720" t="str">
        <f>[1]Result_notebook_retravaill!D720</f>
        <v>Production potential</v>
      </c>
      <c r="E720" t="str">
        <f>[1]Result_notebook_retravaill!E720</f>
        <v>Current shares</v>
      </c>
      <c r="F720" t="str">
        <f>[1]Result_notebook_retravaill!F720</f>
        <v>Expansion Extractive+Circularity</v>
      </c>
      <c r="G720">
        <f>[1]Result_notebook_retravaill!G720</f>
        <v>41006.910896196001</v>
      </c>
      <c r="H720" s="3">
        <f>IF([1]Result_notebook_retravaill!I720&gt;[1]Result_notebook_retravaill!G720,[1]Result_notebook_retravaill!I720/[1]Result_notebook_retravaill!N720,[1]Result_notebook_retravaill!H720)</f>
        <v>130730.86507793679</v>
      </c>
      <c r="I720" s="3">
        <f>[1]Result_notebook_retravaill!K720</f>
        <v>0</v>
      </c>
      <c r="J720" s="3">
        <f>MIN(G720,[1]Result_notebook_retravaill!I720)</f>
        <v>41006.910896196001</v>
      </c>
      <c r="K720" s="3">
        <f>IF([1]Result_notebook_retravaill!I720&gt;[1]Result_notebook_retravaill!G720,0,IF([1]Result_notebook_retravaill!I720+[1]Result_notebook_retravaill!J720&gt;[1]Result_notebook_retravaill!G720,[1]Result_notebook_retravaill!G720-[1]Result_notebook_retravaill!I720,[1]Result_notebook_retravaill!J720))</f>
        <v>0</v>
      </c>
      <c r="L720" s="3">
        <f>IF([1]Result_notebook_retravaill!I720&gt;[1]Result_notebook_retravaill!G720,0,IF([1]Result_notebook_retravaill!I720+[1]Result_notebook_retravaill!J720&gt;[1]Result_notebook_retravaill!G720,0,[1]Result_notebook_retravaill!M720))</f>
        <v>0</v>
      </c>
    </row>
    <row r="721" spans="1:12">
      <c r="A721">
        <f>[1]Result_notebook_retravaill!A721</f>
        <v>2032</v>
      </c>
      <c r="B721" t="str">
        <f>[1]Result_notebook_retravaill!B721</f>
        <v>Lithium</v>
      </c>
      <c r="C721" t="str">
        <f>[1]Result_notebook_retravaill!C721</f>
        <v>Global Net-zero</v>
      </c>
      <c r="D721" t="str">
        <f>[1]Result_notebook_retravaill!D721</f>
        <v>Production potential</v>
      </c>
      <c r="E721" t="str">
        <f>[1]Result_notebook_retravaill!E721</f>
        <v>100% CAN</v>
      </c>
      <c r="F721" t="str">
        <f>[1]Result_notebook_retravaill!F721</f>
        <v>Integrated</v>
      </c>
      <c r="G721">
        <f>[1]Result_notebook_retravaill!G721</f>
        <v>41006.910896196001</v>
      </c>
      <c r="H721" s="3">
        <f>IF([1]Result_notebook_retravaill!I721&gt;[1]Result_notebook_retravaill!G721,[1]Result_notebook_retravaill!I721/[1]Result_notebook_retravaill!N721,[1]Result_notebook_retravaill!H721)</f>
        <v>130730.86507793679</v>
      </c>
      <c r="I721" s="3">
        <f>[1]Result_notebook_retravaill!K721</f>
        <v>0</v>
      </c>
      <c r="J721" s="3">
        <f>MIN(G721,[1]Result_notebook_retravaill!I721)</f>
        <v>41006.910896196001</v>
      </c>
      <c r="K721" s="3">
        <f>IF([1]Result_notebook_retravaill!I721&gt;[1]Result_notebook_retravaill!G721,0,IF([1]Result_notebook_retravaill!I721+[1]Result_notebook_retravaill!J721&gt;[1]Result_notebook_retravaill!G721,[1]Result_notebook_retravaill!G721-[1]Result_notebook_retravaill!I721,[1]Result_notebook_retravaill!J721))</f>
        <v>0</v>
      </c>
      <c r="L721" s="3">
        <f>IF([1]Result_notebook_retravaill!I721&gt;[1]Result_notebook_retravaill!G721,0,IF([1]Result_notebook_retravaill!I721+[1]Result_notebook_retravaill!J721&gt;[1]Result_notebook_retravaill!G721,0,[1]Result_notebook_retravaill!M721))</f>
        <v>0</v>
      </c>
    </row>
    <row r="722" spans="1:12">
      <c r="A722">
        <f>[1]Result_notebook_retravaill!A722</f>
        <v>2033</v>
      </c>
      <c r="B722" t="str">
        <f>[1]Result_notebook_retravaill!B722</f>
        <v>Cobalt</v>
      </c>
      <c r="C722" t="str">
        <f>[1]Result_notebook_retravaill!C722</f>
        <v>Canada Net-zero</v>
      </c>
      <c r="D722" t="str">
        <f>[1]Result_notebook_retravaill!D722</f>
        <v>Existing production</v>
      </c>
      <c r="E722" t="str">
        <f>[1]Result_notebook_retravaill!E722</f>
        <v>Current shares</v>
      </c>
      <c r="F722" t="str">
        <f>[1]Result_notebook_retravaill!F722</f>
        <v>NIMBY</v>
      </c>
      <c r="G722">
        <f>[1]Result_notebook_retravaill!G722</f>
        <v>111767.924194804</v>
      </c>
      <c r="H722" s="3">
        <f>IF([1]Result_notebook_retravaill!I722&gt;[1]Result_notebook_retravaill!G722,[1]Result_notebook_retravaill!I722/[1]Result_notebook_retravaill!N722,[1]Result_notebook_retravaill!H722)</f>
        <v>0</v>
      </c>
      <c r="I722" s="3">
        <f>[1]Result_notebook_retravaill!K722</f>
        <v>254018.00953364541</v>
      </c>
      <c r="J722" s="3">
        <f>MIN(G722,[1]Result_notebook_retravaill!I722)</f>
        <v>0</v>
      </c>
      <c r="K722" s="3">
        <f>IF([1]Result_notebook_retravaill!I722&gt;[1]Result_notebook_retravaill!G722,0,IF([1]Result_notebook_retravaill!I722+[1]Result_notebook_retravaill!J722&gt;[1]Result_notebook_retravaill!G722,[1]Result_notebook_retravaill!G722-[1]Result_notebook_retravaill!I722,[1]Result_notebook_retravaill!J722))</f>
        <v>0</v>
      </c>
      <c r="L722" s="3">
        <f>IF([1]Result_notebook_retravaill!I722&gt;[1]Result_notebook_retravaill!G722,0,IF([1]Result_notebook_retravaill!I722+[1]Result_notebook_retravaill!J722&gt;[1]Result_notebook_retravaill!G722,0,[1]Result_notebook_retravaill!M722))</f>
        <v>111767.924194804</v>
      </c>
    </row>
    <row r="723" spans="1:12">
      <c r="A723">
        <f>[1]Result_notebook_retravaill!A723</f>
        <v>2033</v>
      </c>
      <c r="B723" t="str">
        <f>[1]Result_notebook_retravaill!B723</f>
        <v>Cobalt</v>
      </c>
      <c r="C723" t="str">
        <f>[1]Result_notebook_retravaill!C723</f>
        <v>Canada Net-zero</v>
      </c>
      <c r="D723" t="str">
        <f>[1]Result_notebook_retravaill!D723</f>
        <v>Existing production</v>
      </c>
      <c r="E723" t="str">
        <f>[1]Result_notebook_retravaill!E723</f>
        <v>Current shares</v>
      </c>
      <c r="F723" t="str">
        <f>[1]Result_notebook_retravaill!F723</f>
        <v>Status Quo</v>
      </c>
      <c r="G723">
        <f>[1]Result_notebook_retravaill!G723</f>
        <v>111767.924194804</v>
      </c>
      <c r="H723" s="3">
        <f>IF([1]Result_notebook_retravaill!I723&gt;[1]Result_notebook_retravaill!G723,[1]Result_notebook_retravaill!I723/[1]Result_notebook_retravaill!N723,[1]Result_notebook_retravaill!H723)</f>
        <v>3079</v>
      </c>
      <c r="I723" s="3">
        <f>[1]Result_notebook_retravaill!K723</f>
        <v>250939.00953364541</v>
      </c>
      <c r="J723" s="3">
        <f>MIN(G723,[1]Result_notebook_retravaill!I723)</f>
        <v>1306.05584956232</v>
      </c>
      <c r="K723" s="3">
        <f>IF([1]Result_notebook_retravaill!I723&gt;[1]Result_notebook_retravaill!G723,0,IF([1]Result_notebook_retravaill!I723+[1]Result_notebook_retravaill!J723&gt;[1]Result_notebook_retravaill!G723,[1]Result_notebook_retravaill!G723-[1]Result_notebook_retravaill!I723,[1]Result_notebook_retravaill!J723))</f>
        <v>46.692226187885353</v>
      </c>
      <c r="L723" s="3">
        <f>IF([1]Result_notebook_retravaill!I723&gt;[1]Result_notebook_retravaill!G723,0,IF([1]Result_notebook_retravaill!I723+[1]Result_notebook_retravaill!J723&gt;[1]Result_notebook_retravaill!G723,0,[1]Result_notebook_retravaill!M723))</f>
        <v>110415.17611905382</v>
      </c>
    </row>
    <row r="724" spans="1:12">
      <c r="A724">
        <f>[1]Result_notebook_retravaill!A724</f>
        <v>2033</v>
      </c>
      <c r="B724" t="str">
        <f>[1]Result_notebook_retravaill!B724</f>
        <v>Cobalt</v>
      </c>
      <c r="C724" t="str">
        <f>[1]Result_notebook_retravaill!C724</f>
        <v>Canada Net-zero</v>
      </c>
      <c r="D724" t="str">
        <f>[1]Result_notebook_retravaill!D724</f>
        <v>Production potential</v>
      </c>
      <c r="E724" t="str">
        <f>[1]Result_notebook_retravaill!E724</f>
        <v>Current shares</v>
      </c>
      <c r="F724" t="str">
        <f>[1]Result_notebook_retravaill!F724</f>
        <v>Expansion Extractive</v>
      </c>
      <c r="G724">
        <f>[1]Result_notebook_retravaill!G724</f>
        <v>111767.924194804</v>
      </c>
      <c r="H724" s="3">
        <f>IF([1]Result_notebook_retravaill!I724&gt;[1]Result_notebook_retravaill!G724,[1]Result_notebook_retravaill!I724/[1]Result_notebook_retravaill!N724,[1]Result_notebook_retravaill!H724)</f>
        <v>11725.35368790235</v>
      </c>
      <c r="I724" s="3">
        <f>[1]Result_notebook_retravaill!K724</f>
        <v>242292.65584574311</v>
      </c>
      <c r="J724" s="3">
        <f>MIN(G724,[1]Result_notebook_retravaill!I724)</f>
        <v>4973.6819656615726</v>
      </c>
      <c r="K724" s="3">
        <f>IF([1]Result_notebook_retravaill!I724&gt;[1]Result_notebook_retravaill!G724,0,IF([1]Result_notebook_retravaill!I724+[1]Result_notebook_retravaill!J724&gt;[1]Result_notebook_retravaill!G724,[1]Result_notebook_retravaill!G724-[1]Result_notebook_retravaill!I724,[1]Result_notebook_retravaill!J724))</f>
        <v>177.8119085834669</v>
      </c>
      <c r="L724" s="3">
        <f>IF([1]Result_notebook_retravaill!I724&gt;[1]Result_notebook_retravaill!G724,0,IF([1]Result_notebook_retravaill!I724+[1]Result_notebook_retravaill!J724&gt;[1]Result_notebook_retravaill!G724,0,[1]Result_notebook_retravaill!M724))</f>
        <v>106616.43032055894</v>
      </c>
    </row>
    <row r="725" spans="1:12">
      <c r="A725">
        <f>[1]Result_notebook_retravaill!A725</f>
        <v>2033</v>
      </c>
      <c r="B725" t="str">
        <f>[1]Result_notebook_retravaill!B725</f>
        <v>Cobalt</v>
      </c>
      <c r="C725" t="str">
        <f>[1]Result_notebook_retravaill!C725</f>
        <v>Canada Net-zero</v>
      </c>
      <c r="D725" t="str">
        <f>[1]Result_notebook_retravaill!D725</f>
        <v>Production potential</v>
      </c>
      <c r="E725" t="str">
        <f>[1]Result_notebook_retravaill!E725</f>
        <v>Current shares</v>
      </c>
      <c r="F725" t="str">
        <f>[1]Result_notebook_retravaill!F725</f>
        <v>Expansion Extractive+Circularity</v>
      </c>
      <c r="G725">
        <f>[1]Result_notebook_retravaill!G725</f>
        <v>111767.924194804</v>
      </c>
      <c r="H725" s="3">
        <f>IF([1]Result_notebook_retravaill!I725&gt;[1]Result_notebook_retravaill!G725,[1]Result_notebook_retravaill!I725/[1]Result_notebook_retravaill!N725,[1]Result_notebook_retravaill!H725)</f>
        <v>11725.35368790235</v>
      </c>
      <c r="I725" s="3">
        <f>[1]Result_notebook_retravaill!K725</f>
        <v>242292.65584574311</v>
      </c>
      <c r="J725" s="3">
        <f>MIN(G725,[1]Result_notebook_retravaill!I725)</f>
        <v>4973.6819656615726</v>
      </c>
      <c r="K725" s="3">
        <f>IF([1]Result_notebook_retravaill!I725&gt;[1]Result_notebook_retravaill!G725,0,IF([1]Result_notebook_retravaill!I725+[1]Result_notebook_retravaill!J725&gt;[1]Result_notebook_retravaill!G725,[1]Result_notebook_retravaill!G725-[1]Result_notebook_retravaill!I725,[1]Result_notebook_retravaill!J725))</f>
        <v>177.8119085834669</v>
      </c>
      <c r="L725" s="3">
        <f>IF([1]Result_notebook_retravaill!I725&gt;[1]Result_notebook_retravaill!G725,0,IF([1]Result_notebook_retravaill!I725+[1]Result_notebook_retravaill!J725&gt;[1]Result_notebook_retravaill!G725,0,[1]Result_notebook_retravaill!M725))</f>
        <v>106616.43032055894</v>
      </c>
    </row>
    <row r="726" spans="1:12">
      <c r="A726">
        <f>[1]Result_notebook_retravaill!A726</f>
        <v>2033</v>
      </c>
      <c r="B726" t="str">
        <f>[1]Result_notebook_retravaill!B726</f>
        <v>Cobalt</v>
      </c>
      <c r="C726" t="str">
        <f>[1]Result_notebook_retravaill!C726</f>
        <v>Canada Net-zero</v>
      </c>
      <c r="D726" t="str">
        <f>[1]Result_notebook_retravaill!D726</f>
        <v>Production potential</v>
      </c>
      <c r="E726" t="str">
        <f>[1]Result_notebook_retravaill!E726</f>
        <v>100% CAN</v>
      </c>
      <c r="F726" t="str">
        <f>[1]Result_notebook_retravaill!F726</f>
        <v>Integrated</v>
      </c>
      <c r="G726">
        <f>[1]Result_notebook_retravaill!G726</f>
        <v>111767.924194804</v>
      </c>
      <c r="H726" s="3">
        <f>IF([1]Result_notebook_retravaill!I726&gt;[1]Result_notebook_retravaill!G726,[1]Result_notebook_retravaill!I726/[1]Result_notebook_retravaill!N726,[1]Result_notebook_retravaill!H726)</f>
        <v>11725.35368790235</v>
      </c>
      <c r="I726" s="3">
        <f>[1]Result_notebook_retravaill!K726</f>
        <v>242292.65584574311</v>
      </c>
      <c r="J726" s="3">
        <f>MIN(G726,[1]Result_notebook_retravaill!I726)</f>
        <v>5151.4938742450449</v>
      </c>
      <c r="K726" s="3">
        <f>IF([1]Result_notebook_retravaill!I726&gt;[1]Result_notebook_retravaill!G726,0,IF([1]Result_notebook_retravaill!I726+[1]Result_notebook_retravaill!J726&gt;[1]Result_notebook_retravaill!G726,[1]Result_notebook_retravaill!G726-[1]Result_notebook_retravaill!I726,[1]Result_notebook_retravaill!J726))</f>
        <v>0</v>
      </c>
      <c r="L726" s="3">
        <f>IF([1]Result_notebook_retravaill!I726&gt;[1]Result_notebook_retravaill!G726,0,IF([1]Result_notebook_retravaill!I726+[1]Result_notebook_retravaill!J726&gt;[1]Result_notebook_retravaill!G726,0,[1]Result_notebook_retravaill!M726))</f>
        <v>106616.430320559</v>
      </c>
    </row>
    <row r="727" spans="1:12">
      <c r="A727">
        <f>[1]Result_notebook_retravaill!A727</f>
        <v>2033</v>
      </c>
      <c r="B727" t="str">
        <f>[1]Result_notebook_retravaill!B727</f>
        <v>Cobalt</v>
      </c>
      <c r="C727" t="str">
        <f>[1]Result_notebook_retravaill!C727</f>
        <v>Current Measures</v>
      </c>
      <c r="D727" t="str">
        <f>[1]Result_notebook_retravaill!D727</f>
        <v>Existing production</v>
      </c>
      <c r="E727" t="str">
        <f>[1]Result_notebook_retravaill!E727</f>
        <v>Current shares</v>
      </c>
      <c r="F727" t="str">
        <f>[1]Result_notebook_retravaill!F727</f>
        <v>NIMBY</v>
      </c>
      <c r="G727">
        <f>[1]Result_notebook_retravaill!G727</f>
        <v>44810.916790988493</v>
      </c>
      <c r="H727" s="3">
        <f>IF([1]Result_notebook_retravaill!I727&gt;[1]Result_notebook_retravaill!G727,[1]Result_notebook_retravaill!I727/[1]Result_notebook_retravaill!N727,[1]Result_notebook_retravaill!H727)</f>
        <v>0</v>
      </c>
      <c r="I727" s="3">
        <f>[1]Result_notebook_retravaill!K727</f>
        <v>101842.99270679201</v>
      </c>
      <c r="J727" s="3">
        <f>MIN(G727,[1]Result_notebook_retravaill!I727)</f>
        <v>0</v>
      </c>
      <c r="K727" s="3">
        <f>IF([1]Result_notebook_retravaill!I727&gt;[1]Result_notebook_retravaill!G727,0,IF([1]Result_notebook_retravaill!I727+[1]Result_notebook_retravaill!J727&gt;[1]Result_notebook_retravaill!G727,[1]Result_notebook_retravaill!G727-[1]Result_notebook_retravaill!I727,[1]Result_notebook_retravaill!J727))</f>
        <v>0</v>
      </c>
      <c r="L727" s="3">
        <f>IF([1]Result_notebook_retravaill!I727&gt;[1]Result_notebook_retravaill!G727,0,IF([1]Result_notebook_retravaill!I727+[1]Result_notebook_retravaill!J727&gt;[1]Result_notebook_retravaill!G727,0,[1]Result_notebook_retravaill!M727))</f>
        <v>44810.916790988493</v>
      </c>
    </row>
    <row r="728" spans="1:12">
      <c r="A728">
        <f>[1]Result_notebook_retravaill!A728</f>
        <v>2033</v>
      </c>
      <c r="B728" t="str">
        <f>[1]Result_notebook_retravaill!B728</f>
        <v>Cobalt</v>
      </c>
      <c r="C728" t="str">
        <f>[1]Result_notebook_retravaill!C728</f>
        <v>Current Measures</v>
      </c>
      <c r="D728" t="str">
        <f>[1]Result_notebook_retravaill!D728</f>
        <v>Existing production</v>
      </c>
      <c r="E728" t="str">
        <f>[1]Result_notebook_retravaill!E728</f>
        <v>Current shares</v>
      </c>
      <c r="F728" t="str">
        <f>[1]Result_notebook_retravaill!F728</f>
        <v>Status Quo</v>
      </c>
      <c r="G728">
        <f>[1]Result_notebook_retravaill!G728</f>
        <v>44810.916790988493</v>
      </c>
      <c r="H728" s="3">
        <f>IF([1]Result_notebook_retravaill!I728&gt;[1]Result_notebook_retravaill!G728,[1]Result_notebook_retravaill!I728/[1]Result_notebook_retravaill!N728,[1]Result_notebook_retravaill!H728)</f>
        <v>3079</v>
      </c>
      <c r="I728" s="3">
        <f>[1]Result_notebook_retravaill!K728</f>
        <v>98763.992706792022</v>
      </c>
      <c r="J728" s="3">
        <f>MIN(G728,[1]Result_notebook_retravaill!I728)</f>
        <v>1306.05584956232</v>
      </c>
      <c r="K728" s="3">
        <f>IF([1]Result_notebook_retravaill!I728&gt;[1]Result_notebook_retravaill!G728,0,IF([1]Result_notebook_retravaill!I728+[1]Result_notebook_retravaill!J728&gt;[1]Result_notebook_retravaill!G728,[1]Result_notebook_retravaill!G728-[1]Result_notebook_retravaill!I728,[1]Result_notebook_retravaill!J728))</f>
        <v>46.692226187885353</v>
      </c>
      <c r="L728" s="3">
        <f>IF([1]Result_notebook_retravaill!I728&gt;[1]Result_notebook_retravaill!G728,0,IF([1]Result_notebook_retravaill!I728+[1]Result_notebook_retravaill!J728&gt;[1]Result_notebook_retravaill!G728,0,[1]Result_notebook_retravaill!M728))</f>
        <v>43458.16871523828</v>
      </c>
    </row>
    <row r="729" spans="1:12">
      <c r="A729">
        <f>[1]Result_notebook_retravaill!A729</f>
        <v>2033</v>
      </c>
      <c r="B729" t="str">
        <f>[1]Result_notebook_retravaill!B729</f>
        <v>Cobalt</v>
      </c>
      <c r="C729" t="str">
        <f>[1]Result_notebook_retravaill!C729</f>
        <v>Current Measures</v>
      </c>
      <c r="D729" t="str">
        <f>[1]Result_notebook_retravaill!D729</f>
        <v>Production potential</v>
      </c>
      <c r="E729" t="str">
        <f>[1]Result_notebook_retravaill!E729</f>
        <v>Current shares</v>
      </c>
      <c r="F729" t="str">
        <f>[1]Result_notebook_retravaill!F729</f>
        <v>Expansion Extractive</v>
      </c>
      <c r="G729">
        <f>[1]Result_notebook_retravaill!G729</f>
        <v>44810.916790988493</v>
      </c>
      <c r="H729" s="3">
        <f>IF([1]Result_notebook_retravaill!I729&gt;[1]Result_notebook_retravaill!G729,[1]Result_notebook_retravaill!I729/[1]Result_notebook_retravaill!N729,[1]Result_notebook_retravaill!H729)</f>
        <v>11725.35368790235</v>
      </c>
      <c r="I729" s="3">
        <f>[1]Result_notebook_retravaill!K729</f>
        <v>90117.639018889662</v>
      </c>
      <c r="J729" s="3">
        <f>MIN(G729,[1]Result_notebook_retravaill!I729)</f>
        <v>4973.6819656615726</v>
      </c>
      <c r="K729" s="3">
        <f>IF([1]Result_notebook_retravaill!I729&gt;[1]Result_notebook_retravaill!G729,0,IF([1]Result_notebook_retravaill!I729+[1]Result_notebook_retravaill!J729&gt;[1]Result_notebook_retravaill!G729,[1]Result_notebook_retravaill!G729-[1]Result_notebook_retravaill!I729,[1]Result_notebook_retravaill!J729))</f>
        <v>177.8119085834669</v>
      </c>
      <c r="L729" s="3">
        <f>IF([1]Result_notebook_retravaill!I729&gt;[1]Result_notebook_retravaill!G729,0,IF([1]Result_notebook_retravaill!I729+[1]Result_notebook_retravaill!J729&gt;[1]Result_notebook_retravaill!G729,0,[1]Result_notebook_retravaill!M729))</f>
        <v>39659.422916743453</v>
      </c>
    </row>
    <row r="730" spans="1:12">
      <c r="A730">
        <f>[1]Result_notebook_retravaill!A730</f>
        <v>2033</v>
      </c>
      <c r="B730" t="str">
        <f>[1]Result_notebook_retravaill!B730</f>
        <v>Cobalt</v>
      </c>
      <c r="C730" t="str">
        <f>[1]Result_notebook_retravaill!C730</f>
        <v>Current Measures</v>
      </c>
      <c r="D730" t="str">
        <f>[1]Result_notebook_retravaill!D730</f>
        <v>Production potential</v>
      </c>
      <c r="E730" t="str">
        <f>[1]Result_notebook_retravaill!E730</f>
        <v>Current shares</v>
      </c>
      <c r="F730" t="str">
        <f>[1]Result_notebook_retravaill!F730</f>
        <v>Expansion Extractive+Circularity</v>
      </c>
      <c r="G730">
        <f>[1]Result_notebook_retravaill!G730</f>
        <v>44810.916790988493</v>
      </c>
      <c r="H730" s="3">
        <f>IF([1]Result_notebook_retravaill!I730&gt;[1]Result_notebook_retravaill!G730,[1]Result_notebook_retravaill!I730/[1]Result_notebook_retravaill!N730,[1]Result_notebook_retravaill!H730)</f>
        <v>11725.35368790235</v>
      </c>
      <c r="I730" s="3">
        <f>[1]Result_notebook_retravaill!K730</f>
        <v>90117.639018889662</v>
      </c>
      <c r="J730" s="3">
        <f>MIN(G730,[1]Result_notebook_retravaill!I730)</f>
        <v>4973.6819656615726</v>
      </c>
      <c r="K730" s="3">
        <f>IF([1]Result_notebook_retravaill!I730&gt;[1]Result_notebook_retravaill!G730,0,IF([1]Result_notebook_retravaill!I730+[1]Result_notebook_retravaill!J730&gt;[1]Result_notebook_retravaill!G730,[1]Result_notebook_retravaill!G730-[1]Result_notebook_retravaill!I730,[1]Result_notebook_retravaill!J730))</f>
        <v>177.8119085834669</v>
      </c>
      <c r="L730" s="3">
        <f>IF([1]Result_notebook_retravaill!I730&gt;[1]Result_notebook_retravaill!G730,0,IF([1]Result_notebook_retravaill!I730+[1]Result_notebook_retravaill!J730&gt;[1]Result_notebook_retravaill!G730,0,[1]Result_notebook_retravaill!M730))</f>
        <v>39659.422916743453</v>
      </c>
    </row>
    <row r="731" spans="1:12">
      <c r="A731">
        <f>[1]Result_notebook_retravaill!A731</f>
        <v>2033</v>
      </c>
      <c r="B731" t="str">
        <f>[1]Result_notebook_retravaill!B731</f>
        <v>Cobalt</v>
      </c>
      <c r="C731" t="str">
        <f>[1]Result_notebook_retravaill!C731</f>
        <v>Current Measures</v>
      </c>
      <c r="D731" t="str">
        <f>[1]Result_notebook_retravaill!D731</f>
        <v>Production potential</v>
      </c>
      <c r="E731" t="str">
        <f>[1]Result_notebook_retravaill!E731</f>
        <v>100% CAN</v>
      </c>
      <c r="F731" t="str">
        <f>[1]Result_notebook_retravaill!F731</f>
        <v>Integrated</v>
      </c>
      <c r="G731">
        <f>[1]Result_notebook_retravaill!G731</f>
        <v>44810.916790988493</v>
      </c>
      <c r="H731" s="3">
        <f>IF([1]Result_notebook_retravaill!I731&gt;[1]Result_notebook_retravaill!G731,[1]Result_notebook_retravaill!I731/[1]Result_notebook_retravaill!N731,[1]Result_notebook_retravaill!H731)</f>
        <v>11725.35368790235</v>
      </c>
      <c r="I731" s="3">
        <f>[1]Result_notebook_retravaill!K731</f>
        <v>90117.639018889662</v>
      </c>
      <c r="J731" s="3">
        <f>MIN(G731,[1]Result_notebook_retravaill!I731)</f>
        <v>5151.4938742450449</v>
      </c>
      <c r="K731" s="3">
        <f>IF([1]Result_notebook_retravaill!I731&gt;[1]Result_notebook_retravaill!G731,0,IF([1]Result_notebook_retravaill!I731+[1]Result_notebook_retravaill!J731&gt;[1]Result_notebook_retravaill!G731,[1]Result_notebook_retravaill!G731-[1]Result_notebook_retravaill!I731,[1]Result_notebook_retravaill!J731))</f>
        <v>0</v>
      </c>
      <c r="L731" s="3">
        <f>IF([1]Result_notebook_retravaill!I731&gt;[1]Result_notebook_retravaill!G731,0,IF([1]Result_notebook_retravaill!I731+[1]Result_notebook_retravaill!J731&gt;[1]Result_notebook_retravaill!G731,0,[1]Result_notebook_retravaill!M731))</f>
        <v>39659.422916743453</v>
      </c>
    </row>
    <row r="732" spans="1:12">
      <c r="A732">
        <f>[1]Result_notebook_retravaill!A732</f>
        <v>2033</v>
      </c>
      <c r="B732" t="str">
        <f>[1]Result_notebook_retravaill!B732</f>
        <v>Cobalt</v>
      </c>
      <c r="C732" t="str">
        <f>[1]Result_notebook_retravaill!C732</f>
        <v>Global Net-zero</v>
      </c>
      <c r="D732" t="str">
        <f>[1]Result_notebook_retravaill!D732</f>
        <v>Existing production</v>
      </c>
      <c r="E732" t="str">
        <f>[1]Result_notebook_retravaill!E732</f>
        <v>Current shares</v>
      </c>
      <c r="F732" t="str">
        <f>[1]Result_notebook_retravaill!F732</f>
        <v>NIMBY</v>
      </c>
      <c r="G732">
        <f>[1]Result_notebook_retravaill!G732</f>
        <v>106145.67716186729</v>
      </c>
      <c r="H732" s="3">
        <f>IF([1]Result_notebook_retravaill!I732&gt;[1]Result_notebook_retravaill!G732,[1]Result_notebook_retravaill!I732/[1]Result_notebook_retravaill!N732,[1]Result_notebook_retravaill!H732)</f>
        <v>0</v>
      </c>
      <c r="I732" s="3">
        <f>[1]Result_notebook_retravaill!K732</f>
        <v>241240.17536788021</v>
      </c>
      <c r="J732" s="3">
        <f>MIN(G732,[1]Result_notebook_retravaill!I732)</f>
        <v>0</v>
      </c>
      <c r="K732" s="3">
        <f>IF([1]Result_notebook_retravaill!I732&gt;[1]Result_notebook_retravaill!G732,0,IF([1]Result_notebook_retravaill!I732+[1]Result_notebook_retravaill!J732&gt;[1]Result_notebook_retravaill!G732,[1]Result_notebook_retravaill!G732-[1]Result_notebook_retravaill!I732,[1]Result_notebook_retravaill!J732))</f>
        <v>0</v>
      </c>
      <c r="L732" s="3">
        <f>IF([1]Result_notebook_retravaill!I732&gt;[1]Result_notebook_retravaill!G732,0,IF([1]Result_notebook_retravaill!I732+[1]Result_notebook_retravaill!J732&gt;[1]Result_notebook_retravaill!G732,0,[1]Result_notebook_retravaill!M732))</f>
        <v>106145.67716186729</v>
      </c>
    </row>
    <row r="733" spans="1:12">
      <c r="A733">
        <f>[1]Result_notebook_retravaill!A733</f>
        <v>2033</v>
      </c>
      <c r="B733" t="str">
        <f>[1]Result_notebook_retravaill!B733</f>
        <v>Cobalt</v>
      </c>
      <c r="C733" t="str">
        <f>[1]Result_notebook_retravaill!C733</f>
        <v>Global Net-zero</v>
      </c>
      <c r="D733" t="str">
        <f>[1]Result_notebook_retravaill!D733</f>
        <v>Existing production</v>
      </c>
      <c r="E733" t="str">
        <f>[1]Result_notebook_retravaill!E733</f>
        <v>Current shares</v>
      </c>
      <c r="F733" t="str">
        <f>[1]Result_notebook_retravaill!F733</f>
        <v>Status Quo</v>
      </c>
      <c r="G733">
        <f>[1]Result_notebook_retravaill!G733</f>
        <v>106145.67716186729</v>
      </c>
      <c r="H733" s="3">
        <f>IF([1]Result_notebook_retravaill!I733&gt;[1]Result_notebook_retravaill!G733,[1]Result_notebook_retravaill!I733/[1]Result_notebook_retravaill!N733,[1]Result_notebook_retravaill!H733)</f>
        <v>3079</v>
      </c>
      <c r="I733" s="3">
        <f>[1]Result_notebook_retravaill!K733</f>
        <v>238161.17536788021</v>
      </c>
      <c r="J733" s="3">
        <f>MIN(G733,[1]Result_notebook_retravaill!I733)</f>
        <v>1306.05584956232</v>
      </c>
      <c r="K733" s="3">
        <f>IF([1]Result_notebook_retravaill!I733&gt;[1]Result_notebook_retravaill!G733,0,IF([1]Result_notebook_retravaill!I733+[1]Result_notebook_retravaill!J733&gt;[1]Result_notebook_retravaill!G733,[1]Result_notebook_retravaill!G733-[1]Result_notebook_retravaill!I733,[1]Result_notebook_retravaill!J733))</f>
        <v>46.692226187885353</v>
      </c>
      <c r="L733" s="3">
        <f>IF([1]Result_notebook_retravaill!I733&gt;[1]Result_notebook_retravaill!G733,0,IF([1]Result_notebook_retravaill!I733+[1]Result_notebook_retravaill!J733&gt;[1]Result_notebook_retravaill!G733,0,[1]Result_notebook_retravaill!M733))</f>
        <v>104792.92908611712</v>
      </c>
    </row>
    <row r="734" spans="1:12">
      <c r="A734">
        <f>[1]Result_notebook_retravaill!A734</f>
        <v>2033</v>
      </c>
      <c r="B734" t="str">
        <f>[1]Result_notebook_retravaill!B734</f>
        <v>Cobalt</v>
      </c>
      <c r="C734" t="str">
        <f>[1]Result_notebook_retravaill!C734</f>
        <v>Global Net-zero</v>
      </c>
      <c r="D734" t="str">
        <f>[1]Result_notebook_retravaill!D734</f>
        <v>Production potential</v>
      </c>
      <c r="E734" t="str">
        <f>[1]Result_notebook_retravaill!E734</f>
        <v>Current shares</v>
      </c>
      <c r="F734" t="str">
        <f>[1]Result_notebook_retravaill!F734</f>
        <v>Expansion Extractive</v>
      </c>
      <c r="G734">
        <f>[1]Result_notebook_retravaill!G734</f>
        <v>106145.67716186729</v>
      </c>
      <c r="H734" s="3">
        <f>IF([1]Result_notebook_retravaill!I734&gt;[1]Result_notebook_retravaill!G734,[1]Result_notebook_retravaill!I734/[1]Result_notebook_retravaill!N734,[1]Result_notebook_retravaill!H734)</f>
        <v>11725.35368790235</v>
      </c>
      <c r="I734" s="3">
        <f>[1]Result_notebook_retravaill!K734</f>
        <v>229514.82167997779</v>
      </c>
      <c r="J734" s="3">
        <f>MIN(G734,[1]Result_notebook_retravaill!I734)</f>
        <v>4973.6819656615726</v>
      </c>
      <c r="K734" s="3">
        <f>IF([1]Result_notebook_retravaill!I734&gt;[1]Result_notebook_retravaill!G734,0,IF([1]Result_notebook_retravaill!I734+[1]Result_notebook_retravaill!J734&gt;[1]Result_notebook_retravaill!G734,[1]Result_notebook_retravaill!G734-[1]Result_notebook_retravaill!I734,[1]Result_notebook_retravaill!J734))</f>
        <v>177.8119085834669</v>
      </c>
      <c r="L734" s="3">
        <f>IF([1]Result_notebook_retravaill!I734&gt;[1]Result_notebook_retravaill!G734,0,IF([1]Result_notebook_retravaill!I734+[1]Result_notebook_retravaill!J734&gt;[1]Result_notebook_retravaill!G734,0,[1]Result_notebook_retravaill!M734))</f>
        <v>100994.18328762223</v>
      </c>
    </row>
    <row r="735" spans="1:12">
      <c r="A735">
        <f>[1]Result_notebook_retravaill!A735</f>
        <v>2033</v>
      </c>
      <c r="B735" t="str">
        <f>[1]Result_notebook_retravaill!B735</f>
        <v>Cobalt</v>
      </c>
      <c r="C735" t="str">
        <f>[1]Result_notebook_retravaill!C735</f>
        <v>Global Net-zero</v>
      </c>
      <c r="D735" t="str">
        <f>[1]Result_notebook_retravaill!D735</f>
        <v>Production potential</v>
      </c>
      <c r="E735" t="str">
        <f>[1]Result_notebook_retravaill!E735</f>
        <v>Current shares</v>
      </c>
      <c r="F735" t="str">
        <f>[1]Result_notebook_retravaill!F735</f>
        <v>Expansion Extractive+Circularity</v>
      </c>
      <c r="G735">
        <f>[1]Result_notebook_retravaill!G735</f>
        <v>106145.67716186729</v>
      </c>
      <c r="H735" s="3">
        <f>IF([1]Result_notebook_retravaill!I735&gt;[1]Result_notebook_retravaill!G735,[1]Result_notebook_retravaill!I735/[1]Result_notebook_retravaill!N735,[1]Result_notebook_retravaill!H735)</f>
        <v>11725.35368790235</v>
      </c>
      <c r="I735" s="3">
        <f>[1]Result_notebook_retravaill!K735</f>
        <v>229514.82167997779</v>
      </c>
      <c r="J735" s="3">
        <f>MIN(G735,[1]Result_notebook_retravaill!I735)</f>
        <v>4973.6819656615726</v>
      </c>
      <c r="K735" s="3">
        <f>IF([1]Result_notebook_retravaill!I735&gt;[1]Result_notebook_retravaill!G735,0,IF([1]Result_notebook_retravaill!I735+[1]Result_notebook_retravaill!J735&gt;[1]Result_notebook_retravaill!G735,[1]Result_notebook_retravaill!G735-[1]Result_notebook_retravaill!I735,[1]Result_notebook_retravaill!J735))</f>
        <v>177.8119085834669</v>
      </c>
      <c r="L735" s="3">
        <f>IF([1]Result_notebook_retravaill!I735&gt;[1]Result_notebook_retravaill!G735,0,IF([1]Result_notebook_retravaill!I735+[1]Result_notebook_retravaill!J735&gt;[1]Result_notebook_retravaill!G735,0,[1]Result_notebook_retravaill!M735))</f>
        <v>100994.18328762223</v>
      </c>
    </row>
    <row r="736" spans="1:12">
      <c r="A736">
        <f>[1]Result_notebook_retravaill!A736</f>
        <v>2033</v>
      </c>
      <c r="B736" t="str">
        <f>[1]Result_notebook_retravaill!B736</f>
        <v>Cobalt</v>
      </c>
      <c r="C736" t="str">
        <f>[1]Result_notebook_retravaill!C736</f>
        <v>Global Net-zero</v>
      </c>
      <c r="D736" t="str">
        <f>[1]Result_notebook_retravaill!D736</f>
        <v>Production potential</v>
      </c>
      <c r="E736" t="str">
        <f>[1]Result_notebook_retravaill!E736</f>
        <v>100% CAN</v>
      </c>
      <c r="F736" t="str">
        <f>[1]Result_notebook_retravaill!F736</f>
        <v>Integrated</v>
      </c>
      <c r="G736">
        <f>[1]Result_notebook_retravaill!G736</f>
        <v>106145.67716186729</v>
      </c>
      <c r="H736" s="3">
        <f>IF([1]Result_notebook_retravaill!I736&gt;[1]Result_notebook_retravaill!G736,[1]Result_notebook_retravaill!I736/[1]Result_notebook_retravaill!N736,[1]Result_notebook_retravaill!H736)</f>
        <v>11725.35368790235</v>
      </c>
      <c r="I736" s="3">
        <f>[1]Result_notebook_retravaill!K736</f>
        <v>229514.82167997779</v>
      </c>
      <c r="J736" s="3">
        <f>MIN(G736,[1]Result_notebook_retravaill!I736)</f>
        <v>5151.4938742450449</v>
      </c>
      <c r="K736" s="3">
        <f>IF([1]Result_notebook_retravaill!I736&gt;[1]Result_notebook_retravaill!G736,0,IF([1]Result_notebook_retravaill!I736+[1]Result_notebook_retravaill!J736&gt;[1]Result_notebook_retravaill!G736,[1]Result_notebook_retravaill!G736-[1]Result_notebook_retravaill!I736,[1]Result_notebook_retravaill!J736))</f>
        <v>0</v>
      </c>
      <c r="L736" s="3">
        <f>IF([1]Result_notebook_retravaill!I736&gt;[1]Result_notebook_retravaill!G736,0,IF([1]Result_notebook_retravaill!I736+[1]Result_notebook_retravaill!J736&gt;[1]Result_notebook_retravaill!G736,0,[1]Result_notebook_retravaill!M736))</f>
        <v>100994.1832876222</v>
      </c>
    </row>
    <row r="737" spans="1:12">
      <c r="A737">
        <f>[1]Result_notebook_retravaill!A737</f>
        <v>2033</v>
      </c>
      <c r="B737" t="str">
        <f>[1]Result_notebook_retravaill!B737</f>
        <v>Copper</v>
      </c>
      <c r="C737" t="str">
        <f>[1]Result_notebook_retravaill!C737</f>
        <v>Canada Net-zero</v>
      </c>
      <c r="D737" t="str">
        <f>[1]Result_notebook_retravaill!D737</f>
        <v>Existing production</v>
      </c>
      <c r="E737" t="str">
        <f>[1]Result_notebook_retravaill!E737</f>
        <v>Current shares</v>
      </c>
      <c r="F737" t="str">
        <f>[1]Result_notebook_retravaill!F737</f>
        <v>NIMBY</v>
      </c>
      <c r="G737">
        <f>[1]Result_notebook_retravaill!G737</f>
        <v>1239302.9775620999</v>
      </c>
      <c r="H737" s="3">
        <f>IF([1]Result_notebook_retravaill!I737&gt;[1]Result_notebook_retravaill!G737,[1]Result_notebook_retravaill!I737/[1]Result_notebook_retravaill!N737,[1]Result_notebook_retravaill!H737)</f>
        <v>0</v>
      </c>
      <c r="I737" s="3">
        <f>[1]Result_notebook_retravaill!K737</f>
        <v>1493136.117544699</v>
      </c>
      <c r="J737" s="3">
        <f>MIN(G737,[1]Result_notebook_retravaill!I737)</f>
        <v>0</v>
      </c>
      <c r="K737" s="3">
        <f>IF([1]Result_notebook_retravaill!I737&gt;[1]Result_notebook_retravaill!G737,0,IF([1]Result_notebook_retravaill!I737+[1]Result_notebook_retravaill!J737&gt;[1]Result_notebook_retravaill!G737,[1]Result_notebook_retravaill!G737-[1]Result_notebook_retravaill!I737,[1]Result_notebook_retravaill!J737))</f>
        <v>0</v>
      </c>
      <c r="L737" s="3">
        <f>IF([1]Result_notebook_retravaill!I737&gt;[1]Result_notebook_retravaill!G737,0,IF([1]Result_notebook_retravaill!I737+[1]Result_notebook_retravaill!J737&gt;[1]Result_notebook_retravaill!G737,0,[1]Result_notebook_retravaill!M737))</f>
        <v>1239302.9775620999</v>
      </c>
    </row>
    <row r="738" spans="1:12">
      <c r="A738">
        <f>[1]Result_notebook_retravaill!A738</f>
        <v>2033</v>
      </c>
      <c r="B738" t="str">
        <f>[1]Result_notebook_retravaill!B738</f>
        <v>Copper</v>
      </c>
      <c r="C738" t="str">
        <f>[1]Result_notebook_retravaill!C738</f>
        <v>Canada Net-zero</v>
      </c>
      <c r="D738" t="str">
        <f>[1]Result_notebook_retravaill!D738</f>
        <v>Existing production</v>
      </c>
      <c r="E738" t="str">
        <f>[1]Result_notebook_retravaill!E738</f>
        <v>Current shares</v>
      </c>
      <c r="F738" t="str">
        <f>[1]Result_notebook_retravaill!F738</f>
        <v>Status Quo</v>
      </c>
      <c r="G738">
        <f>[1]Result_notebook_retravaill!G738</f>
        <v>1239302.9775620999</v>
      </c>
      <c r="H738" s="3">
        <f>IF([1]Result_notebook_retravaill!I738&gt;[1]Result_notebook_retravaill!G738,[1]Result_notebook_retravaill!I738/[1]Result_notebook_retravaill!N738,[1]Result_notebook_retravaill!H738)</f>
        <v>276878</v>
      </c>
      <c r="I738" s="3">
        <f>[1]Result_notebook_retravaill!K738</f>
        <v>1216258.117544699</v>
      </c>
      <c r="J738" s="3">
        <f>MIN(G738,[1]Result_notebook_retravaill!I738)</f>
        <v>145529.48217270081</v>
      </c>
      <c r="K738" s="3">
        <f>IF([1]Result_notebook_retravaill!I738&gt;[1]Result_notebook_retravaill!G738,0,IF([1]Result_notebook_retravaill!I738+[1]Result_notebook_retravaill!J738&gt;[1]Result_notebook_retravaill!G738,[1]Result_notebook_retravaill!G738-[1]Result_notebook_retravaill!I738,[1]Result_notebook_retravaill!J738))</f>
        <v>85593.255115434673</v>
      </c>
      <c r="L738" s="3">
        <f>IF([1]Result_notebook_retravaill!I738&gt;[1]Result_notebook_retravaill!G738,0,IF([1]Result_notebook_retravaill!I738+[1]Result_notebook_retravaill!J738&gt;[1]Result_notebook_retravaill!G738,0,[1]Result_notebook_retravaill!M738))</f>
        <v>1008180.2402739642</v>
      </c>
    </row>
    <row r="739" spans="1:12">
      <c r="A739">
        <f>[1]Result_notebook_retravaill!A739</f>
        <v>2033</v>
      </c>
      <c r="B739" t="str">
        <f>[1]Result_notebook_retravaill!B739</f>
        <v>Copper</v>
      </c>
      <c r="C739" t="str">
        <f>[1]Result_notebook_retravaill!C739</f>
        <v>Canada Net-zero</v>
      </c>
      <c r="D739" t="str">
        <f>[1]Result_notebook_retravaill!D739</f>
        <v>Production potential</v>
      </c>
      <c r="E739" t="str">
        <f>[1]Result_notebook_retravaill!E739</f>
        <v>Current shares</v>
      </c>
      <c r="F739" t="str">
        <f>[1]Result_notebook_retravaill!F739</f>
        <v>Expansion Extractive</v>
      </c>
      <c r="G739">
        <f>[1]Result_notebook_retravaill!G739</f>
        <v>1239302.9775620999</v>
      </c>
      <c r="H739" s="3">
        <f>IF([1]Result_notebook_retravaill!I739&gt;[1]Result_notebook_retravaill!G739,[1]Result_notebook_retravaill!I739/[1]Result_notebook_retravaill!N739,[1]Result_notebook_retravaill!H739)</f>
        <v>797055.2750032586</v>
      </c>
      <c r="I739" s="3">
        <f>[1]Result_notebook_retravaill!K739</f>
        <v>696080.84254144016</v>
      </c>
      <c r="J739" s="3">
        <f>MIN(G739,[1]Result_notebook_retravaill!I739)</f>
        <v>418939.17694523872</v>
      </c>
      <c r="K739" s="3">
        <f>IF([1]Result_notebook_retravaill!I739&gt;[1]Result_notebook_retravaill!G739,0,IF([1]Result_notebook_retravaill!I739+[1]Result_notebook_retravaill!J739&gt;[1]Result_notebook_retravaill!G739,[1]Result_notebook_retravaill!G739-[1]Result_notebook_retravaill!I739,[1]Result_notebook_retravaill!J739))</f>
        <v>246399.33651087084</v>
      </c>
      <c r="L739" s="3">
        <f>IF([1]Result_notebook_retravaill!I739&gt;[1]Result_notebook_retravaill!G739,0,IF([1]Result_notebook_retravaill!I739+[1]Result_notebook_retravaill!J739&gt;[1]Result_notebook_retravaill!G739,0,[1]Result_notebook_retravaill!M739))</f>
        <v>573964.46410599037</v>
      </c>
    </row>
    <row r="740" spans="1:12">
      <c r="A740">
        <f>[1]Result_notebook_retravaill!A740</f>
        <v>2033</v>
      </c>
      <c r="B740" t="str">
        <f>[1]Result_notebook_retravaill!B740</f>
        <v>Copper</v>
      </c>
      <c r="C740" t="str">
        <f>[1]Result_notebook_retravaill!C740</f>
        <v>Canada Net-zero</v>
      </c>
      <c r="D740" t="str">
        <f>[1]Result_notebook_retravaill!D740</f>
        <v>Production potential</v>
      </c>
      <c r="E740" t="str">
        <f>[1]Result_notebook_retravaill!E740</f>
        <v>Current shares</v>
      </c>
      <c r="F740" t="str">
        <f>[1]Result_notebook_retravaill!F740</f>
        <v>Expansion Extractive+Circularity</v>
      </c>
      <c r="G740">
        <f>[1]Result_notebook_retravaill!G740</f>
        <v>1239302.9775620999</v>
      </c>
      <c r="H740" s="3">
        <f>IF([1]Result_notebook_retravaill!I740&gt;[1]Result_notebook_retravaill!G740,[1]Result_notebook_retravaill!I740/[1]Result_notebook_retravaill!N740,[1]Result_notebook_retravaill!H740)</f>
        <v>797055.2750032586</v>
      </c>
      <c r="I740" s="3">
        <f>[1]Result_notebook_retravaill!K740</f>
        <v>696080.84254144016</v>
      </c>
      <c r="J740" s="3">
        <f>MIN(G740,[1]Result_notebook_retravaill!I740)</f>
        <v>418939.17694523872</v>
      </c>
      <c r="K740" s="3">
        <f>IF([1]Result_notebook_retravaill!I740&gt;[1]Result_notebook_retravaill!G740,0,IF([1]Result_notebook_retravaill!I740+[1]Result_notebook_retravaill!J740&gt;[1]Result_notebook_retravaill!G740,[1]Result_notebook_retravaill!G740-[1]Result_notebook_retravaill!I740,[1]Result_notebook_retravaill!J740))</f>
        <v>246399.33651087084</v>
      </c>
      <c r="L740" s="3">
        <f>IF([1]Result_notebook_retravaill!I740&gt;[1]Result_notebook_retravaill!G740,0,IF([1]Result_notebook_retravaill!I740+[1]Result_notebook_retravaill!J740&gt;[1]Result_notebook_retravaill!G740,0,[1]Result_notebook_retravaill!M740))</f>
        <v>573964.46410599037</v>
      </c>
    </row>
    <row r="741" spans="1:12">
      <c r="A741">
        <f>[1]Result_notebook_retravaill!A741</f>
        <v>2033</v>
      </c>
      <c r="B741" t="str">
        <f>[1]Result_notebook_retravaill!B741</f>
        <v>Copper</v>
      </c>
      <c r="C741" t="str">
        <f>[1]Result_notebook_retravaill!C741</f>
        <v>Canada Net-zero</v>
      </c>
      <c r="D741" t="str">
        <f>[1]Result_notebook_retravaill!D741</f>
        <v>Production potential</v>
      </c>
      <c r="E741" t="str">
        <f>[1]Result_notebook_retravaill!E741</f>
        <v>100% CAN</v>
      </c>
      <c r="F741" t="str">
        <f>[1]Result_notebook_retravaill!F741</f>
        <v>Integrated</v>
      </c>
      <c r="G741">
        <f>[1]Result_notebook_retravaill!G741</f>
        <v>1239302.9775620999</v>
      </c>
      <c r="H741" s="3">
        <f>IF([1]Result_notebook_retravaill!I741&gt;[1]Result_notebook_retravaill!G741,[1]Result_notebook_retravaill!I741/[1]Result_notebook_retravaill!N741,[1]Result_notebook_retravaill!H741)</f>
        <v>797055.2750032586</v>
      </c>
      <c r="I741" s="3">
        <f>[1]Result_notebook_retravaill!K741</f>
        <v>696080.84254144016</v>
      </c>
      <c r="J741" s="3">
        <f>MIN(G741,[1]Result_notebook_retravaill!I741)</f>
        <v>665338.51345610991</v>
      </c>
      <c r="K741" s="3">
        <f>IF([1]Result_notebook_retravaill!I741&gt;[1]Result_notebook_retravaill!G741,0,IF([1]Result_notebook_retravaill!I741+[1]Result_notebook_retravaill!J741&gt;[1]Result_notebook_retravaill!G741,[1]Result_notebook_retravaill!G741-[1]Result_notebook_retravaill!I741,[1]Result_notebook_retravaill!J741))</f>
        <v>0</v>
      </c>
      <c r="L741" s="3">
        <f>IF([1]Result_notebook_retravaill!I741&gt;[1]Result_notebook_retravaill!G741,0,IF([1]Result_notebook_retravaill!I741+[1]Result_notebook_retravaill!J741&gt;[1]Result_notebook_retravaill!G741,0,[1]Result_notebook_retravaill!M741))</f>
        <v>573964.46410599002</v>
      </c>
    </row>
    <row r="742" spans="1:12">
      <c r="A742">
        <f>[1]Result_notebook_retravaill!A742</f>
        <v>2033</v>
      </c>
      <c r="B742" t="str">
        <f>[1]Result_notebook_retravaill!B742</f>
        <v>Copper</v>
      </c>
      <c r="C742" t="str">
        <f>[1]Result_notebook_retravaill!C742</f>
        <v>Current Measures</v>
      </c>
      <c r="D742" t="str">
        <f>[1]Result_notebook_retravaill!D742</f>
        <v>Existing production</v>
      </c>
      <c r="E742" t="str">
        <f>[1]Result_notebook_retravaill!E742</f>
        <v>Current shares</v>
      </c>
      <c r="F742" t="str">
        <f>[1]Result_notebook_retravaill!F742</f>
        <v>NIMBY</v>
      </c>
      <c r="G742">
        <f>[1]Result_notebook_retravaill!G742</f>
        <v>1017419.138443246</v>
      </c>
      <c r="H742" s="3">
        <f>IF([1]Result_notebook_retravaill!I742&gt;[1]Result_notebook_retravaill!G742,[1]Result_notebook_retravaill!I742/[1]Result_notebook_retravaill!N742,[1]Result_notebook_retravaill!H742)</f>
        <v>0</v>
      </c>
      <c r="I742" s="3">
        <f>[1]Result_notebook_retravaill!K742</f>
        <v>1225806.1908954771</v>
      </c>
      <c r="J742" s="3">
        <f>MIN(G742,[1]Result_notebook_retravaill!I742)</f>
        <v>0</v>
      </c>
      <c r="K742" s="3">
        <f>IF([1]Result_notebook_retravaill!I742&gt;[1]Result_notebook_retravaill!G742,0,IF([1]Result_notebook_retravaill!I742+[1]Result_notebook_retravaill!J742&gt;[1]Result_notebook_retravaill!G742,[1]Result_notebook_retravaill!G742-[1]Result_notebook_retravaill!I742,[1]Result_notebook_retravaill!J742))</f>
        <v>0</v>
      </c>
      <c r="L742" s="3">
        <f>IF([1]Result_notebook_retravaill!I742&gt;[1]Result_notebook_retravaill!G742,0,IF([1]Result_notebook_retravaill!I742+[1]Result_notebook_retravaill!J742&gt;[1]Result_notebook_retravaill!G742,0,[1]Result_notebook_retravaill!M742))</f>
        <v>1017419.138443246</v>
      </c>
    </row>
    <row r="743" spans="1:12">
      <c r="A743">
        <f>[1]Result_notebook_retravaill!A743</f>
        <v>2033</v>
      </c>
      <c r="B743" t="str">
        <f>[1]Result_notebook_retravaill!B743</f>
        <v>Copper</v>
      </c>
      <c r="C743" t="str">
        <f>[1]Result_notebook_retravaill!C743</f>
        <v>Current Measures</v>
      </c>
      <c r="D743" t="str">
        <f>[1]Result_notebook_retravaill!D743</f>
        <v>Existing production</v>
      </c>
      <c r="E743" t="str">
        <f>[1]Result_notebook_retravaill!E743</f>
        <v>Current shares</v>
      </c>
      <c r="F743" t="str">
        <f>[1]Result_notebook_retravaill!F743</f>
        <v>Status Quo</v>
      </c>
      <c r="G743">
        <f>[1]Result_notebook_retravaill!G743</f>
        <v>1017419.138443246</v>
      </c>
      <c r="H743" s="3">
        <f>IF([1]Result_notebook_retravaill!I743&gt;[1]Result_notebook_retravaill!G743,[1]Result_notebook_retravaill!I743/[1]Result_notebook_retravaill!N743,[1]Result_notebook_retravaill!H743)</f>
        <v>276878</v>
      </c>
      <c r="I743" s="3">
        <f>[1]Result_notebook_retravaill!K743</f>
        <v>948928.19089547708</v>
      </c>
      <c r="J743" s="3">
        <f>MIN(G743,[1]Result_notebook_retravaill!I743)</f>
        <v>145529.48217270081</v>
      </c>
      <c r="K743" s="3">
        <f>IF([1]Result_notebook_retravaill!I743&gt;[1]Result_notebook_retravaill!G743,0,IF([1]Result_notebook_retravaill!I743+[1]Result_notebook_retravaill!J743&gt;[1]Result_notebook_retravaill!G743,[1]Result_notebook_retravaill!G743-[1]Result_notebook_retravaill!I743,[1]Result_notebook_retravaill!J743))</f>
        <v>85593.255115434673</v>
      </c>
      <c r="L743" s="3">
        <f>IF([1]Result_notebook_retravaill!I743&gt;[1]Result_notebook_retravaill!G743,0,IF([1]Result_notebook_retravaill!I743+[1]Result_notebook_retravaill!J743&gt;[1]Result_notebook_retravaill!G743,0,[1]Result_notebook_retravaill!M743))</f>
        <v>786296.40115511057</v>
      </c>
    </row>
    <row r="744" spans="1:12">
      <c r="A744">
        <f>[1]Result_notebook_retravaill!A744</f>
        <v>2033</v>
      </c>
      <c r="B744" t="str">
        <f>[1]Result_notebook_retravaill!B744</f>
        <v>Copper</v>
      </c>
      <c r="C744" t="str">
        <f>[1]Result_notebook_retravaill!C744</f>
        <v>Current Measures</v>
      </c>
      <c r="D744" t="str">
        <f>[1]Result_notebook_retravaill!D744</f>
        <v>Production potential</v>
      </c>
      <c r="E744" t="str">
        <f>[1]Result_notebook_retravaill!E744</f>
        <v>Current shares</v>
      </c>
      <c r="F744" t="str">
        <f>[1]Result_notebook_retravaill!F744</f>
        <v>Expansion Extractive</v>
      </c>
      <c r="G744">
        <f>[1]Result_notebook_retravaill!G744</f>
        <v>1017419.138443246</v>
      </c>
      <c r="H744" s="3">
        <f>IF([1]Result_notebook_retravaill!I744&gt;[1]Result_notebook_retravaill!G744,[1]Result_notebook_retravaill!I744/[1]Result_notebook_retravaill!N744,[1]Result_notebook_retravaill!H744)</f>
        <v>797055.2750032586</v>
      </c>
      <c r="I744" s="3">
        <f>[1]Result_notebook_retravaill!K744</f>
        <v>428750.91589221847</v>
      </c>
      <c r="J744" s="3">
        <f>MIN(G744,[1]Result_notebook_retravaill!I744)</f>
        <v>418939.17694523872</v>
      </c>
      <c r="K744" s="3">
        <f>IF([1]Result_notebook_retravaill!I744&gt;[1]Result_notebook_retravaill!G744,0,IF([1]Result_notebook_retravaill!I744+[1]Result_notebook_retravaill!J744&gt;[1]Result_notebook_retravaill!G744,[1]Result_notebook_retravaill!G744-[1]Result_notebook_retravaill!I744,[1]Result_notebook_retravaill!J744))</f>
        <v>246399.33651087084</v>
      </c>
      <c r="L744" s="3">
        <f>IF([1]Result_notebook_retravaill!I744&gt;[1]Result_notebook_retravaill!G744,0,IF([1]Result_notebook_retravaill!I744+[1]Result_notebook_retravaill!J744&gt;[1]Result_notebook_retravaill!G744,0,[1]Result_notebook_retravaill!M744))</f>
        <v>352080.62498713646</v>
      </c>
    </row>
    <row r="745" spans="1:12">
      <c r="A745">
        <f>[1]Result_notebook_retravaill!A745</f>
        <v>2033</v>
      </c>
      <c r="B745" t="str">
        <f>[1]Result_notebook_retravaill!B745</f>
        <v>Copper</v>
      </c>
      <c r="C745" t="str">
        <f>[1]Result_notebook_retravaill!C745</f>
        <v>Current Measures</v>
      </c>
      <c r="D745" t="str">
        <f>[1]Result_notebook_retravaill!D745</f>
        <v>Production potential</v>
      </c>
      <c r="E745" t="str">
        <f>[1]Result_notebook_retravaill!E745</f>
        <v>Current shares</v>
      </c>
      <c r="F745" t="str">
        <f>[1]Result_notebook_retravaill!F745</f>
        <v>Expansion Extractive+Circularity</v>
      </c>
      <c r="G745">
        <f>[1]Result_notebook_retravaill!G745</f>
        <v>1017419.138443246</v>
      </c>
      <c r="H745" s="3">
        <f>IF([1]Result_notebook_retravaill!I745&gt;[1]Result_notebook_retravaill!G745,[1]Result_notebook_retravaill!I745/[1]Result_notebook_retravaill!N745,[1]Result_notebook_retravaill!H745)</f>
        <v>797055.2750032586</v>
      </c>
      <c r="I745" s="3">
        <f>[1]Result_notebook_retravaill!K745</f>
        <v>428750.91589221847</v>
      </c>
      <c r="J745" s="3">
        <f>MIN(G745,[1]Result_notebook_retravaill!I745)</f>
        <v>418939.17694523872</v>
      </c>
      <c r="K745" s="3">
        <f>IF([1]Result_notebook_retravaill!I745&gt;[1]Result_notebook_retravaill!G745,0,IF([1]Result_notebook_retravaill!I745+[1]Result_notebook_retravaill!J745&gt;[1]Result_notebook_retravaill!G745,[1]Result_notebook_retravaill!G745-[1]Result_notebook_retravaill!I745,[1]Result_notebook_retravaill!J745))</f>
        <v>246399.33651087084</v>
      </c>
      <c r="L745" s="3">
        <f>IF([1]Result_notebook_retravaill!I745&gt;[1]Result_notebook_retravaill!G745,0,IF([1]Result_notebook_retravaill!I745+[1]Result_notebook_retravaill!J745&gt;[1]Result_notebook_retravaill!G745,0,[1]Result_notebook_retravaill!M745))</f>
        <v>352080.62498713646</v>
      </c>
    </row>
    <row r="746" spans="1:12">
      <c r="A746">
        <f>[1]Result_notebook_retravaill!A746</f>
        <v>2033</v>
      </c>
      <c r="B746" t="str">
        <f>[1]Result_notebook_retravaill!B746</f>
        <v>Copper</v>
      </c>
      <c r="C746" t="str">
        <f>[1]Result_notebook_retravaill!C746</f>
        <v>Current Measures</v>
      </c>
      <c r="D746" t="str">
        <f>[1]Result_notebook_retravaill!D746</f>
        <v>Production potential</v>
      </c>
      <c r="E746" t="str">
        <f>[1]Result_notebook_retravaill!E746</f>
        <v>100% CAN</v>
      </c>
      <c r="F746" t="str">
        <f>[1]Result_notebook_retravaill!F746</f>
        <v>Integrated</v>
      </c>
      <c r="G746">
        <f>[1]Result_notebook_retravaill!G746</f>
        <v>1017419.138443246</v>
      </c>
      <c r="H746" s="3">
        <f>IF([1]Result_notebook_retravaill!I746&gt;[1]Result_notebook_retravaill!G746,[1]Result_notebook_retravaill!I746/[1]Result_notebook_retravaill!N746,[1]Result_notebook_retravaill!H746)</f>
        <v>797055.2750032586</v>
      </c>
      <c r="I746" s="3">
        <f>[1]Result_notebook_retravaill!K746</f>
        <v>428750.91589221847</v>
      </c>
      <c r="J746" s="3">
        <f>MIN(G746,[1]Result_notebook_retravaill!I746)</f>
        <v>665338.51345610991</v>
      </c>
      <c r="K746" s="3">
        <f>IF([1]Result_notebook_retravaill!I746&gt;[1]Result_notebook_retravaill!G746,0,IF([1]Result_notebook_retravaill!I746+[1]Result_notebook_retravaill!J746&gt;[1]Result_notebook_retravaill!G746,[1]Result_notebook_retravaill!G746-[1]Result_notebook_retravaill!I746,[1]Result_notebook_retravaill!J746))</f>
        <v>0</v>
      </c>
      <c r="L746" s="3">
        <f>IF([1]Result_notebook_retravaill!I746&gt;[1]Result_notebook_retravaill!G746,0,IF([1]Result_notebook_retravaill!I746+[1]Result_notebook_retravaill!J746&gt;[1]Result_notebook_retravaill!G746,0,[1]Result_notebook_retravaill!M746))</f>
        <v>352080.62498713611</v>
      </c>
    </row>
    <row r="747" spans="1:12">
      <c r="A747">
        <f>[1]Result_notebook_retravaill!A747</f>
        <v>2033</v>
      </c>
      <c r="B747" t="str">
        <f>[1]Result_notebook_retravaill!B747</f>
        <v>Copper</v>
      </c>
      <c r="C747" t="str">
        <f>[1]Result_notebook_retravaill!C747</f>
        <v>Global Net-zero</v>
      </c>
      <c r="D747" t="str">
        <f>[1]Result_notebook_retravaill!D747</f>
        <v>Existing production</v>
      </c>
      <c r="E747" t="str">
        <f>[1]Result_notebook_retravaill!E747</f>
        <v>Current shares</v>
      </c>
      <c r="F747" t="str">
        <f>[1]Result_notebook_retravaill!F747</f>
        <v>NIMBY</v>
      </c>
      <c r="G747">
        <f>[1]Result_notebook_retravaill!G747</f>
        <v>1193828.75003416</v>
      </c>
      <c r="H747" s="3">
        <f>IF([1]Result_notebook_retravaill!I747&gt;[1]Result_notebook_retravaill!G747,[1]Result_notebook_retravaill!I747/[1]Result_notebook_retravaill!N747,[1]Result_notebook_retravaill!H747)</f>
        <v>0</v>
      </c>
      <c r="I747" s="3">
        <f>[1]Result_notebook_retravaill!K747</f>
        <v>1438347.8916074219</v>
      </c>
      <c r="J747" s="3">
        <f>MIN(G747,[1]Result_notebook_retravaill!I747)</f>
        <v>0</v>
      </c>
      <c r="K747" s="3">
        <f>IF([1]Result_notebook_retravaill!I747&gt;[1]Result_notebook_retravaill!G747,0,IF([1]Result_notebook_retravaill!I747+[1]Result_notebook_retravaill!J747&gt;[1]Result_notebook_retravaill!G747,[1]Result_notebook_retravaill!G747-[1]Result_notebook_retravaill!I747,[1]Result_notebook_retravaill!J747))</f>
        <v>0</v>
      </c>
      <c r="L747" s="3">
        <f>IF([1]Result_notebook_retravaill!I747&gt;[1]Result_notebook_retravaill!G747,0,IF([1]Result_notebook_retravaill!I747+[1]Result_notebook_retravaill!J747&gt;[1]Result_notebook_retravaill!G747,0,[1]Result_notebook_retravaill!M747))</f>
        <v>1193828.75003416</v>
      </c>
    </row>
    <row r="748" spans="1:12">
      <c r="A748">
        <f>[1]Result_notebook_retravaill!A748</f>
        <v>2033</v>
      </c>
      <c r="B748" t="str">
        <f>[1]Result_notebook_retravaill!B748</f>
        <v>Copper</v>
      </c>
      <c r="C748" t="str">
        <f>[1]Result_notebook_retravaill!C748</f>
        <v>Global Net-zero</v>
      </c>
      <c r="D748" t="str">
        <f>[1]Result_notebook_retravaill!D748</f>
        <v>Existing production</v>
      </c>
      <c r="E748" t="str">
        <f>[1]Result_notebook_retravaill!E748</f>
        <v>Current shares</v>
      </c>
      <c r="F748" t="str">
        <f>[1]Result_notebook_retravaill!F748</f>
        <v>Status Quo</v>
      </c>
      <c r="G748">
        <f>[1]Result_notebook_retravaill!G748</f>
        <v>1193828.75003416</v>
      </c>
      <c r="H748" s="3">
        <f>IF([1]Result_notebook_retravaill!I748&gt;[1]Result_notebook_retravaill!G748,[1]Result_notebook_retravaill!I748/[1]Result_notebook_retravaill!N748,[1]Result_notebook_retravaill!H748)</f>
        <v>276878</v>
      </c>
      <c r="I748" s="3">
        <f>[1]Result_notebook_retravaill!K748</f>
        <v>1161469.8916074219</v>
      </c>
      <c r="J748" s="3">
        <f>MIN(G748,[1]Result_notebook_retravaill!I748)</f>
        <v>145529.48217270081</v>
      </c>
      <c r="K748" s="3">
        <f>IF([1]Result_notebook_retravaill!I748&gt;[1]Result_notebook_retravaill!G748,0,IF([1]Result_notebook_retravaill!I748+[1]Result_notebook_retravaill!J748&gt;[1]Result_notebook_retravaill!G748,[1]Result_notebook_retravaill!G748-[1]Result_notebook_retravaill!I748,[1]Result_notebook_retravaill!J748))</f>
        <v>85593.255115434673</v>
      </c>
      <c r="L748" s="3">
        <f>IF([1]Result_notebook_retravaill!I748&gt;[1]Result_notebook_retravaill!G748,0,IF([1]Result_notebook_retravaill!I748+[1]Result_notebook_retravaill!J748&gt;[1]Result_notebook_retravaill!G748,0,[1]Result_notebook_retravaill!M748))</f>
        <v>962706.01274602441</v>
      </c>
    </row>
    <row r="749" spans="1:12">
      <c r="A749">
        <f>[1]Result_notebook_retravaill!A749</f>
        <v>2033</v>
      </c>
      <c r="B749" t="str">
        <f>[1]Result_notebook_retravaill!B749</f>
        <v>Copper</v>
      </c>
      <c r="C749" t="str">
        <f>[1]Result_notebook_retravaill!C749</f>
        <v>Global Net-zero</v>
      </c>
      <c r="D749" t="str">
        <f>[1]Result_notebook_retravaill!D749</f>
        <v>Production potential</v>
      </c>
      <c r="E749" t="str">
        <f>[1]Result_notebook_retravaill!E749</f>
        <v>Current shares</v>
      </c>
      <c r="F749" t="str">
        <f>[1]Result_notebook_retravaill!F749</f>
        <v>Expansion Extractive</v>
      </c>
      <c r="G749">
        <f>[1]Result_notebook_retravaill!G749</f>
        <v>1193828.75003416</v>
      </c>
      <c r="H749" s="3">
        <f>IF([1]Result_notebook_retravaill!I749&gt;[1]Result_notebook_retravaill!G749,[1]Result_notebook_retravaill!I749/[1]Result_notebook_retravaill!N749,[1]Result_notebook_retravaill!H749)</f>
        <v>797055.2750032586</v>
      </c>
      <c r="I749" s="3">
        <f>[1]Result_notebook_retravaill!K749</f>
        <v>641292.61660416308</v>
      </c>
      <c r="J749" s="3">
        <f>MIN(G749,[1]Result_notebook_retravaill!I749)</f>
        <v>418939.17694523872</v>
      </c>
      <c r="K749" s="3">
        <f>IF([1]Result_notebook_retravaill!I749&gt;[1]Result_notebook_retravaill!G749,0,IF([1]Result_notebook_retravaill!I749+[1]Result_notebook_retravaill!J749&gt;[1]Result_notebook_retravaill!G749,[1]Result_notebook_retravaill!G749-[1]Result_notebook_retravaill!I749,[1]Result_notebook_retravaill!J749))</f>
        <v>246399.33651087084</v>
      </c>
      <c r="L749" s="3">
        <f>IF([1]Result_notebook_retravaill!I749&gt;[1]Result_notebook_retravaill!G749,0,IF([1]Result_notebook_retravaill!I749+[1]Result_notebook_retravaill!J749&gt;[1]Result_notebook_retravaill!G749,0,[1]Result_notebook_retravaill!M749))</f>
        <v>528490.23657805042</v>
      </c>
    </row>
    <row r="750" spans="1:12">
      <c r="A750">
        <f>[1]Result_notebook_retravaill!A750</f>
        <v>2033</v>
      </c>
      <c r="B750" t="str">
        <f>[1]Result_notebook_retravaill!B750</f>
        <v>Copper</v>
      </c>
      <c r="C750" t="str">
        <f>[1]Result_notebook_retravaill!C750</f>
        <v>Global Net-zero</v>
      </c>
      <c r="D750" t="str">
        <f>[1]Result_notebook_retravaill!D750</f>
        <v>Production potential</v>
      </c>
      <c r="E750" t="str">
        <f>[1]Result_notebook_retravaill!E750</f>
        <v>Current shares</v>
      </c>
      <c r="F750" t="str">
        <f>[1]Result_notebook_retravaill!F750</f>
        <v>Expansion Extractive+Circularity</v>
      </c>
      <c r="G750">
        <f>[1]Result_notebook_retravaill!G750</f>
        <v>1193828.75003416</v>
      </c>
      <c r="H750" s="3">
        <f>IF([1]Result_notebook_retravaill!I750&gt;[1]Result_notebook_retravaill!G750,[1]Result_notebook_retravaill!I750/[1]Result_notebook_retravaill!N750,[1]Result_notebook_retravaill!H750)</f>
        <v>797055.2750032586</v>
      </c>
      <c r="I750" s="3">
        <f>[1]Result_notebook_retravaill!K750</f>
        <v>641292.61660416308</v>
      </c>
      <c r="J750" s="3">
        <f>MIN(G750,[1]Result_notebook_retravaill!I750)</f>
        <v>418939.17694523872</v>
      </c>
      <c r="K750" s="3">
        <f>IF([1]Result_notebook_retravaill!I750&gt;[1]Result_notebook_retravaill!G750,0,IF([1]Result_notebook_retravaill!I750+[1]Result_notebook_retravaill!J750&gt;[1]Result_notebook_retravaill!G750,[1]Result_notebook_retravaill!G750-[1]Result_notebook_retravaill!I750,[1]Result_notebook_retravaill!J750))</f>
        <v>246399.33651087084</v>
      </c>
      <c r="L750" s="3">
        <f>IF([1]Result_notebook_retravaill!I750&gt;[1]Result_notebook_retravaill!G750,0,IF([1]Result_notebook_retravaill!I750+[1]Result_notebook_retravaill!J750&gt;[1]Result_notebook_retravaill!G750,0,[1]Result_notebook_retravaill!M750))</f>
        <v>528490.23657805042</v>
      </c>
    </row>
    <row r="751" spans="1:12">
      <c r="A751">
        <f>[1]Result_notebook_retravaill!A751</f>
        <v>2033</v>
      </c>
      <c r="B751" t="str">
        <f>[1]Result_notebook_retravaill!B751</f>
        <v>Copper</v>
      </c>
      <c r="C751" t="str">
        <f>[1]Result_notebook_retravaill!C751</f>
        <v>Global Net-zero</v>
      </c>
      <c r="D751" t="str">
        <f>[1]Result_notebook_retravaill!D751</f>
        <v>Production potential</v>
      </c>
      <c r="E751" t="str">
        <f>[1]Result_notebook_retravaill!E751</f>
        <v>100% CAN</v>
      </c>
      <c r="F751" t="str">
        <f>[1]Result_notebook_retravaill!F751</f>
        <v>Integrated</v>
      </c>
      <c r="G751">
        <f>[1]Result_notebook_retravaill!G751</f>
        <v>1193828.75003416</v>
      </c>
      <c r="H751" s="3">
        <f>IF([1]Result_notebook_retravaill!I751&gt;[1]Result_notebook_retravaill!G751,[1]Result_notebook_retravaill!I751/[1]Result_notebook_retravaill!N751,[1]Result_notebook_retravaill!H751)</f>
        <v>797055.2750032586</v>
      </c>
      <c r="I751" s="3">
        <f>[1]Result_notebook_retravaill!K751</f>
        <v>641292.61660416308</v>
      </c>
      <c r="J751" s="3">
        <f>MIN(G751,[1]Result_notebook_retravaill!I751)</f>
        <v>665338.51345610991</v>
      </c>
      <c r="K751" s="3">
        <f>IF([1]Result_notebook_retravaill!I751&gt;[1]Result_notebook_retravaill!G751,0,IF([1]Result_notebook_retravaill!I751+[1]Result_notebook_retravaill!J751&gt;[1]Result_notebook_retravaill!G751,[1]Result_notebook_retravaill!G751-[1]Result_notebook_retravaill!I751,[1]Result_notebook_retravaill!J751))</f>
        <v>0</v>
      </c>
      <c r="L751" s="3">
        <f>IF([1]Result_notebook_retravaill!I751&gt;[1]Result_notebook_retravaill!G751,0,IF([1]Result_notebook_retravaill!I751+[1]Result_notebook_retravaill!J751&gt;[1]Result_notebook_retravaill!G751,0,[1]Result_notebook_retravaill!M751))</f>
        <v>528490.23657805007</v>
      </c>
    </row>
    <row r="752" spans="1:12">
      <c r="A752">
        <f>[1]Result_notebook_retravaill!A752</f>
        <v>2033</v>
      </c>
      <c r="B752" t="str">
        <f>[1]Result_notebook_retravaill!B752</f>
        <v>Neodymium</v>
      </c>
      <c r="C752" t="str">
        <f>[1]Result_notebook_retravaill!C752</f>
        <v>Canada Net-zero</v>
      </c>
      <c r="D752" t="str">
        <f>[1]Result_notebook_retravaill!D752</f>
        <v>Existing production</v>
      </c>
      <c r="E752" t="str">
        <f>[1]Result_notebook_retravaill!E752</f>
        <v>Current shares</v>
      </c>
      <c r="F752" t="str">
        <f>[1]Result_notebook_retravaill!F752</f>
        <v>NIMBY</v>
      </c>
      <c r="G752">
        <f>[1]Result_notebook_retravaill!G752</f>
        <v>3811.6436184189829</v>
      </c>
      <c r="H752" s="3">
        <f>IF([1]Result_notebook_retravaill!I752&gt;[1]Result_notebook_retravaill!G752,[1]Result_notebook_retravaill!I752/[1]Result_notebook_retravaill!N752,[1]Result_notebook_retravaill!H752)</f>
        <v>0</v>
      </c>
      <c r="I752" s="3">
        <f>[1]Result_notebook_retravaill!K752</f>
        <v>6352.7393640316386</v>
      </c>
      <c r="J752" s="3">
        <f>MIN(G752,[1]Result_notebook_retravaill!I752)</f>
        <v>0</v>
      </c>
      <c r="K752" s="3">
        <f>IF([1]Result_notebook_retravaill!I752&gt;[1]Result_notebook_retravaill!G752,0,IF([1]Result_notebook_retravaill!I752+[1]Result_notebook_retravaill!J752&gt;[1]Result_notebook_retravaill!G752,[1]Result_notebook_retravaill!G752-[1]Result_notebook_retravaill!I752,[1]Result_notebook_retravaill!J752))</f>
        <v>0</v>
      </c>
      <c r="L752" s="3">
        <f>IF([1]Result_notebook_retravaill!I752&gt;[1]Result_notebook_retravaill!G752,0,IF([1]Result_notebook_retravaill!I752+[1]Result_notebook_retravaill!J752&gt;[1]Result_notebook_retravaill!G752,0,[1]Result_notebook_retravaill!M752))</f>
        <v>3811.6436184189829</v>
      </c>
    </row>
    <row r="753" spans="1:12">
      <c r="A753">
        <f>[1]Result_notebook_retravaill!A753</f>
        <v>2033</v>
      </c>
      <c r="B753" t="str">
        <f>[1]Result_notebook_retravaill!B753</f>
        <v>Neodymium</v>
      </c>
      <c r="C753" t="str">
        <f>[1]Result_notebook_retravaill!C753</f>
        <v>Canada Net-zero</v>
      </c>
      <c r="D753" t="str">
        <f>[1]Result_notebook_retravaill!D753</f>
        <v>Existing production</v>
      </c>
      <c r="E753" t="str">
        <f>[1]Result_notebook_retravaill!E753</f>
        <v>Current shares</v>
      </c>
      <c r="F753" t="str">
        <f>[1]Result_notebook_retravaill!F753</f>
        <v>Status Quo</v>
      </c>
      <c r="G753">
        <f>[1]Result_notebook_retravaill!G753</f>
        <v>3811.6436184189829</v>
      </c>
      <c r="H753" s="3">
        <f>IF([1]Result_notebook_retravaill!I753&gt;[1]Result_notebook_retravaill!G753,[1]Result_notebook_retravaill!I753/[1]Result_notebook_retravaill!N753,[1]Result_notebook_retravaill!H753)</f>
        <v>0</v>
      </c>
      <c r="I753" s="3">
        <f>[1]Result_notebook_retravaill!K753</f>
        <v>6352.7393640316386</v>
      </c>
      <c r="J753" s="3">
        <f>MIN(G753,[1]Result_notebook_retravaill!I753)</f>
        <v>0</v>
      </c>
      <c r="K753" s="3">
        <f>IF([1]Result_notebook_retravaill!I753&gt;[1]Result_notebook_retravaill!G753,0,IF([1]Result_notebook_retravaill!I753+[1]Result_notebook_retravaill!J753&gt;[1]Result_notebook_retravaill!G753,[1]Result_notebook_retravaill!G753-[1]Result_notebook_retravaill!I753,[1]Result_notebook_retravaill!J753))</f>
        <v>0</v>
      </c>
      <c r="L753" s="3">
        <f>IF([1]Result_notebook_retravaill!I753&gt;[1]Result_notebook_retravaill!G753,0,IF([1]Result_notebook_retravaill!I753+[1]Result_notebook_retravaill!J753&gt;[1]Result_notebook_retravaill!G753,0,[1]Result_notebook_retravaill!M753))</f>
        <v>3811.6436184189829</v>
      </c>
    </row>
    <row r="754" spans="1:12">
      <c r="A754">
        <f>[1]Result_notebook_retravaill!A754</f>
        <v>2033</v>
      </c>
      <c r="B754" t="str">
        <f>[1]Result_notebook_retravaill!B754</f>
        <v>Neodymium</v>
      </c>
      <c r="C754" t="str">
        <f>[1]Result_notebook_retravaill!C754</f>
        <v>Canada Net-zero</v>
      </c>
      <c r="D754" t="str">
        <f>[1]Result_notebook_retravaill!D754</f>
        <v>Production potential</v>
      </c>
      <c r="E754" t="str">
        <f>[1]Result_notebook_retravaill!E754</f>
        <v>Current shares</v>
      </c>
      <c r="F754" t="str">
        <f>[1]Result_notebook_retravaill!F754</f>
        <v>Expansion Extractive</v>
      </c>
      <c r="G754">
        <f>[1]Result_notebook_retravaill!G754</f>
        <v>3811.6436184189829</v>
      </c>
      <c r="H754" s="3">
        <f>IF([1]Result_notebook_retravaill!I754&gt;[1]Result_notebook_retravaill!G754,[1]Result_notebook_retravaill!I754/[1]Result_notebook_retravaill!N754,[1]Result_notebook_retravaill!H754)</f>
        <v>40.779406961821003</v>
      </c>
      <c r="I754" s="3">
        <f>[1]Result_notebook_retravaill!K754</f>
        <v>6311.9599570698174</v>
      </c>
      <c r="J754" s="3">
        <f>MIN(G754,[1]Result_notebook_retravaill!I754)</f>
        <v>24.408265853118081</v>
      </c>
      <c r="K754" s="3">
        <f>IF([1]Result_notebook_retravaill!I754&gt;[1]Result_notebook_retravaill!G754,0,IF([1]Result_notebook_retravaill!I754+[1]Result_notebook_retravaill!J754&gt;[1]Result_notebook_retravaill!G754,[1]Result_notebook_retravaill!G754-[1]Result_notebook_retravaill!I754,[1]Result_notebook_retravaill!J754))</f>
        <v>16.371141108702922</v>
      </c>
      <c r="L754" s="3">
        <f>IF([1]Result_notebook_retravaill!I754&gt;[1]Result_notebook_retravaill!G754,0,IF([1]Result_notebook_retravaill!I754+[1]Result_notebook_retravaill!J754&gt;[1]Result_notebook_retravaill!G754,0,[1]Result_notebook_retravaill!M754))</f>
        <v>3770.8642114571621</v>
      </c>
    </row>
    <row r="755" spans="1:12">
      <c r="A755">
        <f>[1]Result_notebook_retravaill!A755</f>
        <v>2033</v>
      </c>
      <c r="B755" t="str">
        <f>[1]Result_notebook_retravaill!B755</f>
        <v>Neodymium</v>
      </c>
      <c r="C755" t="str">
        <f>[1]Result_notebook_retravaill!C755</f>
        <v>Canada Net-zero</v>
      </c>
      <c r="D755" t="str">
        <f>[1]Result_notebook_retravaill!D755</f>
        <v>Production potential</v>
      </c>
      <c r="E755" t="str">
        <f>[1]Result_notebook_retravaill!E755</f>
        <v>Current shares</v>
      </c>
      <c r="F755" t="str">
        <f>[1]Result_notebook_retravaill!F755</f>
        <v>Expansion Extractive+Circularity</v>
      </c>
      <c r="G755">
        <f>[1]Result_notebook_retravaill!G755</f>
        <v>3811.6436184189829</v>
      </c>
      <c r="H755" s="3">
        <f>IF([1]Result_notebook_retravaill!I755&gt;[1]Result_notebook_retravaill!G755,[1]Result_notebook_retravaill!I755/[1]Result_notebook_retravaill!N755,[1]Result_notebook_retravaill!H755)</f>
        <v>40.779406961821003</v>
      </c>
      <c r="I755" s="3">
        <f>[1]Result_notebook_retravaill!K755</f>
        <v>6311.9599570698174</v>
      </c>
      <c r="J755" s="3">
        <f>MIN(G755,[1]Result_notebook_retravaill!I755)</f>
        <v>24.408265853118081</v>
      </c>
      <c r="K755" s="3">
        <f>IF([1]Result_notebook_retravaill!I755&gt;[1]Result_notebook_retravaill!G755,0,IF([1]Result_notebook_retravaill!I755+[1]Result_notebook_retravaill!J755&gt;[1]Result_notebook_retravaill!G755,[1]Result_notebook_retravaill!G755-[1]Result_notebook_retravaill!I755,[1]Result_notebook_retravaill!J755))</f>
        <v>16.371141108702922</v>
      </c>
      <c r="L755" s="3">
        <f>IF([1]Result_notebook_retravaill!I755&gt;[1]Result_notebook_retravaill!G755,0,IF([1]Result_notebook_retravaill!I755+[1]Result_notebook_retravaill!J755&gt;[1]Result_notebook_retravaill!G755,0,[1]Result_notebook_retravaill!M755))</f>
        <v>3770.8642114571621</v>
      </c>
    </row>
    <row r="756" spans="1:12">
      <c r="A756">
        <f>[1]Result_notebook_retravaill!A756</f>
        <v>2033</v>
      </c>
      <c r="B756" t="str">
        <f>[1]Result_notebook_retravaill!B756</f>
        <v>Neodymium</v>
      </c>
      <c r="C756" t="str">
        <f>[1]Result_notebook_retravaill!C756</f>
        <v>Canada Net-zero</v>
      </c>
      <c r="D756" t="str">
        <f>[1]Result_notebook_retravaill!D756</f>
        <v>Production potential</v>
      </c>
      <c r="E756" t="str">
        <f>[1]Result_notebook_retravaill!E756</f>
        <v>100% CAN</v>
      </c>
      <c r="F756" t="str">
        <f>[1]Result_notebook_retravaill!F756</f>
        <v>Integrated</v>
      </c>
      <c r="G756">
        <f>[1]Result_notebook_retravaill!G756</f>
        <v>3811.6436184189829</v>
      </c>
      <c r="H756" s="3">
        <f>IF([1]Result_notebook_retravaill!I756&gt;[1]Result_notebook_retravaill!G756,[1]Result_notebook_retravaill!I756/[1]Result_notebook_retravaill!N756,[1]Result_notebook_retravaill!H756)</f>
        <v>40.779406961821003</v>
      </c>
      <c r="I756" s="3">
        <f>[1]Result_notebook_retravaill!K756</f>
        <v>6311.9599570698174</v>
      </c>
      <c r="J756" s="3">
        <f>MIN(G756,[1]Result_notebook_retravaill!I756)</f>
        <v>24.408265853118081</v>
      </c>
      <c r="K756" s="3">
        <f>IF([1]Result_notebook_retravaill!I756&gt;[1]Result_notebook_retravaill!G756,0,IF([1]Result_notebook_retravaill!I756+[1]Result_notebook_retravaill!J756&gt;[1]Result_notebook_retravaill!G756,[1]Result_notebook_retravaill!G756-[1]Result_notebook_retravaill!I756,[1]Result_notebook_retravaill!J756))</f>
        <v>16.371141108702922</v>
      </c>
      <c r="L756" s="3">
        <f>IF([1]Result_notebook_retravaill!I756&gt;[1]Result_notebook_retravaill!G756,0,IF([1]Result_notebook_retravaill!I756+[1]Result_notebook_retravaill!J756&gt;[1]Result_notebook_retravaill!G756,0,[1]Result_notebook_retravaill!M756))</f>
        <v>3770.8642114571621</v>
      </c>
    </row>
    <row r="757" spans="1:12">
      <c r="A757">
        <f>[1]Result_notebook_retravaill!A757</f>
        <v>2033</v>
      </c>
      <c r="B757" t="str">
        <f>[1]Result_notebook_retravaill!B757</f>
        <v>Neodymium</v>
      </c>
      <c r="C757" t="str">
        <f>[1]Result_notebook_retravaill!C757</f>
        <v>Current Measures</v>
      </c>
      <c r="D757" t="str">
        <f>[1]Result_notebook_retravaill!D757</f>
        <v>Existing production</v>
      </c>
      <c r="E757" t="str">
        <f>[1]Result_notebook_retravaill!E757</f>
        <v>Current shares</v>
      </c>
      <c r="F757" t="str">
        <f>[1]Result_notebook_retravaill!F757</f>
        <v>NIMBY</v>
      </c>
      <c r="G757">
        <f>[1]Result_notebook_retravaill!G757</f>
        <v>1273.1494864569349</v>
      </c>
      <c r="H757" s="3">
        <f>IF([1]Result_notebook_retravaill!I757&gt;[1]Result_notebook_retravaill!G757,[1]Result_notebook_retravaill!I757/[1]Result_notebook_retravaill!N757,[1]Result_notebook_retravaill!H757)</f>
        <v>0</v>
      </c>
      <c r="I757" s="3">
        <f>[1]Result_notebook_retravaill!K757</f>
        <v>2121.915810761559</v>
      </c>
      <c r="J757" s="3">
        <f>MIN(G757,[1]Result_notebook_retravaill!I757)</f>
        <v>0</v>
      </c>
      <c r="K757" s="3">
        <f>IF([1]Result_notebook_retravaill!I757&gt;[1]Result_notebook_retravaill!G757,0,IF([1]Result_notebook_retravaill!I757+[1]Result_notebook_retravaill!J757&gt;[1]Result_notebook_retravaill!G757,[1]Result_notebook_retravaill!G757-[1]Result_notebook_retravaill!I757,[1]Result_notebook_retravaill!J757))</f>
        <v>0</v>
      </c>
      <c r="L757" s="3">
        <f>IF([1]Result_notebook_retravaill!I757&gt;[1]Result_notebook_retravaill!G757,0,IF([1]Result_notebook_retravaill!I757+[1]Result_notebook_retravaill!J757&gt;[1]Result_notebook_retravaill!G757,0,[1]Result_notebook_retravaill!M757))</f>
        <v>1273.1494864569349</v>
      </c>
    </row>
    <row r="758" spans="1:12">
      <c r="A758">
        <f>[1]Result_notebook_retravaill!A758</f>
        <v>2033</v>
      </c>
      <c r="B758" t="str">
        <f>[1]Result_notebook_retravaill!B758</f>
        <v>Neodymium</v>
      </c>
      <c r="C758" t="str">
        <f>[1]Result_notebook_retravaill!C758</f>
        <v>Current Measures</v>
      </c>
      <c r="D758" t="str">
        <f>[1]Result_notebook_retravaill!D758</f>
        <v>Existing production</v>
      </c>
      <c r="E758" t="str">
        <f>[1]Result_notebook_retravaill!E758</f>
        <v>Current shares</v>
      </c>
      <c r="F758" t="str">
        <f>[1]Result_notebook_retravaill!F758</f>
        <v>Status Quo</v>
      </c>
      <c r="G758">
        <f>[1]Result_notebook_retravaill!G758</f>
        <v>1273.1494864569349</v>
      </c>
      <c r="H758" s="3">
        <f>IF([1]Result_notebook_retravaill!I758&gt;[1]Result_notebook_retravaill!G758,[1]Result_notebook_retravaill!I758/[1]Result_notebook_retravaill!N758,[1]Result_notebook_retravaill!H758)</f>
        <v>0</v>
      </c>
      <c r="I758" s="3">
        <f>[1]Result_notebook_retravaill!K758</f>
        <v>2121.915810761559</v>
      </c>
      <c r="J758" s="3">
        <f>MIN(G758,[1]Result_notebook_retravaill!I758)</f>
        <v>0</v>
      </c>
      <c r="K758" s="3">
        <f>IF([1]Result_notebook_retravaill!I758&gt;[1]Result_notebook_retravaill!G758,0,IF([1]Result_notebook_retravaill!I758+[1]Result_notebook_retravaill!J758&gt;[1]Result_notebook_retravaill!G758,[1]Result_notebook_retravaill!G758-[1]Result_notebook_retravaill!I758,[1]Result_notebook_retravaill!J758))</f>
        <v>0</v>
      </c>
      <c r="L758" s="3">
        <f>IF([1]Result_notebook_retravaill!I758&gt;[1]Result_notebook_retravaill!G758,0,IF([1]Result_notebook_retravaill!I758+[1]Result_notebook_retravaill!J758&gt;[1]Result_notebook_retravaill!G758,0,[1]Result_notebook_retravaill!M758))</f>
        <v>1273.1494864569349</v>
      </c>
    </row>
    <row r="759" spans="1:12">
      <c r="A759">
        <f>[1]Result_notebook_retravaill!A759</f>
        <v>2033</v>
      </c>
      <c r="B759" t="str">
        <f>[1]Result_notebook_retravaill!B759</f>
        <v>Neodymium</v>
      </c>
      <c r="C759" t="str">
        <f>[1]Result_notebook_retravaill!C759</f>
        <v>Current Measures</v>
      </c>
      <c r="D759" t="str">
        <f>[1]Result_notebook_retravaill!D759</f>
        <v>Production potential</v>
      </c>
      <c r="E759" t="str">
        <f>[1]Result_notebook_retravaill!E759</f>
        <v>Current shares</v>
      </c>
      <c r="F759" t="str">
        <f>[1]Result_notebook_retravaill!F759</f>
        <v>Expansion Extractive</v>
      </c>
      <c r="G759">
        <f>[1]Result_notebook_retravaill!G759</f>
        <v>1273.1494864569349</v>
      </c>
      <c r="H759" s="3">
        <f>IF([1]Result_notebook_retravaill!I759&gt;[1]Result_notebook_retravaill!G759,[1]Result_notebook_retravaill!I759/[1]Result_notebook_retravaill!N759,[1]Result_notebook_retravaill!H759)</f>
        <v>40.779406961821003</v>
      </c>
      <c r="I759" s="3">
        <f>[1]Result_notebook_retravaill!K759</f>
        <v>2081.1364037997369</v>
      </c>
      <c r="J759" s="3">
        <f>MIN(G759,[1]Result_notebook_retravaill!I759)</f>
        <v>24.408265853118081</v>
      </c>
      <c r="K759" s="3">
        <f>IF([1]Result_notebook_retravaill!I759&gt;[1]Result_notebook_retravaill!G759,0,IF([1]Result_notebook_retravaill!I759+[1]Result_notebook_retravaill!J759&gt;[1]Result_notebook_retravaill!G759,[1]Result_notebook_retravaill!G759-[1]Result_notebook_retravaill!I759,[1]Result_notebook_retravaill!J759))</f>
        <v>16.371141108702922</v>
      </c>
      <c r="L759" s="3">
        <f>IF([1]Result_notebook_retravaill!I759&gt;[1]Result_notebook_retravaill!G759,0,IF([1]Result_notebook_retravaill!I759+[1]Result_notebook_retravaill!J759&gt;[1]Result_notebook_retravaill!G759,0,[1]Result_notebook_retravaill!M759))</f>
        <v>1232.3700794951142</v>
      </c>
    </row>
    <row r="760" spans="1:12">
      <c r="A760">
        <f>[1]Result_notebook_retravaill!A760</f>
        <v>2033</v>
      </c>
      <c r="B760" t="str">
        <f>[1]Result_notebook_retravaill!B760</f>
        <v>Neodymium</v>
      </c>
      <c r="C760" t="str">
        <f>[1]Result_notebook_retravaill!C760</f>
        <v>Current Measures</v>
      </c>
      <c r="D760" t="str">
        <f>[1]Result_notebook_retravaill!D760</f>
        <v>Production potential</v>
      </c>
      <c r="E760" t="str">
        <f>[1]Result_notebook_retravaill!E760</f>
        <v>Current shares</v>
      </c>
      <c r="F760" t="str">
        <f>[1]Result_notebook_retravaill!F760</f>
        <v>Expansion Extractive+Circularity</v>
      </c>
      <c r="G760">
        <f>[1]Result_notebook_retravaill!G760</f>
        <v>1273.1494864569349</v>
      </c>
      <c r="H760" s="3">
        <f>IF([1]Result_notebook_retravaill!I760&gt;[1]Result_notebook_retravaill!G760,[1]Result_notebook_retravaill!I760/[1]Result_notebook_retravaill!N760,[1]Result_notebook_retravaill!H760)</f>
        <v>40.779406961821003</v>
      </c>
      <c r="I760" s="3">
        <f>[1]Result_notebook_retravaill!K760</f>
        <v>2081.1364037997369</v>
      </c>
      <c r="J760" s="3">
        <f>MIN(G760,[1]Result_notebook_retravaill!I760)</f>
        <v>24.408265853118081</v>
      </c>
      <c r="K760" s="3">
        <f>IF([1]Result_notebook_retravaill!I760&gt;[1]Result_notebook_retravaill!G760,0,IF([1]Result_notebook_retravaill!I760+[1]Result_notebook_retravaill!J760&gt;[1]Result_notebook_retravaill!G760,[1]Result_notebook_retravaill!G760-[1]Result_notebook_retravaill!I760,[1]Result_notebook_retravaill!J760))</f>
        <v>16.371141108702922</v>
      </c>
      <c r="L760" s="3">
        <f>IF([1]Result_notebook_retravaill!I760&gt;[1]Result_notebook_retravaill!G760,0,IF([1]Result_notebook_retravaill!I760+[1]Result_notebook_retravaill!J760&gt;[1]Result_notebook_retravaill!G760,0,[1]Result_notebook_retravaill!M760))</f>
        <v>1232.3700794951142</v>
      </c>
    </row>
    <row r="761" spans="1:12">
      <c r="A761">
        <f>[1]Result_notebook_retravaill!A761</f>
        <v>2033</v>
      </c>
      <c r="B761" t="str">
        <f>[1]Result_notebook_retravaill!B761</f>
        <v>Neodymium</v>
      </c>
      <c r="C761" t="str">
        <f>[1]Result_notebook_retravaill!C761</f>
        <v>Current Measures</v>
      </c>
      <c r="D761" t="str">
        <f>[1]Result_notebook_retravaill!D761</f>
        <v>Production potential</v>
      </c>
      <c r="E761" t="str">
        <f>[1]Result_notebook_retravaill!E761</f>
        <v>100% CAN</v>
      </c>
      <c r="F761" t="str">
        <f>[1]Result_notebook_retravaill!F761</f>
        <v>Integrated</v>
      </c>
      <c r="G761">
        <f>[1]Result_notebook_retravaill!G761</f>
        <v>1273.1494864569349</v>
      </c>
      <c r="H761" s="3">
        <f>IF([1]Result_notebook_retravaill!I761&gt;[1]Result_notebook_retravaill!G761,[1]Result_notebook_retravaill!I761/[1]Result_notebook_retravaill!N761,[1]Result_notebook_retravaill!H761)</f>
        <v>40.779406961821003</v>
      </c>
      <c r="I761" s="3">
        <f>[1]Result_notebook_retravaill!K761</f>
        <v>2081.1364037997369</v>
      </c>
      <c r="J761" s="3">
        <f>MIN(G761,[1]Result_notebook_retravaill!I761)</f>
        <v>24.408265853118081</v>
      </c>
      <c r="K761" s="3">
        <f>IF([1]Result_notebook_retravaill!I761&gt;[1]Result_notebook_retravaill!G761,0,IF([1]Result_notebook_retravaill!I761+[1]Result_notebook_retravaill!J761&gt;[1]Result_notebook_retravaill!G761,[1]Result_notebook_retravaill!G761-[1]Result_notebook_retravaill!I761,[1]Result_notebook_retravaill!J761))</f>
        <v>16.371141108702922</v>
      </c>
      <c r="L761" s="3">
        <f>IF([1]Result_notebook_retravaill!I761&gt;[1]Result_notebook_retravaill!G761,0,IF([1]Result_notebook_retravaill!I761+[1]Result_notebook_retravaill!J761&gt;[1]Result_notebook_retravaill!G761,0,[1]Result_notebook_retravaill!M761))</f>
        <v>1232.3700794951142</v>
      </c>
    </row>
    <row r="762" spans="1:12">
      <c r="A762">
        <f>[1]Result_notebook_retravaill!A762</f>
        <v>2033</v>
      </c>
      <c r="B762" t="str">
        <f>[1]Result_notebook_retravaill!B762</f>
        <v>Neodymium</v>
      </c>
      <c r="C762" t="str">
        <f>[1]Result_notebook_retravaill!C762</f>
        <v>Global Net-zero</v>
      </c>
      <c r="D762" t="str">
        <f>[1]Result_notebook_retravaill!D762</f>
        <v>Existing production</v>
      </c>
      <c r="E762" t="str">
        <f>[1]Result_notebook_retravaill!E762</f>
        <v>Current shares</v>
      </c>
      <c r="F762" t="str">
        <f>[1]Result_notebook_retravaill!F762</f>
        <v>NIMBY</v>
      </c>
      <c r="G762">
        <f>[1]Result_notebook_retravaill!G762</f>
        <v>3651.300473373256</v>
      </c>
      <c r="H762" s="3">
        <f>IF([1]Result_notebook_retravaill!I762&gt;[1]Result_notebook_retravaill!G762,[1]Result_notebook_retravaill!I762/[1]Result_notebook_retravaill!N762,[1]Result_notebook_retravaill!H762)</f>
        <v>0</v>
      </c>
      <c r="I762" s="3">
        <f>[1]Result_notebook_retravaill!K762</f>
        <v>6085.5007889554272</v>
      </c>
      <c r="J762" s="3">
        <f>MIN(G762,[1]Result_notebook_retravaill!I762)</f>
        <v>0</v>
      </c>
      <c r="K762" s="3">
        <f>IF([1]Result_notebook_retravaill!I762&gt;[1]Result_notebook_retravaill!G762,0,IF([1]Result_notebook_retravaill!I762+[1]Result_notebook_retravaill!J762&gt;[1]Result_notebook_retravaill!G762,[1]Result_notebook_retravaill!G762-[1]Result_notebook_retravaill!I762,[1]Result_notebook_retravaill!J762))</f>
        <v>0</v>
      </c>
      <c r="L762" s="3">
        <f>IF([1]Result_notebook_retravaill!I762&gt;[1]Result_notebook_retravaill!G762,0,IF([1]Result_notebook_retravaill!I762+[1]Result_notebook_retravaill!J762&gt;[1]Result_notebook_retravaill!G762,0,[1]Result_notebook_retravaill!M762))</f>
        <v>3651.300473373256</v>
      </c>
    </row>
    <row r="763" spans="1:12">
      <c r="A763">
        <f>[1]Result_notebook_retravaill!A763</f>
        <v>2033</v>
      </c>
      <c r="B763" t="str">
        <f>[1]Result_notebook_retravaill!B763</f>
        <v>Neodymium</v>
      </c>
      <c r="C763" t="str">
        <f>[1]Result_notebook_retravaill!C763</f>
        <v>Global Net-zero</v>
      </c>
      <c r="D763" t="str">
        <f>[1]Result_notebook_retravaill!D763</f>
        <v>Existing production</v>
      </c>
      <c r="E763" t="str">
        <f>[1]Result_notebook_retravaill!E763</f>
        <v>Current shares</v>
      </c>
      <c r="F763" t="str">
        <f>[1]Result_notebook_retravaill!F763</f>
        <v>Status Quo</v>
      </c>
      <c r="G763">
        <f>[1]Result_notebook_retravaill!G763</f>
        <v>3651.300473373256</v>
      </c>
      <c r="H763" s="3">
        <f>IF([1]Result_notebook_retravaill!I763&gt;[1]Result_notebook_retravaill!G763,[1]Result_notebook_retravaill!I763/[1]Result_notebook_retravaill!N763,[1]Result_notebook_retravaill!H763)</f>
        <v>0</v>
      </c>
      <c r="I763" s="3">
        <f>[1]Result_notebook_retravaill!K763</f>
        <v>6085.5007889554272</v>
      </c>
      <c r="J763" s="3">
        <f>MIN(G763,[1]Result_notebook_retravaill!I763)</f>
        <v>0</v>
      </c>
      <c r="K763" s="3">
        <f>IF([1]Result_notebook_retravaill!I763&gt;[1]Result_notebook_retravaill!G763,0,IF([1]Result_notebook_retravaill!I763+[1]Result_notebook_retravaill!J763&gt;[1]Result_notebook_retravaill!G763,[1]Result_notebook_retravaill!G763-[1]Result_notebook_retravaill!I763,[1]Result_notebook_retravaill!J763))</f>
        <v>0</v>
      </c>
      <c r="L763" s="3">
        <f>IF([1]Result_notebook_retravaill!I763&gt;[1]Result_notebook_retravaill!G763,0,IF([1]Result_notebook_retravaill!I763+[1]Result_notebook_retravaill!J763&gt;[1]Result_notebook_retravaill!G763,0,[1]Result_notebook_retravaill!M763))</f>
        <v>3651.300473373256</v>
      </c>
    </row>
    <row r="764" spans="1:12">
      <c r="A764">
        <f>[1]Result_notebook_retravaill!A764</f>
        <v>2033</v>
      </c>
      <c r="B764" t="str">
        <f>[1]Result_notebook_retravaill!B764</f>
        <v>Neodymium</v>
      </c>
      <c r="C764" t="str">
        <f>[1]Result_notebook_retravaill!C764</f>
        <v>Global Net-zero</v>
      </c>
      <c r="D764" t="str">
        <f>[1]Result_notebook_retravaill!D764</f>
        <v>Production potential</v>
      </c>
      <c r="E764" t="str">
        <f>[1]Result_notebook_retravaill!E764</f>
        <v>Current shares</v>
      </c>
      <c r="F764" t="str">
        <f>[1]Result_notebook_retravaill!F764</f>
        <v>Expansion Extractive</v>
      </c>
      <c r="G764">
        <f>[1]Result_notebook_retravaill!G764</f>
        <v>3651.300473373256</v>
      </c>
      <c r="H764" s="3">
        <f>IF([1]Result_notebook_retravaill!I764&gt;[1]Result_notebook_retravaill!G764,[1]Result_notebook_retravaill!I764/[1]Result_notebook_retravaill!N764,[1]Result_notebook_retravaill!H764)</f>
        <v>40.779406961821003</v>
      </c>
      <c r="I764" s="3">
        <f>[1]Result_notebook_retravaill!K764</f>
        <v>6044.721381993606</v>
      </c>
      <c r="J764" s="3">
        <f>MIN(G764,[1]Result_notebook_retravaill!I764)</f>
        <v>24.408265853118081</v>
      </c>
      <c r="K764" s="3">
        <f>IF([1]Result_notebook_retravaill!I764&gt;[1]Result_notebook_retravaill!G764,0,IF([1]Result_notebook_retravaill!I764+[1]Result_notebook_retravaill!J764&gt;[1]Result_notebook_retravaill!G764,[1]Result_notebook_retravaill!G764-[1]Result_notebook_retravaill!I764,[1]Result_notebook_retravaill!J764))</f>
        <v>16.371141108702922</v>
      </c>
      <c r="L764" s="3">
        <f>IF([1]Result_notebook_retravaill!I764&gt;[1]Result_notebook_retravaill!G764,0,IF([1]Result_notebook_retravaill!I764+[1]Result_notebook_retravaill!J764&gt;[1]Result_notebook_retravaill!G764,0,[1]Result_notebook_retravaill!M764))</f>
        <v>3610.5210664114352</v>
      </c>
    </row>
    <row r="765" spans="1:12">
      <c r="A765">
        <f>[1]Result_notebook_retravaill!A765</f>
        <v>2033</v>
      </c>
      <c r="B765" t="str">
        <f>[1]Result_notebook_retravaill!B765</f>
        <v>Neodymium</v>
      </c>
      <c r="C765" t="str">
        <f>[1]Result_notebook_retravaill!C765</f>
        <v>Global Net-zero</v>
      </c>
      <c r="D765" t="str">
        <f>[1]Result_notebook_retravaill!D765</f>
        <v>Production potential</v>
      </c>
      <c r="E765" t="str">
        <f>[1]Result_notebook_retravaill!E765</f>
        <v>Current shares</v>
      </c>
      <c r="F765" t="str">
        <f>[1]Result_notebook_retravaill!F765</f>
        <v>Expansion Extractive+Circularity</v>
      </c>
      <c r="G765">
        <f>[1]Result_notebook_retravaill!G765</f>
        <v>3651.300473373256</v>
      </c>
      <c r="H765" s="3">
        <f>IF([1]Result_notebook_retravaill!I765&gt;[1]Result_notebook_retravaill!G765,[1]Result_notebook_retravaill!I765/[1]Result_notebook_retravaill!N765,[1]Result_notebook_retravaill!H765)</f>
        <v>40.779406961821003</v>
      </c>
      <c r="I765" s="3">
        <f>[1]Result_notebook_retravaill!K765</f>
        <v>6044.721381993606</v>
      </c>
      <c r="J765" s="3">
        <f>MIN(G765,[1]Result_notebook_retravaill!I765)</f>
        <v>24.408265853118081</v>
      </c>
      <c r="K765" s="3">
        <f>IF([1]Result_notebook_retravaill!I765&gt;[1]Result_notebook_retravaill!G765,0,IF([1]Result_notebook_retravaill!I765+[1]Result_notebook_retravaill!J765&gt;[1]Result_notebook_retravaill!G765,[1]Result_notebook_retravaill!G765-[1]Result_notebook_retravaill!I765,[1]Result_notebook_retravaill!J765))</f>
        <v>16.371141108702922</v>
      </c>
      <c r="L765" s="3">
        <f>IF([1]Result_notebook_retravaill!I765&gt;[1]Result_notebook_retravaill!G765,0,IF([1]Result_notebook_retravaill!I765+[1]Result_notebook_retravaill!J765&gt;[1]Result_notebook_retravaill!G765,0,[1]Result_notebook_retravaill!M765))</f>
        <v>3610.5210664114352</v>
      </c>
    </row>
    <row r="766" spans="1:12">
      <c r="A766">
        <f>[1]Result_notebook_retravaill!A766</f>
        <v>2033</v>
      </c>
      <c r="B766" t="str">
        <f>[1]Result_notebook_retravaill!B766</f>
        <v>Neodymium</v>
      </c>
      <c r="C766" t="str">
        <f>[1]Result_notebook_retravaill!C766</f>
        <v>Global Net-zero</v>
      </c>
      <c r="D766" t="str">
        <f>[1]Result_notebook_retravaill!D766</f>
        <v>Production potential</v>
      </c>
      <c r="E766" t="str">
        <f>[1]Result_notebook_retravaill!E766</f>
        <v>100% CAN</v>
      </c>
      <c r="F766" t="str">
        <f>[1]Result_notebook_retravaill!F766</f>
        <v>Integrated</v>
      </c>
      <c r="G766">
        <f>[1]Result_notebook_retravaill!G766</f>
        <v>3651.300473373256</v>
      </c>
      <c r="H766" s="3">
        <f>IF([1]Result_notebook_retravaill!I766&gt;[1]Result_notebook_retravaill!G766,[1]Result_notebook_retravaill!I766/[1]Result_notebook_retravaill!N766,[1]Result_notebook_retravaill!H766)</f>
        <v>40.779406961821003</v>
      </c>
      <c r="I766" s="3">
        <f>[1]Result_notebook_retravaill!K766</f>
        <v>6044.721381993606</v>
      </c>
      <c r="J766" s="3">
        <f>MIN(G766,[1]Result_notebook_retravaill!I766)</f>
        <v>24.408265853118081</v>
      </c>
      <c r="K766" s="3">
        <f>IF([1]Result_notebook_retravaill!I766&gt;[1]Result_notebook_retravaill!G766,0,IF([1]Result_notebook_retravaill!I766+[1]Result_notebook_retravaill!J766&gt;[1]Result_notebook_retravaill!G766,[1]Result_notebook_retravaill!G766-[1]Result_notebook_retravaill!I766,[1]Result_notebook_retravaill!J766))</f>
        <v>16.371141108702922</v>
      </c>
      <c r="L766" s="3">
        <f>IF([1]Result_notebook_retravaill!I766&gt;[1]Result_notebook_retravaill!G766,0,IF([1]Result_notebook_retravaill!I766+[1]Result_notebook_retravaill!J766&gt;[1]Result_notebook_retravaill!G766,0,[1]Result_notebook_retravaill!M766))</f>
        <v>3610.5210664114352</v>
      </c>
    </row>
    <row r="767" spans="1:12">
      <c r="A767">
        <f>[1]Result_notebook_retravaill!A767</f>
        <v>2033</v>
      </c>
      <c r="B767" t="str">
        <f>[1]Result_notebook_retravaill!B767</f>
        <v>Nickel</v>
      </c>
      <c r="C767" t="str">
        <f>[1]Result_notebook_retravaill!C767</f>
        <v>Canada Net-zero</v>
      </c>
      <c r="D767" t="str">
        <f>[1]Result_notebook_retravaill!D767</f>
        <v>Existing production</v>
      </c>
      <c r="E767" t="str">
        <f>[1]Result_notebook_retravaill!E767</f>
        <v>Current shares</v>
      </c>
      <c r="F767" t="str">
        <f>[1]Result_notebook_retravaill!F767</f>
        <v>NIMBY</v>
      </c>
      <c r="G767">
        <f>[1]Result_notebook_retravaill!G767</f>
        <v>124090.4972141906</v>
      </c>
      <c r="H767" s="3">
        <f>IF([1]Result_notebook_retravaill!I767&gt;[1]Result_notebook_retravaill!G767,[1]Result_notebook_retravaill!I767/[1]Result_notebook_retravaill!N767,[1]Result_notebook_retravaill!H767)</f>
        <v>0</v>
      </c>
      <c r="I767" s="3">
        <f>[1]Result_notebook_retravaill!K767</f>
        <v>157076.57875213999</v>
      </c>
      <c r="J767" s="3">
        <f>MIN(G767,[1]Result_notebook_retravaill!I767)</f>
        <v>0</v>
      </c>
      <c r="K767" s="3">
        <f>IF([1]Result_notebook_retravaill!I767&gt;[1]Result_notebook_retravaill!G767,0,IF([1]Result_notebook_retravaill!I767+[1]Result_notebook_retravaill!J767&gt;[1]Result_notebook_retravaill!G767,[1]Result_notebook_retravaill!G767-[1]Result_notebook_retravaill!I767,[1]Result_notebook_retravaill!J767))</f>
        <v>0</v>
      </c>
      <c r="L767" s="3">
        <f>IF([1]Result_notebook_retravaill!I767&gt;[1]Result_notebook_retravaill!G767,0,IF([1]Result_notebook_retravaill!I767+[1]Result_notebook_retravaill!J767&gt;[1]Result_notebook_retravaill!G767,0,[1]Result_notebook_retravaill!M767))</f>
        <v>124090.4972141906</v>
      </c>
    </row>
    <row r="768" spans="1:12">
      <c r="A768">
        <f>[1]Result_notebook_retravaill!A768</f>
        <v>2033</v>
      </c>
      <c r="B768" t="str">
        <f>[1]Result_notebook_retravaill!B768</f>
        <v>Nickel</v>
      </c>
      <c r="C768" t="str">
        <f>[1]Result_notebook_retravaill!C768</f>
        <v>Canada Net-zero</v>
      </c>
      <c r="D768" t="str">
        <f>[1]Result_notebook_retravaill!D768</f>
        <v>Existing production</v>
      </c>
      <c r="E768" t="str">
        <f>[1]Result_notebook_retravaill!E768</f>
        <v>Current shares</v>
      </c>
      <c r="F768" t="str">
        <f>[1]Result_notebook_retravaill!F768</f>
        <v>Status Quo</v>
      </c>
      <c r="G768">
        <f>[1]Result_notebook_retravaill!G768</f>
        <v>124090.4972141906</v>
      </c>
      <c r="H768" s="3">
        <f>IF([1]Result_notebook_retravaill!I768&gt;[1]Result_notebook_retravaill!G768,[1]Result_notebook_retravaill!I768/[1]Result_notebook_retravaill!N768,[1]Result_notebook_retravaill!H768)</f>
        <v>120288</v>
      </c>
      <c r="I768" s="3">
        <f>[1]Result_notebook_retravaill!K768</f>
        <v>36788.578752139991</v>
      </c>
      <c r="J768" s="3">
        <f>MIN(G768,[1]Result_notebook_retravaill!I768)</f>
        <v>67467.138598854319</v>
      </c>
      <c r="K768" s="3">
        <f>IF([1]Result_notebook_retravaill!I768&gt;[1]Result_notebook_retravaill!G768,0,IF([1]Result_notebook_retravaill!I768+[1]Result_notebook_retravaill!J768&gt;[1]Result_notebook_retravaill!G768,[1]Result_notebook_retravaill!G768-[1]Result_notebook_retravaill!I768,[1]Result_notebook_retravaill!J768))</f>
        <v>16634.679006634033</v>
      </c>
      <c r="L768" s="3">
        <f>IF([1]Result_notebook_retravaill!I768&gt;[1]Result_notebook_retravaill!G768,0,IF([1]Result_notebook_retravaill!I768+[1]Result_notebook_retravaill!J768&gt;[1]Result_notebook_retravaill!G768,0,[1]Result_notebook_retravaill!M768))</f>
        <v>39988.679608702245</v>
      </c>
    </row>
    <row r="769" spans="1:12">
      <c r="A769">
        <f>[1]Result_notebook_retravaill!A769</f>
        <v>2033</v>
      </c>
      <c r="B769" t="str">
        <f>[1]Result_notebook_retravaill!B769</f>
        <v>Nickel</v>
      </c>
      <c r="C769" t="str">
        <f>[1]Result_notebook_retravaill!C769</f>
        <v>Canada Net-zero</v>
      </c>
      <c r="D769" t="str">
        <f>[1]Result_notebook_retravaill!D769</f>
        <v>Production potential</v>
      </c>
      <c r="E769" t="str">
        <f>[1]Result_notebook_retravaill!E769</f>
        <v>Current shares</v>
      </c>
      <c r="F769" t="str">
        <f>[1]Result_notebook_retravaill!F769</f>
        <v>Expansion Extractive</v>
      </c>
      <c r="G769">
        <f>[1]Result_notebook_retravaill!G769</f>
        <v>124090.4972141906</v>
      </c>
      <c r="H769" s="3">
        <f>IF([1]Result_notebook_retravaill!I769&gt;[1]Result_notebook_retravaill!G769,[1]Result_notebook_retravaill!I769/[1]Result_notebook_retravaill!N769,[1]Result_notebook_retravaill!H769)</f>
        <v>206578.6229524189</v>
      </c>
      <c r="I769" s="3">
        <f>[1]Result_notebook_retravaill!K769</f>
        <v>0</v>
      </c>
      <c r="J769" s="3">
        <f>MIN(G769,[1]Result_notebook_retravaill!I769)</f>
        <v>115865.8269011981</v>
      </c>
      <c r="K769" s="3">
        <f>IF([1]Result_notebook_retravaill!I769&gt;[1]Result_notebook_retravaill!G769,0,IF([1]Result_notebook_retravaill!I769+[1]Result_notebook_retravaill!J769&gt;[1]Result_notebook_retravaill!G769,[1]Result_notebook_retravaill!G769-[1]Result_notebook_retravaill!I769,[1]Result_notebook_retravaill!J769))</f>
        <v>8224.6703129925008</v>
      </c>
      <c r="L769" s="3">
        <f>IF([1]Result_notebook_retravaill!I769&gt;[1]Result_notebook_retravaill!G769,0,IF([1]Result_notebook_retravaill!I769+[1]Result_notebook_retravaill!J769&gt;[1]Result_notebook_retravaill!G769,0,[1]Result_notebook_retravaill!M769))</f>
        <v>0</v>
      </c>
    </row>
    <row r="770" spans="1:12">
      <c r="A770">
        <f>[1]Result_notebook_retravaill!A770</f>
        <v>2033</v>
      </c>
      <c r="B770" t="str">
        <f>[1]Result_notebook_retravaill!B770</f>
        <v>Nickel</v>
      </c>
      <c r="C770" t="str">
        <f>[1]Result_notebook_retravaill!C770</f>
        <v>Canada Net-zero</v>
      </c>
      <c r="D770" t="str">
        <f>[1]Result_notebook_retravaill!D770</f>
        <v>Production potential</v>
      </c>
      <c r="E770" t="str">
        <f>[1]Result_notebook_retravaill!E770</f>
        <v>Current shares</v>
      </c>
      <c r="F770" t="str">
        <f>[1]Result_notebook_retravaill!F770</f>
        <v>Expansion Extractive+Circularity</v>
      </c>
      <c r="G770">
        <f>[1]Result_notebook_retravaill!G770</f>
        <v>124090.4972141906</v>
      </c>
      <c r="H770" s="3">
        <f>IF([1]Result_notebook_retravaill!I770&gt;[1]Result_notebook_retravaill!G770,[1]Result_notebook_retravaill!I770/[1]Result_notebook_retravaill!N770,[1]Result_notebook_retravaill!H770)</f>
        <v>206578.6229524189</v>
      </c>
      <c r="I770" s="3">
        <f>[1]Result_notebook_retravaill!K770</f>
        <v>0</v>
      </c>
      <c r="J770" s="3">
        <f>MIN(G770,[1]Result_notebook_retravaill!I770)</f>
        <v>115865.8269011981</v>
      </c>
      <c r="K770" s="3">
        <f>IF([1]Result_notebook_retravaill!I770&gt;[1]Result_notebook_retravaill!G770,0,IF([1]Result_notebook_retravaill!I770+[1]Result_notebook_retravaill!J770&gt;[1]Result_notebook_retravaill!G770,[1]Result_notebook_retravaill!G770-[1]Result_notebook_retravaill!I770,[1]Result_notebook_retravaill!J770))</f>
        <v>8224.6703129925008</v>
      </c>
      <c r="L770" s="3">
        <f>IF([1]Result_notebook_retravaill!I770&gt;[1]Result_notebook_retravaill!G770,0,IF([1]Result_notebook_retravaill!I770+[1]Result_notebook_retravaill!J770&gt;[1]Result_notebook_retravaill!G770,0,[1]Result_notebook_retravaill!M770))</f>
        <v>0</v>
      </c>
    </row>
    <row r="771" spans="1:12">
      <c r="A771">
        <f>[1]Result_notebook_retravaill!A771</f>
        <v>2033</v>
      </c>
      <c r="B771" t="str">
        <f>[1]Result_notebook_retravaill!B771</f>
        <v>Nickel</v>
      </c>
      <c r="C771" t="str">
        <f>[1]Result_notebook_retravaill!C771</f>
        <v>Canada Net-zero</v>
      </c>
      <c r="D771" t="str">
        <f>[1]Result_notebook_retravaill!D771</f>
        <v>Production potential</v>
      </c>
      <c r="E771" t="str">
        <f>[1]Result_notebook_retravaill!E771</f>
        <v>100% CAN</v>
      </c>
      <c r="F771" t="str">
        <f>[1]Result_notebook_retravaill!F771</f>
        <v>Integrated</v>
      </c>
      <c r="G771">
        <f>[1]Result_notebook_retravaill!G771</f>
        <v>124090.4972141906</v>
      </c>
      <c r="H771" s="3">
        <f>IF([1]Result_notebook_retravaill!I771&gt;[1]Result_notebook_retravaill!G771,[1]Result_notebook_retravaill!I771/[1]Result_notebook_retravaill!N771,[1]Result_notebook_retravaill!H771)</f>
        <v>232692.93186401716</v>
      </c>
      <c r="I771" s="3">
        <f>[1]Result_notebook_retravaill!K771</f>
        <v>0</v>
      </c>
      <c r="J771" s="3">
        <f>MIN(G771,[1]Result_notebook_retravaill!I771)</f>
        <v>124090.4972141906</v>
      </c>
      <c r="K771" s="3">
        <f>IF([1]Result_notebook_retravaill!I771&gt;[1]Result_notebook_retravaill!G771,0,IF([1]Result_notebook_retravaill!I771+[1]Result_notebook_retravaill!J771&gt;[1]Result_notebook_retravaill!G771,[1]Result_notebook_retravaill!G771-[1]Result_notebook_retravaill!I771,[1]Result_notebook_retravaill!J771))</f>
        <v>0</v>
      </c>
      <c r="L771" s="3">
        <f>IF([1]Result_notebook_retravaill!I771&gt;[1]Result_notebook_retravaill!G771,0,IF([1]Result_notebook_retravaill!I771+[1]Result_notebook_retravaill!J771&gt;[1]Result_notebook_retravaill!G771,0,[1]Result_notebook_retravaill!M771))</f>
        <v>0</v>
      </c>
    </row>
    <row r="772" spans="1:12">
      <c r="A772">
        <f>[1]Result_notebook_retravaill!A772</f>
        <v>2033</v>
      </c>
      <c r="B772" t="str">
        <f>[1]Result_notebook_retravaill!B772</f>
        <v>Nickel</v>
      </c>
      <c r="C772" t="str">
        <f>[1]Result_notebook_retravaill!C772</f>
        <v>Current Measures</v>
      </c>
      <c r="D772" t="str">
        <f>[1]Result_notebook_retravaill!D772</f>
        <v>Existing production</v>
      </c>
      <c r="E772" t="str">
        <f>[1]Result_notebook_retravaill!E772</f>
        <v>Current shares</v>
      </c>
      <c r="F772" t="str">
        <f>[1]Result_notebook_retravaill!F772</f>
        <v>NIMBY</v>
      </c>
      <c r="G772">
        <f>[1]Result_notebook_retravaill!G772</f>
        <v>53307.585959490927</v>
      </c>
      <c r="H772" s="3">
        <f>IF([1]Result_notebook_retravaill!I772&gt;[1]Result_notebook_retravaill!G772,[1]Result_notebook_retravaill!I772/[1]Result_notebook_retravaill!N772,[1]Result_notebook_retravaill!H772)</f>
        <v>0</v>
      </c>
      <c r="I772" s="3">
        <f>[1]Result_notebook_retravaill!K772</f>
        <v>67477.956910748006</v>
      </c>
      <c r="J772" s="3">
        <f>MIN(G772,[1]Result_notebook_retravaill!I772)</f>
        <v>0</v>
      </c>
      <c r="K772" s="3">
        <f>IF([1]Result_notebook_retravaill!I772&gt;[1]Result_notebook_retravaill!G772,0,IF([1]Result_notebook_retravaill!I772+[1]Result_notebook_retravaill!J772&gt;[1]Result_notebook_retravaill!G772,[1]Result_notebook_retravaill!G772-[1]Result_notebook_retravaill!I772,[1]Result_notebook_retravaill!J772))</f>
        <v>0</v>
      </c>
      <c r="L772" s="3">
        <f>IF([1]Result_notebook_retravaill!I772&gt;[1]Result_notebook_retravaill!G772,0,IF([1]Result_notebook_retravaill!I772+[1]Result_notebook_retravaill!J772&gt;[1]Result_notebook_retravaill!G772,0,[1]Result_notebook_retravaill!M772))</f>
        <v>53307.585959490927</v>
      </c>
    </row>
    <row r="773" spans="1:12">
      <c r="A773">
        <f>[1]Result_notebook_retravaill!A773</f>
        <v>2033</v>
      </c>
      <c r="B773" t="str">
        <f>[1]Result_notebook_retravaill!B773</f>
        <v>Nickel</v>
      </c>
      <c r="C773" t="str">
        <f>[1]Result_notebook_retravaill!C773</f>
        <v>Current Measures</v>
      </c>
      <c r="D773" t="str">
        <f>[1]Result_notebook_retravaill!D773</f>
        <v>Existing production</v>
      </c>
      <c r="E773" t="str">
        <f>[1]Result_notebook_retravaill!E773</f>
        <v>Current shares</v>
      </c>
      <c r="F773" t="str">
        <f>[1]Result_notebook_retravaill!F773</f>
        <v>Status Quo</v>
      </c>
      <c r="G773">
        <f>[1]Result_notebook_retravaill!G773</f>
        <v>53307.585959490927</v>
      </c>
      <c r="H773" s="3">
        <f>IF([1]Result_notebook_retravaill!I773&gt;[1]Result_notebook_retravaill!G773,[1]Result_notebook_retravaill!I773/[1]Result_notebook_retravaill!N773,[1]Result_notebook_retravaill!H773)</f>
        <v>96495.978313426895</v>
      </c>
      <c r="I773" s="3">
        <f>[1]Result_notebook_retravaill!K773</f>
        <v>0</v>
      </c>
      <c r="J773" s="3">
        <f>MIN(G773,[1]Result_notebook_retravaill!I773)</f>
        <v>53307.585959490927</v>
      </c>
      <c r="K773" s="3">
        <f>IF([1]Result_notebook_retravaill!I773&gt;[1]Result_notebook_retravaill!G773,0,IF([1]Result_notebook_retravaill!I773+[1]Result_notebook_retravaill!J773&gt;[1]Result_notebook_retravaill!G773,[1]Result_notebook_retravaill!G773-[1]Result_notebook_retravaill!I773,[1]Result_notebook_retravaill!J773))</f>
        <v>0</v>
      </c>
      <c r="L773" s="3">
        <f>IF([1]Result_notebook_retravaill!I773&gt;[1]Result_notebook_retravaill!G773,0,IF([1]Result_notebook_retravaill!I773+[1]Result_notebook_retravaill!J773&gt;[1]Result_notebook_retravaill!G773,0,[1]Result_notebook_retravaill!M773))</f>
        <v>0</v>
      </c>
    </row>
    <row r="774" spans="1:12">
      <c r="A774">
        <f>[1]Result_notebook_retravaill!A774</f>
        <v>2033</v>
      </c>
      <c r="B774" t="str">
        <f>[1]Result_notebook_retravaill!B774</f>
        <v>Nickel</v>
      </c>
      <c r="C774" t="str">
        <f>[1]Result_notebook_retravaill!C774</f>
        <v>Current Measures</v>
      </c>
      <c r="D774" t="str">
        <f>[1]Result_notebook_retravaill!D774</f>
        <v>Production potential</v>
      </c>
      <c r="E774" t="str">
        <f>[1]Result_notebook_retravaill!E774</f>
        <v>Current shares</v>
      </c>
      <c r="F774" t="str">
        <f>[1]Result_notebook_retravaill!F774</f>
        <v>Expansion Extractive</v>
      </c>
      <c r="G774">
        <f>[1]Result_notebook_retravaill!G774</f>
        <v>53307.585959490927</v>
      </c>
      <c r="H774" s="3">
        <f>IF([1]Result_notebook_retravaill!I774&gt;[1]Result_notebook_retravaill!G774,[1]Result_notebook_retravaill!I774/[1]Result_notebook_retravaill!N774,[1]Result_notebook_retravaill!H774)</f>
        <v>165718.9937519471</v>
      </c>
      <c r="I774" s="3">
        <f>[1]Result_notebook_retravaill!K774</f>
        <v>0</v>
      </c>
      <c r="J774" s="3">
        <f>MIN(G774,[1]Result_notebook_retravaill!I774)</f>
        <v>53307.585959490927</v>
      </c>
      <c r="K774" s="3">
        <f>IF([1]Result_notebook_retravaill!I774&gt;[1]Result_notebook_retravaill!G774,0,IF([1]Result_notebook_retravaill!I774+[1]Result_notebook_retravaill!J774&gt;[1]Result_notebook_retravaill!G774,[1]Result_notebook_retravaill!G774-[1]Result_notebook_retravaill!I774,[1]Result_notebook_retravaill!J774))</f>
        <v>0</v>
      </c>
      <c r="L774" s="3">
        <f>IF([1]Result_notebook_retravaill!I774&gt;[1]Result_notebook_retravaill!G774,0,IF([1]Result_notebook_retravaill!I774+[1]Result_notebook_retravaill!J774&gt;[1]Result_notebook_retravaill!G774,0,[1]Result_notebook_retravaill!M774))</f>
        <v>0</v>
      </c>
    </row>
    <row r="775" spans="1:12">
      <c r="A775">
        <f>[1]Result_notebook_retravaill!A775</f>
        <v>2033</v>
      </c>
      <c r="B775" t="str">
        <f>[1]Result_notebook_retravaill!B775</f>
        <v>Nickel</v>
      </c>
      <c r="C775" t="str">
        <f>[1]Result_notebook_retravaill!C775</f>
        <v>Current Measures</v>
      </c>
      <c r="D775" t="str">
        <f>[1]Result_notebook_retravaill!D775</f>
        <v>Production potential</v>
      </c>
      <c r="E775" t="str">
        <f>[1]Result_notebook_retravaill!E775</f>
        <v>Current shares</v>
      </c>
      <c r="F775" t="str">
        <f>[1]Result_notebook_retravaill!F775</f>
        <v>Expansion Extractive+Circularity</v>
      </c>
      <c r="G775">
        <f>[1]Result_notebook_retravaill!G775</f>
        <v>53307.585959490927</v>
      </c>
      <c r="H775" s="3">
        <f>IF([1]Result_notebook_retravaill!I775&gt;[1]Result_notebook_retravaill!G775,[1]Result_notebook_retravaill!I775/[1]Result_notebook_retravaill!N775,[1]Result_notebook_retravaill!H775)</f>
        <v>165718.9937519471</v>
      </c>
      <c r="I775" s="3">
        <f>[1]Result_notebook_retravaill!K775</f>
        <v>0</v>
      </c>
      <c r="J775" s="3">
        <f>MIN(G775,[1]Result_notebook_retravaill!I775)</f>
        <v>53307.585959490927</v>
      </c>
      <c r="K775" s="3">
        <f>IF([1]Result_notebook_retravaill!I775&gt;[1]Result_notebook_retravaill!G775,0,IF([1]Result_notebook_retravaill!I775+[1]Result_notebook_retravaill!J775&gt;[1]Result_notebook_retravaill!G775,[1]Result_notebook_retravaill!G775-[1]Result_notebook_retravaill!I775,[1]Result_notebook_retravaill!J775))</f>
        <v>0</v>
      </c>
      <c r="L775" s="3">
        <f>IF([1]Result_notebook_retravaill!I775&gt;[1]Result_notebook_retravaill!G775,0,IF([1]Result_notebook_retravaill!I775+[1]Result_notebook_retravaill!J775&gt;[1]Result_notebook_retravaill!G775,0,[1]Result_notebook_retravaill!M775))</f>
        <v>0</v>
      </c>
    </row>
    <row r="776" spans="1:12">
      <c r="A776">
        <f>[1]Result_notebook_retravaill!A776</f>
        <v>2033</v>
      </c>
      <c r="B776" t="str">
        <f>[1]Result_notebook_retravaill!B776</f>
        <v>Nickel</v>
      </c>
      <c r="C776" t="str">
        <f>[1]Result_notebook_retravaill!C776</f>
        <v>Current Measures</v>
      </c>
      <c r="D776" t="str">
        <f>[1]Result_notebook_retravaill!D776</f>
        <v>Production potential</v>
      </c>
      <c r="E776" t="str">
        <f>[1]Result_notebook_retravaill!E776</f>
        <v>100% CAN</v>
      </c>
      <c r="F776" t="str">
        <f>[1]Result_notebook_retravaill!F776</f>
        <v>Integrated</v>
      </c>
      <c r="G776">
        <f>[1]Result_notebook_retravaill!G776</f>
        <v>53307.585959490927</v>
      </c>
      <c r="H776" s="3">
        <f>IF([1]Result_notebook_retravaill!I776&gt;[1]Result_notebook_retravaill!G776,[1]Result_notebook_retravaill!I776/[1]Result_notebook_retravaill!N776,[1]Result_notebook_retravaill!H776)</f>
        <v>232692.93186401716</v>
      </c>
      <c r="I776" s="3">
        <f>[1]Result_notebook_retravaill!K776</f>
        <v>0</v>
      </c>
      <c r="J776" s="3">
        <f>MIN(G776,[1]Result_notebook_retravaill!I776)</f>
        <v>53307.585959490927</v>
      </c>
      <c r="K776" s="3">
        <f>IF([1]Result_notebook_retravaill!I776&gt;[1]Result_notebook_retravaill!G776,0,IF([1]Result_notebook_retravaill!I776+[1]Result_notebook_retravaill!J776&gt;[1]Result_notebook_retravaill!G776,[1]Result_notebook_retravaill!G776-[1]Result_notebook_retravaill!I776,[1]Result_notebook_retravaill!J776))</f>
        <v>0</v>
      </c>
      <c r="L776" s="3">
        <f>IF([1]Result_notebook_retravaill!I776&gt;[1]Result_notebook_retravaill!G776,0,IF([1]Result_notebook_retravaill!I776+[1]Result_notebook_retravaill!J776&gt;[1]Result_notebook_retravaill!G776,0,[1]Result_notebook_retravaill!M776))</f>
        <v>0</v>
      </c>
    </row>
    <row r="777" spans="1:12">
      <c r="A777">
        <f>[1]Result_notebook_retravaill!A777</f>
        <v>2033</v>
      </c>
      <c r="B777" t="str">
        <f>[1]Result_notebook_retravaill!B777</f>
        <v>Nickel</v>
      </c>
      <c r="C777" t="str">
        <f>[1]Result_notebook_retravaill!C777</f>
        <v>Global Net-zero</v>
      </c>
      <c r="D777" t="str">
        <f>[1]Result_notebook_retravaill!D777</f>
        <v>Existing production</v>
      </c>
      <c r="E777" t="str">
        <f>[1]Result_notebook_retravaill!E777</f>
        <v>Current shares</v>
      </c>
      <c r="F777" t="str">
        <f>[1]Result_notebook_retravaill!F777</f>
        <v>NIMBY</v>
      </c>
      <c r="G777">
        <f>[1]Result_notebook_retravaill!G777</f>
        <v>118786.33724341739</v>
      </c>
      <c r="H777" s="3">
        <f>IF([1]Result_notebook_retravaill!I777&gt;[1]Result_notebook_retravaill!G777,[1]Result_notebook_retravaill!I777/[1]Result_notebook_retravaill!N777,[1]Result_notebook_retravaill!H777)</f>
        <v>0</v>
      </c>
      <c r="I777" s="3">
        <f>[1]Result_notebook_retravaill!K777</f>
        <v>150362.45220685739</v>
      </c>
      <c r="J777" s="3">
        <f>MIN(G777,[1]Result_notebook_retravaill!I777)</f>
        <v>0</v>
      </c>
      <c r="K777" s="3">
        <f>IF([1]Result_notebook_retravaill!I777&gt;[1]Result_notebook_retravaill!G777,0,IF([1]Result_notebook_retravaill!I777+[1]Result_notebook_retravaill!J777&gt;[1]Result_notebook_retravaill!G777,[1]Result_notebook_retravaill!G777-[1]Result_notebook_retravaill!I777,[1]Result_notebook_retravaill!J777))</f>
        <v>0</v>
      </c>
      <c r="L777" s="3">
        <f>IF([1]Result_notebook_retravaill!I777&gt;[1]Result_notebook_retravaill!G777,0,IF([1]Result_notebook_retravaill!I777+[1]Result_notebook_retravaill!J777&gt;[1]Result_notebook_retravaill!G777,0,[1]Result_notebook_retravaill!M777))</f>
        <v>118786.33724341739</v>
      </c>
    </row>
    <row r="778" spans="1:12">
      <c r="A778">
        <f>[1]Result_notebook_retravaill!A778</f>
        <v>2033</v>
      </c>
      <c r="B778" t="str">
        <f>[1]Result_notebook_retravaill!B778</f>
        <v>Nickel</v>
      </c>
      <c r="C778" t="str">
        <f>[1]Result_notebook_retravaill!C778</f>
        <v>Global Net-zero</v>
      </c>
      <c r="D778" t="str">
        <f>[1]Result_notebook_retravaill!D778</f>
        <v>Existing production</v>
      </c>
      <c r="E778" t="str">
        <f>[1]Result_notebook_retravaill!E778</f>
        <v>Current shares</v>
      </c>
      <c r="F778" t="str">
        <f>[1]Result_notebook_retravaill!F778</f>
        <v>Status Quo</v>
      </c>
      <c r="G778">
        <f>[1]Result_notebook_retravaill!G778</f>
        <v>118786.33724341739</v>
      </c>
      <c r="H778" s="3">
        <f>IF([1]Result_notebook_retravaill!I778&gt;[1]Result_notebook_retravaill!G778,[1]Result_notebook_retravaill!I778/[1]Result_notebook_retravaill!N778,[1]Result_notebook_retravaill!H778)</f>
        <v>120288</v>
      </c>
      <c r="I778" s="3">
        <f>[1]Result_notebook_retravaill!K778</f>
        <v>30074.452206857441</v>
      </c>
      <c r="J778" s="3">
        <f>MIN(G778,[1]Result_notebook_retravaill!I778)</f>
        <v>67467.138598854319</v>
      </c>
      <c r="K778" s="3">
        <f>IF([1]Result_notebook_retravaill!I778&gt;[1]Result_notebook_retravaill!G778,0,IF([1]Result_notebook_retravaill!I778+[1]Result_notebook_retravaill!J778&gt;[1]Result_notebook_retravaill!G778,[1]Result_notebook_retravaill!G778-[1]Result_notebook_retravaill!I778,[1]Result_notebook_retravaill!J778))</f>
        <v>16634.679006634033</v>
      </c>
      <c r="L778" s="3">
        <f>IF([1]Result_notebook_retravaill!I778&gt;[1]Result_notebook_retravaill!G778,0,IF([1]Result_notebook_retravaill!I778+[1]Result_notebook_retravaill!J778&gt;[1]Result_notebook_retravaill!G778,0,[1]Result_notebook_retravaill!M778))</f>
        <v>34684.51963792905</v>
      </c>
    </row>
    <row r="779" spans="1:12">
      <c r="A779">
        <f>[1]Result_notebook_retravaill!A779</f>
        <v>2033</v>
      </c>
      <c r="B779" t="str">
        <f>[1]Result_notebook_retravaill!B779</f>
        <v>Nickel</v>
      </c>
      <c r="C779" t="str">
        <f>[1]Result_notebook_retravaill!C779</f>
        <v>Global Net-zero</v>
      </c>
      <c r="D779" t="str">
        <f>[1]Result_notebook_retravaill!D779</f>
        <v>Production potential</v>
      </c>
      <c r="E779" t="str">
        <f>[1]Result_notebook_retravaill!E779</f>
        <v>Current shares</v>
      </c>
      <c r="F779" t="str">
        <f>[1]Result_notebook_retravaill!F779</f>
        <v>Expansion Extractive</v>
      </c>
      <c r="G779">
        <f>[1]Result_notebook_retravaill!G779</f>
        <v>118786.33724341739</v>
      </c>
      <c r="H779" s="3">
        <f>IF([1]Result_notebook_retravaill!I779&gt;[1]Result_notebook_retravaill!G779,[1]Result_notebook_retravaill!I779/[1]Result_notebook_retravaill!N779,[1]Result_notebook_retravaill!H779)</f>
        <v>206578.6229524189</v>
      </c>
      <c r="I779" s="3">
        <f>[1]Result_notebook_retravaill!K779</f>
        <v>0</v>
      </c>
      <c r="J779" s="3">
        <f>MIN(G779,[1]Result_notebook_retravaill!I779)</f>
        <v>115865.8269011981</v>
      </c>
      <c r="K779" s="3">
        <f>IF([1]Result_notebook_retravaill!I779&gt;[1]Result_notebook_retravaill!G779,0,IF([1]Result_notebook_retravaill!I779+[1]Result_notebook_retravaill!J779&gt;[1]Result_notebook_retravaill!G779,[1]Result_notebook_retravaill!G779-[1]Result_notebook_retravaill!I779,[1]Result_notebook_retravaill!J779))</f>
        <v>2920.5103422192915</v>
      </c>
      <c r="L779" s="3">
        <f>IF([1]Result_notebook_retravaill!I779&gt;[1]Result_notebook_retravaill!G779,0,IF([1]Result_notebook_retravaill!I779+[1]Result_notebook_retravaill!J779&gt;[1]Result_notebook_retravaill!G779,0,[1]Result_notebook_retravaill!M779))</f>
        <v>0</v>
      </c>
    </row>
    <row r="780" spans="1:12">
      <c r="A780">
        <f>[1]Result_notebook_retravaill!A780</f>
        <v>2033</v>
      </c>
      <c r="B780" t="str">
        <f>[1]Result_notebook_retravaill!B780</f>
        <v>Nickel</v>
      </c>
      <c r="C780" t="str">
        <f>[1]Result_notebook_retravaill!C780</f>
        <v>Global Net-zero</v>
      </c>
      <c r="D780" t="str">
        <f>[1]Result_notebook_retravaill!D780</f>
        <v>Production potential</v>
      </c>
      <c r="E780" t="str">
        <f>[1]Result_notebook_retravaill!E780</f>
        <v>Current shares</v>
      </c>
      <c r="F780" t="str">
        <f>[1]Result_notebook_retravaill!F780</f>
        <v>Expansion Extractive+Circularity</v>
      </c>
      <c r="G780">
        <f>[1]Result_notebook_retravaill!G780</f>
        <v>118786.33724341739</v>
      </c>
      <c r="H780" s="3">
        <f>IF([1]Result_notebook_retravaill!I780&gt;[1]Result_notebook_retravaill!G780,[1]Result_notebook_retravaill!I780/[1]Result_notebook_retravaill!N780,[1]Result_notebook_retravaill!H780)</f>
        <v>206578.6229524189</v>
      </c>
      <c r="I780" s="3">
        <f>[1]Result_notebook_retravaill!K780</f>
        <v>0</v>
      </c>
      <c r="J780" s="3">
        <f>MIN(G780,[1]Result_notebook_retravaill!I780)</f>
        <v>115865.8269011981</v>
      </c>
      <c r="K780" s="3">
        <f>IF([1]Result_notebook_retravaill!I780&gt;[1]Result_notebook_retravaill!G780,0,IF([1]Result_notebook_retravaill!I780+[1]Result_notebook_retravaill!J780&gt;[1]Result_notebook_retravaill!G780,[1]Result_notebook_retravaill!G780-[1]Result_notebook_retravaill!I780,[1]Result_notebook_retravaill!J780))</f>
        <v>2920.5103422192915</v>
      </c>
      <c r="L780" s="3">
        <f>IF([1]Result_notebook_retravaill!I780&gt;[1]Result_notebook_retravaill!G780,0,IF([1]Result_notebook_retravaill!I780+[1]Result_notebook_retravaill!J780&gt;[1]Result_notebook_retravaill!G780,0,[1]Result_notebook_retravaill!M780))</f>
        <v>0</v>
      </c>
    </row>
    <row r="781" spans="1:12">
      <c r="A781">
        <f>[1]Result_notebook_retravaill!A781</f>
        <v>2033</v>
      </c>
      <c r="B781" t="str">
        <f>[1]Result_notebook_retravaill!B781</f>
        <v>Nickel</v>
      </c>
      <c r="C781" t="str">
        <f>[1]Result_notebook_retravaill!C781</f>
        <v>Global Net-zero</v>
      </c>
      <c r="D781" t="str">
        <f>[1]Result_notebook_retravaill!D781</f>
        <v>Production potential</v>
      </c>
      <c r="E781" t="str">
        <f>[1]Result_notebook_retravaill!E781</f>
        <v>100% CAN</v>
      </c>
      <c r="F781" t="str">
        <f>[1]Result_notebook_retravaill!F781</f>
        <v>Integrated</v>
      </c>
      <c r="G781">
        <f>[1]Result_notebook_retravaill!G781</f>
        <v>118786.33724341739</v>
      </c>
      <c r="H781" s="3">
        <f>IF([1]Result_notebook_retravaill!I781&gt;[1]Result_notebook_retravaill!G781,[1]Result_notebook_retravaill!I781/[1]Result_notebook_retravaill!N781,[1]Result_notebook_retravaill!H781)</f>
        <v>232692.93186401716</v>
      </c>
      <c r="I781" s="3">
        <f>[1]Result_notebook_retravaill!K781</f>
        <v>0</v>
      </c>
      <c r="J781" s="3">
        <f>MIN(G781,[1]Result_notebook_retravaill!I781)</f>
        <v>118786.33724341739</v>
      </c>
      <c r="K781" s="3">
        <f>IF([1]Result_notebook_retravaill!I781&gt;[1]Result_notebook_retravaill!G781,0,IF([1]Result_notebook_retravaill!I781+[1]Result_notebook_retravaill!J781&gt;[1]Result_notebook_retravaill!G781,[1]Result_notebook_retravaill!G781-[1]Result_notebook_retravaill!I781,[1]Result_notebook_retravaill!J781))</f>
        <v>0</v>
      </c>
      <c r="L781" s="3">
        <f>IF([1]Result_notebook_retravaill!I781&gt;[1]Result_notebook_retravaill!G781,0,IF([1]Result_notebook_retravaill!I781+[1]Result_notebook_retravaill!J781&gt;[1]Result_notebook_retravaill!G781,0,[1]Result_notebook_retravaill!M781))</f>
        <v>0</v>
      </c>
    </row>
    <row r="782" spans="1:12">
      <c r="A782">
        <f>[1]Result_notebook_retravaill!A782</f>
        <v>2033</v>
      </c>
      <c r="B782" t="str">
        <f>[1]Result_notebook_retravaill!B782</f>
        <v>Graphite</v>
      </c>
      <c r="C782" t="str">
        <f>[1]Result_notebook_retravaill!C782</f>
        <v>Canada Net-zero</v>
      </c>
      <c r="D782" t="str">
        <f>[1]Result_notebook_retravaill!D782</f>
        <v>Existing production</v>
      </c>
      <c r="E782" t="str">
        <f>[1]Result_notebook_retravaill!E782</f>
        <v>Current shares</v>
      </c>
      <c r="F782" t="str">
        <f>[1]Result_notebook_retravaill!F782</f>
        <v>NIMBY</v>
      </c>
      <c r="G782">
        <f>[1]Result_notebook_retravaill!G782</f>
        <v>2712.6977060483359</v>
      </c>
      <c r="H782" s="3">
        <f>IF([1]Result_notebook_retravaill!I782&gt;[1]Result_notebook_retravaill!G782,[1]Result_notebook_retravaill!I782/[1]Result_notebook_retravaill!N782,[1]Result_notebook_retravaill!H782)</f>
        <v>0</v>
      </c>
      <c r="I782" s="3">
        <f>[1]Result_notebook_retravaill!K782</f>
        <v>2712.6977060483359</v>
      </c>
      <c r="J782" s="3">
        <f>MIN(G782,[1]Result_notebook_retravaill!I782)</f>
        <v>0</v>
      </c>
      <c r="K782" s="3">
        <f>IF([1]Result_notebook_retravaill!I782&gt;[1]Result_notebook_retravaill!G782,0,IF([1]Result_notebook_retravaill!I782+[1]Result_notebook_retravaill!J782&gt;[1]Result_notebook_retravaill!G782,[1]Result_notebook_retravaill!G782-[1]Result_notebook_retravaill!I782,[1]Result_notebook_retravaill!J782))</f>
        <v>0</v>
      </c>
      <c r="L782" s="3">
        <f>IF([1]Result_notebook_retravaill!I782&gt;[1]Result_notebook_retravaill!G782,0,IF([1]Result_notebook_retravaill!I782+[1]Result_notebook_retravaill!J782&gt;[1]Result_notebook_retravaill!G782,0,[1]Result_notebook_retravaill!M782))</f>
        <v>2712.6977060483359</v>
      </c>
    </row>
    <row r="783" spans="1:12">
      <c r="A783">
        <f>[1]Result_notebook_retravaill!A783</f>
        <v>2033</v>
      </c>
      <c r="B783" t="str">
        <f>[1]Result_notebook_retravaill!B783</f>
        <v>Graphite</v>
      </c>
      <c r="C783" t="str">
        <f>[1]Result_notebook_retravaill!C783</f>
        <v>Canada Net-zero</v>
      </c>
      <c r="D783" t="str">
        <f>[1]Result_notebook_retravaill!D783</f>
        <v>Existing production</v>
      </c>
      <c r="E783" t="str">
        <f>[1]Result_notebook_retravaill!E783</f>
        <v>Current shares</v>
      </c>
      <c r="F783" t="str">
        <f>[1]Result_notebook_retravaill!F783</f>
        <v>Status Quo</v>
      </c>
      <c r="G783">
        <f>[1]Result_notebook_retravaill!G783</f>
        <v>2712.6977060483359</v>
      </c>
      <c r="H783" s="3">
        <f>IF([1]Result_notebook_retravaill!I783&gt;[1]Result_notebook_retravaill!G783,[1]Result_notebook_retravaill!I783/[1]Result_notebook_retravaill!N783,[1]Result_notebook_retravaill!H783)</f>
        <v>0</v>
      </c>
      <c r="I783" s="3">
        <f>[1]Result_notebook_retravaill!K783</f>
        <v>2712.6977060483359</v>
      </c>
      <c r="J783" s="3">
        <f>MIN(G783,[1]Result_notebook_retravaill!I783)</f>
        <v>0</v>
      </c>
      <c r="K783" s="3">
        <f>IF([1]Result_notebook_retravaill!I783&gt;[1]Result_notebook_retravaill!G783,0,IF([1]Result_notebook_retravaill!I783+[1]Result_notebook_retravaill!J783&gt;[1]Result_notebook_retravaill!G783,[1]Result_notebook_retravaill!G783-[1]Result_notebook_retravaill!I783,[1]Result_notebook_retravaill!J783))</f>
        <v>0</v>
      </c>
      <c r="L783" s="3">
        <f>IF([1]Result_notebook_retravaill!I783&gt;[1]Result_notebook_retravaill!G783,0,IF([1]Result_notebook_retravaill!I783+[1]Result_notebook_retravaill!J783&gt;[1]Result_notebook_retravaill!G783,0,[1]Result_notebook_retravaill!M783))</f>
        <v>2712.6977060483359</v>
      </c>
    </row>
    <row r="784" spans="1:12">
      <c r="A784">
        <f>[1]Result_notebook_retravaill!A784</f>
        <v>2033</v>
      </c>
      <c r="B784" t="str">
        <f>[1]Result_notebook_retravaill!B784</f>
        <v>Graphite</v>
      </c>
      <c r="C784" t="str">
        <f>[1]Result_notebook_retravaill!C784</f>
        <v>Canada Net-zero</v>
      </c>
      <c r="D784" t="str">
        <f>[1]Result_notebook_retravaill!D784</f>
        <v>Production potential</v>
      </c>
      <c r="E784" t="str">
        <f>[1]Result_notebook_retravaill!E784</f>
        <v>Current shares</v>
      </c>
      <c r="F784" t="str">
        <f>[1]Result_notebook_retravaill!F784</f>
        <v>Expansion Extractive</v>
      </c>
      <c r="G784">
        <f>[1]Result_notebook_retravaill!G784</f>
        <v>2712.6977060483359</v>
      </c>
      <c r="H784" s="3">
        <f>IF([1]Result_notebook_retravaill!I784&gt;[1]Result_notebook_retravaill!G784,[1]Result_notebook_retravaill!I784/[1]Result_notebook_retravaill!N784,[1]Result_notebook_retravaill!H784)</f>
        <v>59179.042853184124</v>
      </c>
      <c r="I784" s="3">
        <f>[1]Result_notebook_retravaill!K784</f>
        <v>0</v>
      </c>
      <c r="J784" s="3">
        <f>MIN(G784,[1]Result_notebook_retravaill!I784)</f>
        <v>2712.6977060483359</v>
      </c>
      <c r="K784" s="3">
        <f>IF([1]Result_notebook_retravaill!I784&gt;[1]Result_notebook_retravaill!G784,0,IF([1]Result_notebook_retravaill!I784+[1]Result_notebook_retravaill!J784&gt;[1]Result_notebook_retravaill!G784,[1]Result_notebook_retravaill!G784-[1]Result_notebook_retravaill!I784,[1]Result_notebook_retravaill!J784))</f>
        <v>0</v>
      </c>
      <c r="L784" s="3">
        <f>IF([1]Result_notebook_retravaill!I784&gt;[1]Result_notebook_retravaill!G784,0,IF([1]Result_notebook_retravaill!I784+[1]Result_notebook_retravaill!J784&gt;[1]Result_notebook_retravaill!G784,0,[1]Result_notebook_retravaill!M784))</f>
        <v>0</v>
      </c>
    </row>
    <row r="785" spans="1:12">
      <c r="A785">
        <f>[1]Result_notebook_retravaill!A785</f>
        <v>2033</v>
      </c>
      <c r="B785" t="str">
        <f>[1]Result_notebook_retravaill!B785</f>
        <v>Graphite</v>
      </c>
      <c r="C785" t="str">
        <f>[1]Result_notebook_retravaill!C785</f>
        <v>Canada Net-zero</v>
      </c>
      <c r="D785" t="str">
        <f>[1]Result_notebook_retravaill!D785</f>
        <v>Production potential</v>
      </c>
      <c r="E785" t="str">
        <f>[1]Result_notebook_retravaill!E785</f>
        <v>Current shares</v>
      </c>
      <c r="F785" t="str">
        <f>[1]Result_notebook_retravaill!F785</f>
        <v>Expansion Extractive+Circularity</v>
      </c>
      <c r="G785">
        <f>[1]Result_notebook_retravaill!G785</f>
        <v>2712.6977060483359</v>
      </c>
      <c r="H785" s="3">
        <f>IF([1]Result_notebook_retravaill!I785&gt;[1]Result_notebook_retravaill!G785,[1]Result_notebook_retravaill!I785/[1]Result_notebook_retravaill!N785,[1]Result_notebook_retravaill!H785)</f>
        <v>59179.042853184124</v>
      </c>
      <c r="I785" s="3">
        <f>[1]Result_notebook_retravaill!K785</f>
        <v>0</v>
      </c>
      <c r="J785" s="3">
        <f>MIN(G785,[1]Result_notebook_retravaill!I785)</f>
        <v>2712.6977060483359</v>
      </c>
      <c r="K785" s="3">
        <f>IF([1]Result_notebook_retravaill!I785&gt;[1]Result_notebook_retravaill!G785,0,IF([1]Result_notebook_retravaill!I785+[1]Result_notebook_retravaill!J785&gt;[1]Result_notebook_retravaill!G785,[1]Result_notebook_retravaill!G785-[1]Result_notebook_retravaill!I785,[1]Result_notebook_retravaill!J785))</f>
        <v>0</v>
      </c>
      <c r="L785" s="3">
        <f>IF([1]Result_notebook_retravaill!I785&gt;[1]Result_notebook_retravaill!G785,0,IF([1]Result_notebook_retravaill!I785+[1]Result_notebook_retravaill!J785&gt;[1]Result_notebook_retravaill!G785,0,[1]Result_notebook_retravaill!M785))</f>
        <v>0</v>
      </c>
    </row>
    <row r="786" spans="1:12">
      <c r="A786">
        <f>[1]Result_notebook_retravaill!A786</f>
        <v>2033</v>
      </c>
      <c r="B786" t="str">
        <f>[1]Result_notebook_retravaill!B786</f>
        <v>Graphite</v>
      </c>
      <c r="C786" t="str">
        <f>[1]Result_notebook_retravaill!C786</f>
        <v>Canada Net-zero</v>
      </c>
      <c r="D786" t="str">
        <f>[1]Result_notebook_retravaill!D786</f>
        <v>Production potential</v>
      </c>
      <c r="E786" t="str">
        <f>[1]Result_notebook_retravaill!E786</f>
        <v>100% CAN</v>
      </c>
      <c r="F786" t="str">
        <f>[1]Result_notebook_retravaill!F786</f>
        <v>Integrated</v>
      </c>
      <c r="G786">
        <f>[1]Result_notebook_retravaill!G786</f>
        <v>2712.6977060483359</v>
      </c>
      <c r="H786" s="3">
        <f>IF([1]Result_notebook_retravaill!I786&gt;[1]Result_notebook_retravaill!G786,[1]Result_notebook_retravaill!I786/[1]Result_notebook_retravaill!N786,[1]Result_notebook_retravaill!H786)</f>
        <v>59179.042853184124</v>
      </c>
      <c r="I786" s="3">
        <f>[1]Result_notebook_retravaill!K786</f>
        <v>0</v>
      </c>
      <c r="J786" s="3">
        <f>MIN(G786,[1]Result_notebook_retravaill!I786)</f>
        <v>2712.6977060483359</v>
      </c>
      <c r="K786" s="3">
        <f>IF([1]Result_notebook_retravaill!I786&gt;[1]Result_notebook_retravaill!G786,0,IF([1]Result_notebook_retravaill!I786+[1]Result_notebook_retravaill!J786&gt;[1]Result_notebook_retravaill!G786,[1]Result_notebook_retravaill!G786-[1]Result_notebook_retravaill!I786,[1]Result_notebook_retravaill!J786))</f>
        <v>0</v>
      </c>
      <c r="L786" s="3">
        <f>IF([1]Result_notebook_retravaill!I786&gt;[1]Result_notebook_retravaill!G786,0,IF([1]Result_notebook_retravaill!I786+[1]Result_notebook_retravaill!J786&gt;[1]Result_notebook_retravaill!G786,0,[1]Result_notebook_retravaill!M786))</f>
        <v>0</v>
      </c>
    </row>
    <row r="787" spans="1:12">
      <c r="A787">
        <f>[1]Result_notebook_retravaill!A787</f>
        <v>2033</v>
      </c>
      <c r="B787" t="str">
        <f>[1]Result_notebook_retravaill!B787</f>
        <v>Graphite</v>
      </c>
      <c r="C787" t="str">
        <f>[1]Result_notebook_retravaill!C787</f>
        <v>Current Measures</v>
      </c>
      <c r="D787" t="str">
        <f>[1]Result_notebook_retravaill!D787</f>
        <v>Existing production</v>
      </c>
      <c r="E787" t="str">
        <f>[1]Result_notebook_retravaill!E787</f>
        <v>Current shares</v>
      </c>
      <c r="F787" t="str">
        <f>[1]Result_notebook_retravaill!F787</f>
        <v>NIMBY</v>
      </c>
      <c r="G787">
        <f>[1]Result_notebook_retravaill!G787</f>
        <v>1062.914972515613</v>
      </c>
      <c r="H787" s="3">
        <f>IF([1]Result_notebook_retravaill!I787&gt;[1]Result_notebook_retravaill!G787,[1]Result_notebook_retravaill!I787/[1]Result_notebook_retravaill!N787,[1]Result_notebook_retravaill!H787)</f>
        <v>0</v>
      </c>
      <c r="I787" s="3">
        <f>[1]Result_notebook_retravaill!K787</f>
        <v>1062.914972515613</v>
      </c>
      <c r="J787" s="3">
        <f>MIN(G787,[1]Result_notebook_retravaill!I787)</f>
        <v>0</v>
      </c>
      <c r="K787" s="3">
        <f>IF([1]Result_notebook_retravaill!I787&gt;[1]Result_notebook_retravaill!G787,0,IF([1]Result_notebook_retravaill!I787+[1]Result_notebook_retravaill!J787&gt;[1]Result_notebook_retravaill!G787,[1]Result_notebook_retravaill!G787-[1]Result_notebook_retravaill!I787,[1]Result_notebook_retravaill!J787))</f>
        <v>0</v>
      </c>
      <c r="L787" s="3">
        <f>IF([1]Result_notebook_retravaill!I787&gt;[1]Result_notebook_retravaill!G787,0,IF([1]Result_notebook_retravaill!I787+[1]Result_notebook_retravaill!J787&gt;[1]Result_notebook_retravaill!G787,0,[1]Result_notebook_retravaill!M787))</f>
        <v>1062.914972515613</v>
      </c>
    </row>
    <row r="788" spans="1:12">
      <c r="A788">
        <f>[1]Result_notebook_retravaill!A788</f>
        <v>2033</v>
      </c>
      <c r="B788" t="str">
        <f>[1]Result_notebook_retravaill!B788</f>
        <v>Graphite</v>
      </c>
      <c r="C788" t="str">
        <f>[1]Result_notebook_retravaill!C788</f>
        <v>Current Measures</v>
      </c>
      <c r="D788" t="str">
        <f>[1]Result_notebook_retravaill!D788</f>
        <v>Existing production</v>
      </c>
      <c r="E788" t="str">
        <f>[1]Result_notebook_retravaill!E788</f>
        <v>Current shares</v>
      </c>
      <c r="F788" t="str">
        <f>[1]Result_notebook_retravaill!F788</f>
        <v>Status Quo</v>
      </c>
      <c r="G788">
        <f>[1]Result_notebook_retravaill!G788</f>
        <v>1062.914972515613</v>
      </c>
      <c r="H788" s="3">
        <f>IF([1]Result_notebook_retravaill!I788&gt;[1]Result_notebook_retravaill!G788,[1]Result_notebook_retravaill!I788/[1]Result_notebook_retravaill!N788,[1]Result_notebook_retravaill!H788)</f>
        <v>0</v>
      </c>
      <c r="I788" s="3">
        <f>[1]Result_notebook_retravaill!K788</f>
        <v>1062.914972515613</v>
      </c>
      <c r="J788" s="3">
        <f>MIN(G788,[1]Result_notebook_retravaill!I788)</f>
        <v>0</v>
      </c>
      <c r="K788" s="3">
        <f>IF([1]Result_notebook_retravaill!I788&gt;[1]Result_notebook_retravaill!G788,0,IF([1]Result_notebook_retravaill!I788+[1]Result_notebook_retravaill!J788&gt;[1]Result_notebook_retravaill!G788,[1]Result_notebook_retravaill!G788-[1]Result_notebook_retravaill!I788,[1]Result_notebook_retravaill!J788))</f>
        <v>0</v>
      </c>
      <c r="L788" s="3">
        <f>IF([1]Result_notebook_retravaill!I788&gt;[1]Result_notebook_retravaill!G788,0,IF([1]Result_notebook_retravaill!I788+[1]Result_notebook_retravaill!J788&gt;[1]Result_notebook_retravaill!G788,0,[1]Result_notebook_retravaill!M788))</f>
        <v>1062.914972515613</v>
      </c>
    </row>
    <row r="789" spans="1:12">
      <c r="A789">
        <f>[1]Result_notebook_retravaill!A789</f>
        <v>2033</v>
      </c>
      <c r="B789" t="str">
        <f>[1]Result_notebook_retravaill!B789</f>
        <v>Graphite</v>
      </c>
      <c r="C789" t="str">
        <f>[1]Result_notebook_retravaill!C789</f>
        <v>Current Measures</v>
      </c>
      <c r="D789" t="str">
        <f>[1]Result_notebook_retravaill!D789</f>
        <v>Production potential</v>
      </c>
      <c r="E789" t="str">
        <f>[1]Result_notebook_retravaill!E789</f>
        <v>Current shares</v>
      </c>
      <c r="F789" t="str">
        <f>[1]Result_notebook_retravaill!F789</f>
        <v>Expansion Extractive</v>
      </c>
      <c r="G789">
        <f>[1]Result_notebook_retravaill!G789</f>
        <v>1062.914972515613</v>
      </c>
      <c r="H789" s="3">
        <f>IF([1]Result_notebook_retravaill!I789&gt;[1]Result_notebook_retravaill!G789,[1]Result_notebook_retravaill!I789/[1]Result_notebook_retravaill!N789,[1]Result_notebook_retravaill!H789)</f>
        <v>59179.042853184124</v>
      </c>
      <c r="I789" s="3">
        <f>[1]Result_notebook_retravaill!K789</f>
        <v>0</v>
      </c>
      <c r="J789" s="3">
        <f>MIN(G789,[1]Result_notebook_retravaill!I789)</f>
        <v>1062.914972515613</v>
      </c>
      <c r="K789" s="3">
        <f>IF([1]Result_notebook_retravaill!I789&gt;[1]Result_notebook_retravaill!G789,0,IF([1]Result_notebook_retravaill!I789+[1]Result_notebook_retravaill!J789&gt;[1]Result_notebook_retravaill!G789,[1]Result_notebook_retravaill!G789-[1]Result_notebook_retravaill!I789,[1]Result_notebook_retravaill!J789))</f>
        <v>0</v>
      </c>
      <c r="L789" s="3">
        <f>IF([1]Result_notebook_retravaill!I789&gt;[1]Result_notebook_retravaill!G789,0,IF([1]Result_notebook_retravaill!I789+[1]Result_notebook_retravaill!J789&gt;[1]Result_notebook_retravaill!G789,0,[1]Result_notebook_retravaill!M789))</f>
        <v>0</v>
      </c>
    </row>
    <row r="790" spans="1:12">
      <c r="A790">
        <f>[1]Result_notebook_retravaill!A790</f>
        <v>2033</v>
      </c>
      <c r="B790" t="str">
        <f>[1]Result_notebook_retravaill!B790</f>
        <v>Graphite</v>
      </c>
      <c r="C790" t="str">
        <f>[1]Result_notebook_retravaill!C790</f>
        <v>Current Measures</v>
      </c>
      <c r="D790" t="str">
        <f>[1]Result_notebook_retravaill!D790</f>
        <v>Production potential</v>
      </c>
      <c r="E790" t="str">
        <f>[1]Result_notebook_retravaill!E790</f>
        <v>Current shares</v>
      </c>
      <c r="F790" t="str">
        <f>[1]Result_notebook_retravaill!F790</f>
        <v>Expansion Extractive+Circularity</v>
      </c>
      <c r="G790">
        <f>[1]Result_notebook_retravaill!G790</f>
        <v>1062.914972515613</v>
      </c>
      <c r="H790" s="3">
        <f>IF([1]Result_notebook_retravaill!I790&gt;[1]Result_notebook_retravaill!G790,[1]Result_notebook_retravaill!I790/[1]Result_notebook_retravaill!N790,[1]Result_notebook_retravaill!H790)</f>
        <v>59179.042853184124</v>
      </c>
      <c r="I790" s="3">
        <f>[1]Result_notebook_retravaill!K790</f>
        <v>0</v>
      </c>
      <c r="J790" s="3">
        <f>MIN(G790,[1]Result_notebook_retravaill!I790)</f>
        <v>1062.914972515613</v>
      </c>
      <c r="K790" s="3">
        <f>IF([1]Result_notebook_retravaill!I790&gt;[1]Result_notebook_retravaill!G790,0,IF([1]Result_notebook_retravaill!I790+[1]Result_notebook_retravaill!J790&gt;[1]Result_notebook_retravaill!G790,[1]Result_notebook_retravaill!G790-[1]Result_notebook_retravaill!I790,[1]Result_notebook_retravaill!J790))</f>
        <v>0</v>
      </c>
      <c r="L790" s="3">
        <f>IF([1]Result_notebook_retravaill!I790&gt;[1]Result_notebook_retravaill!G790,0,IF([1]Result_notebook_retravaill!I790+[1]Result_notebook_retravaill!J790&gt;[1]Result_notebook_retravaill!G790,0,[1]Result_notebook_retravaill!M790))</f>
        <v>0</v>
      </c>
    </row>
    <row r="791" spans="1:12">
      <c r="A791">
        <f>[1]Result_notebook_retravaill!A791</f>
        <v>2033</v>
      </c>
      <c r="B791" t="str">
        <f>[1]Result_notebook_retravaill!B791</f>
        <v>Graphite</v>
      </c>
      <c r="C791" t="str">
        <f>[1]Result_notebook_retravaill!C791</f>
        <v>Current Measures</v>
      </c>
      <c r="D791" t="str">
        <f>[1]Result_notebook_retravaill!D791</f>
        <v>Production potential</v>
      </c>
      <c r="E791" t="str">
        <f>[1]Result_notebook_retravaill!E791</f>
        <v>100% CAN</v>
      </c>
      <c r="F791" t="str">
        <f>[1]Result_notebook_retravaill!F791</f>
        <v>Integrated</v>
      </c>
      <c r="G791">
        <f>[1]Result_notebook_retravaill!G791</f>
        <v>1062.914972515613</v>
      </c>
      <c r="H791" s="3">
        <f>IF([1]Result_notebook_retravaill!I791&gt;[1]Result_notebook_retravaill!G791,[1]Result_notebook_retravaill!I791/[1]Result_notebook_retravaill!N791,[1]Result_notebook_retravaill!H791)</f>
        <v>59179.042853184124</v>
      </c>
      <c r="I791" s="3">
        <f>[1]Result_notebook_retravaill!K791</f>
        <v>0</v>
      </c>
      <c r="J791" s="3">
        <f>MIN(G791,[1]Result_notebook_retravaill!I791)</f>
        <v>1062.914972515613</v>
      </c>
      <c r="K791" s="3">
        <f>IF([1]Result_notebook_retravaill!I791&gt;[1]Result_notebook_retravaill!G791,0,IF([1]Result_notebook_retravaill!I791+[1]Result_notebook_retravaill!J791&gt;[1]Result_notebook_retravaill!G791,[1]Result_notebook_retravaill!G791-[1]Result_notebook_retravaill!I791,[1]Result_notebook_retravaill!J791))</f>
        <v>0</v>
      </c>
      <c r="L791" s="3">
        <f>IF([1]Result_notebook_retravaill!I791&gt;[1]Result_notebook_retravaill!G791,0,IF([1]Result_notebook_retravaill!I791+[1]Result_notebook_retravaill!J791&gt;[1]Result_notebook_retravaill!G791,0,[1]Result_notebook_retravaill!M791))</f>
        <v>0</v>
      </c>
    </row>
    <row r="792" spans="1:12">
      <c r="A792">
        <f>[1]Result_notebook_retravaill!A792</f>
        <v>2033</v>
      </c>
      <c r="B792" t="str">
        <f>[1]Result_notebook_retravaill!B792</f>
        <v>Graphite</v>
      </c>
      <c r="C792" t="str">
        <f>[1]Result_notebook_retravaill!C792</f>
        <v>Global Net-zero</v>
      </c>
      <c r="D792" t="str">
        <f>[1]Result_notebook_retravaill!D792</f>
        <v>Existing production</v>
      </c>
      <c r="E792" t="str">
        <f>[1]Result_notebook_retravaill!E792</f>
        <v>Current shares</v>
      </c>
      <c r="F792" t="str">
        <f>[1]Result_notebook_retravaill!F792</f>
        <v>NIMBY</v>
      </c>
      <c r="G792">
        <f>[1]Result_notebook_retravaill!G792</f>
        <v>2578.831941326835</v>
      </c>
      <c r="H792" s="3">
        <f>IF([1]Result_notebook_retravaill!I792&gt;[1]Result_notebook_retravaill!G792,[1]Result_notebook_retravaill!I792/[1]Result_notebook_retravaill!N792,[1]Result_notebook_retravaill!H792)</f>
        <v>0</v>
      </c>
      <c r="I792" s="3">
        <f>[1]Result_notebook_retravaill!K792</f>
        <v>2578.831941326835</v>
      </c>
      <c r="J792" s="3">
        <f>MIN(G792,[1]Result_notebook_retravaill!I792)</f>
        <v>0</v>
      </c>
      <c r="K792" s="3">
        <f>IF([1]Result_notebook_retravaill!I792&gt;[1]Result_notebook_retravaill!G792,0,IF([1]Result_notebook_retravaill!I792+[1]Result_notebook_retravaill!J792&gt;[1]Result_notebook_retravaill!G792,[1]Result_notebook_retravaill!G792-[1]Result_notebook_retravaill!I792,[1]Result_notebook_retravaill!J792))</f>
        <v>0</v>
      </c>
      <c r="L792" s="3">
        <f>IF([1]Result_notebook_retravaill!I792&gt;[1]Result_notebook_retravaill!G792,0,IF([1]Result_notebook_retravaill!I792+[1]Result_notebook_retravaill!J792&gt;[1]Result_notebook_retravaill!G792,0,[1]Result_notebook_retravaill!M792))</f>
        <v>2578.831941326835</v>
      </c>
    </row>
    <row r="793" spans="1:12">
      <c r="A793">
        <f>[1]Result_notebook_retravaill!A793</f>
        <v>2033</v>
      </c>
      <c r="B793" t="str">
        <f>[1]Result_notebook_retravaill!B793</f>
        <v>Graphite</v>
      </c>
      <c r="C793" t="str">
        <f>[1]Result_notebook_retravaill!C793</f>
        <v>Global Net-zero</v>
      </c>
      <c r="D793" t="str">
        <f>[1]Result_notebook_retravaill!D793</f>
        <v>Existing production</v>
      </c>
      <c r="E793" t="str">
        <f>[1]Result_notebook_retravaill!E793</f>
        <v>Current shares</v>
      </c>
      <c r="F793" t="str">
        <f>[1]Result_notebook_retravaill!F793</f>
        <v>Status Quo</v>
      </c>
      <c r="G793">
        <f>[1]Result_notebook_retravaill!G793</f>
        <v>2578.831941326835</v>
      </c>
      <c r="H793" s="3">
        <f>IF([1]Result_notebook_retravaill!I793&gt;[1]Result_notebook_retravaill!G793,[1]Result_notebook_retravaill!I793/[1]Result_notebook_retravaill!N793,[1]Result_notebook_retravaill!H793)</f>
        <v>0</v>
      </c>
      <c r="I793" s="3">
        <f>[1]Result_notebook_retravaill!K793</f>
        <v>2578.831941326835</v>
      </c>
      <c r="J793" s="3">
        <f>MIN(G793,[1]Result_notebook_retravaill!I793)</f>
        <v>0</v>
      </c>
      <c r="K793" s="3">
        <f>IF([1]Result_notebook_retravaill!I793&gt;[1]Result_notebook_retravaill!G793,0,IF([1]Result_notebook_retravaill!I793+[1]Result_notebook_retravaill!J793&gt;[1]Result_notebook_retravaill!G793,[1]Result_notebook_retravaill!G793-[1]Result_notebook_retravaill!I793,[1]Result_notebook_retravaill!J793))</f>
        <v>0</v>
      </c>
      <c r="L793" s="3">
        <f>IF([1]Result_notebook_retravaill!I793&gt;[1]Result_notebook_retravaill!G793,0,IF([1]Result_notebook_retravaill!I793+[1]Result_notebook_retravaill!J793&gt;[1]Result_notebook_retravaill!G793,0,[1]Result_notebook_retravaill!M793))</f>
        <v>2578.831941326835</v>
      </c>
    </row>
    <row r="794" spans="1:12">
      <c r="A794">
        <f>[1]Result_notebook_retravaill!A794</f>
        <v>2033</v>
      </c>
      <c r="B794" t="str">
        <f>[1]Result_notebook_retravaill!B794</f>
        <v>Graphite</v>
      </c>
      <c r="C794" t="str">
        <f>[1]Result_notebook_retravaill!C794</f>
        <v>Global Net-zero</v>
      </c>
      <c r="D794" t="str">
        <f>[1]Result_notebook_retravaill!D794</f>
        <v>Production potential</v>
      </c>
      <c r="E794" t="str">
        <f>[1]Result_notebook_retravaill!E794</f>
        <v>Current shares</v>
      </c>
      <c r="F794" t="str">
        <f>[1]Result_notebook_retravaill!F794</f>
        <v>Expansion Extractive</v>
      </c>
      <c r="G794">
        <f>[1]Result_notebook_retravaill!G794</f>
        <v>2578.831941326835</v>
      </c>
      <c r="H794" s="3">
        <f>IF([1]Result_notebook_retravaill!I794&gt;[1]Result_notebook_retravaill!G794,[1]Result_notebook_retravaill!I794/[1]Result_notebook_retravaill!N794,[1]Result_notebook_retravaill!H794)</f>
        <v>59179.042853184124</v>
      </c>
      <c r="I794" s="3">
        <f>[1]Result_notebook_retravaill!K794</f>
        <v>0</v>
      </c>
      <c r="J794" s="3">
        <f>MIN(G794,[1]Result_notebook_retravaill!I794)</f>
        <v>2578.831941326835</v>
      </c>
      <c r="K794" s="3">
        <f>IF([1]Result_notebook_retravaill!I794&gt;[1]Result_notebook_retravaill!G794,0,IF([1]Result_notebook_retravaill!I794+[1]Result_notebook_retravaill!J794&gt;[1]Result_notebook_retravaill!G794,[1]Result_notebook_retravaill!G794-[1]Result_notebook_retravaill!I794,[1]Result_notebook_retravaill!J794))</f>
        <v>0</v>
      </c>
      <c r="L794" s="3">
        <f>IF([1]Result_notebook_retravaill!I794&gt;[1]Result_notebook_retravaill!G794,0,IF([1]Result_notebook_retravaill!I794+[1]Result_notebook_retravaill!J794&gt;[1]Result_notebook_retravaill!G794,0,[1]Result_notebook_retravaill!M794))</f>
        <v>0</v>
      </c>
    </row>
    <row r="795" spans="1:12">
      <c r="A795">
        <f>[1]Result_notebook_retravaill!A795</f>
        <v>2033</v>
      </c>
      <c r="B795" t="str">
        <f>[1]Result_notebook_retravaill!B795</f>
        <v>Graphite</v>
      </c>
      <c r="C795" t="str">
        <f>[1]Result_notebook_retravaill!C795</f>
        <v>Global Net-zero</v>
      </c>
      <c r="D795" t="str">
        <f>[1]Result_notebook_retravaill!D795</f>
        <v>Production potential</v>
      </c>
      <c r="E795" t="str">
        <f>[1]Result_notebook_retravaill!E795</f>
        <v>Current shares</v>
      </c>
      <c r="F795" t="str">
        <f>[1]Result_notebook_retravaill!F795</f>
        <v>Expansion Extractive+Circularity</v>
      </c>
      <c r="G795">
        <f>[1]Result_notebook_retravaill!G795</f>
        <v>2578.831941326835</v>
      </c>
      <c r="H795" s="3">
        <f>IF([1]Result_notebook_retravaill!I795&gt;[1]Result_notebook_retravaill!G795,[1]Result_notebook_retravaill!I795/[1]Result_notebook_retravaill!N795,[1]Result_notebook_retravaill!H795)</f>
        <v>59179.042853184124</v>
      </c>
      <c r="I795" s="3">
        <f>[1]Result_notebook_retravaill!K795</f>
        <v>0</v>
      </c>
      <c r="J795" s="3">
        <f>MIN(G795,[1]Result_notebook_retravaill!I795)</f>
        <v>2578.831941326835</v>
      </c>
      <c r="K795" s="3">
        <f>IF([1]Result_notebook_retravaill!I795&gt;[1]Result_notebook_retravaill!G795,0,IF([1]Result_notebook_retravaill!I795+[1]Result_notebook_retravaill!J795&gt;[1]Result_notebook_retravaill!G795,[1]Result_notebook_retravaill!G795-[1]Result_notebook_retravaill!I795,[1]Result_notebook_retravaill!J795))</f>
        <v>0</v>
      </c>
      <c r="L795" s="3">
        <f>IF([1]Result_notebook_retravaill!I795&gt;[1]Result_notebook_retravaill!G795,0,IF([1]Result_notebook_retravaill!I795+[1]Result_notebook_retravaill!J795&gt;[1]Result_notebook_retravaill!G795,0,[1]Result_notebook_retravaill!M795))</f>
        <v>0</v>
      </c>
    </row>
    <row r="796" spans="1:12">
      <c r="A796">
        <f>[1]Result_notebook_retravaill!A796</f>
        <v>2033</v>
      </c>
      <c r="B796" t="str">
        <f>[1]Result_notebook_retravaill!B796</f>
        <v>Graphite</v>
      </c>
      <c r="C796" t="str">
        <f>[1]Result_notebook_retravaill!C796</f>
        <v>Global Net-zero</v>
      </c>
      <c r="D796" t="str">
        <f>[1]Result_notebook_retravaill!D796</f>
        <v>Production potential</v>
      </c>
      <c r="E796" t="str">
        <f>[1]Result_notebook_retravaill!E796</f>
        <v>100% CAN</v>
      </c>
      <c r="F796" t="str">
        <f>[1]Result_notebook_retravaill!F796</f>
        <v>Integrated</v>
      </c>
      <c r="G796">
        <f>[1]Result_notebook_retravaill!G796</f>
        <v>2578.831941326835</v>
      </c>
      <c r="H796" s="3">
        <f>IF([1]Result_notebook_retravaill!I796&gt;[1]Result_notebook_retravaill!G796,[1]Result_notebook_retravaill!I796/[1]Result_notebook_retravaill!N796,[1]Result_notebook_retravaill!H796)</f>
        <v>59179.042853184124</v>
      </c>
      <c r="I796" s="3">
        <f>[1]Result_notebook_retravaill!K796</f>
        <v>0</v>
      </c>
      <c r="J796" s="3">
        <f>MIN(G796,[1]Result_notebook_retravaill!I796)</f>
        <v>2578.831941326835</v>
      </c>
      <c r="K796" s="3">
        <f>IF([1]Result_notebook_retravaill!I796&gt;[1]Result_notebook_retravaill!G796,0,IF([1]Result_notebook_retravaill!I796+[1]Result_notebook_retravaill!J796&gt;[1]Result_notebook_retravaill!G796,[1]Result_notebook_retravaill!G796-[1]Result_notebook_retravaill!I796,[1]Result_notebook_retravaill!J796))</f>
        <v>0</v>
      </c>
      <c r="L796" s="3">
        <f>IF([1]Result_notebook_retravaill!I796&gt;[1]Result_notebook_retravaill!G796,0,IF([1]Result_notebook_retravaill!I796+[1]Result_notebook_retravaill!J796&gt;[1]Result_notebook_retravaill!G796,0,[1]Result_notebook_retravaill!M796))</f>
        <v>0</v>
      </c>
    </row>
    <row r="797" spans="1:12">
      <c r="A797">
        <f>[1]Result_notebook_retravaill!A797</f>
        <v>2033</v>
      </c>
      <c r="B797" t="str">
        <f>[1]Result_notebook_retravaill!B797</f>
        <v>Lithium</v>
      </c>
      <c r="C797" t="str">
        <f>[1]Result_notebook_retravaill!C797</f>
        <v>Canada Net-zero</v>
      </c>
      <c r="D797" t="str">
        <f>[1]Result_notebook_retravaill!D797</f>
        <v>Existing production</v>
      </c>
      <c r="E797" t="str">
        <f>[1]Result_notebook_retravaill!E797</f>
        <v>Current shares</v>
      </c>
      <c r="F797" t="str">
        <f>[1]Result_notebook_retravaill!F797</f>
        <v>NIMBY</v>
      </c>
      <c r="G797">
        <f>[1]Result_notebook_retravaill!G797</f>
        <v>49911.675533361398</v>
      </c>
      <c r="H797" s="3">
        <f>IF([1]Result_notebook_retravaill!I797&gt;[1]Result_notebook_retravaill!G797,[1]Result_notebook_retravaill!I797/[1]Result_notebook_retravaill!N797,[1]Result_notebook_retravaill!H797)</f>
        <v>0</v>
      </c>
      <c r="I797" s="3">
        <f>[1]Result_notebook_retravaill!K797</f>
        <v>71302.393619087714</v>
      </c>
      <c r="J797" s="3">
        <f>MIN(G797,[1]Result_notebook_retravaill!I797)</f>
        <v>0</v>
      </c>
      <c r="K797" s="3">
        <f>IF([1]Result_notebook_retravaill!I797&gt;[1]Result_notebook_retravaill!G797,0,IF([1]Result_notebook_retravaill!I797+[1]Result_notebook_retravaill!J797&gt;[1]Result_notebook_retravaill!G797,[1]Result_notebook_retravaill!G797-[1]Result_notebook_retravaill!I797,[1]Result_notebook_retravaill!J797))</f>
        <v>0</v>
      </c>
      <c r="L797" s="3">
        <f>IF([1]Result_notebook_retravaill!I797&gt;[1]Result_notebook_retravaill!G797,0,IF([1]Result_notebook_retravaill!I797+[1]Result_notebook_retravaill!J797&gt;[1]Result_notebook_retravaill!G797,0,[1]Result_notebook_retravaill!M797))</f>
        <v>49911.675533361398</v>
      </c>
    </row>
    <row r="798" spans="1:12">
      <c r="A798">
        <f>[1]Result_notebook_retravaill!A798</f>
        <v>2033</v>
      </c>
      <c r="B798" t="str">
        <f>[1]Result_notebook_retravaill!B798</f>
        <v>Lithium</v>
      </c>
      <c r="C798" t="str">
        <f>[1]Result_notebook_retravaill!C798</f>
        <v>Canada Net-zero</v>
      </c>
      <c r="D798" t="str">
        <f>[1]Result_notebook_retravaill!D798</f>
        <v>Existing production</v>
      </c>
      <c r="E798" t="str">
        <f>[1]Result_notebook_retravaill!E798</f>
        <v>Current shares</v>
      </c>
      <c r="F798" t="str">
        <f>[1]Result_notebook_retravaill!F798</f>
        <v>Status Quo</v>
      </c>
      <c r="G798">
        <f>[1]Result_notebook_retravaill!G798</f>
        <v>49911.675533361398</v>
      </c>
      <c r="H798" s="3">
        <f>IF([1]Result_notebook_retravaill!I798&gt;[1]Result_notebook_retravaill!G798,[1]Result_notebook_retravaill!I798/[1]Result_notebook_retravaill!N798,[1]Result_notebook_retravaill!H798)</f>
        <v>37831</v>
      </c>
      <c r="I798" s="3">
        <f>[1]Result_notebook_retravaill!K798</f>
        <v>33471.393619087707</v>
      </c>
      <c r="J798" s="3">
        <f>MIN(G798,[1]Result_notebook_retravaill!I798)</f>
        <v>26450.318085205759</v>
      </c>
      <c r="K798" s="3">
        <f>IF([1]Result_notebook_retravaill!I798&gt;[1]Result_notebook_retravaill!G798,0,IF([1]Result_notebook_retravaill!I798+[1]Result_notebook_retravaill!J798&gt;[1]Result_notebook_retravaill!G798,[1]Result_notebook_retravaill!G798-[1]Result_notebook_retravaill!I798,[1]Result_notebook_retravaill!J798))</f>
        <v>3343.6750009035895</v>
      </c>
      <c r="L798" s="3">
        <f>IF([1]Result_notebook_retravaill!I798&gt;[1]Result_notebook_retravaill!G798,0,IF([1]Result_notebook_retravaill!I798+[1]Result_notebook_retravaill!J798&gt;[1]Result_notebook_retravaill!G798,0,[1]Result_notebook_retravaill!M798))</f>
        <v>20117.682447252049</v>
      </c>
    </row>
    <row r="799" spans="1:12">
      <c r="A799">
        <f>[1]Result_notebook_retravaill!A799</f>
        <v>2033</v>
      </c>
      <c r="B799" t="str">
        <f>[1]Result_notebook_retravaill!B799</f>
        <v>Lithium</v>
      </c>
      <c r="C799" t="str">
        <f>[1]Result_notebook_retravaill!C799</f>
        <v>Canada Net-zero</v>
      </c>
      <c r="D799" t="str">
        <f>[1]Result_notebook_retravaill!D799</f>
        <v>Production potential</v>
      </c>
      <c r="E799" t="str">
        <f>[1]Result_notebook_retravaill!E799</f>
        <v>Current shares</v>
      </c>
      <c r="F799" t="str">
        <f>[1]Result_notebook_retravaill!F799</f>
        <v>Expansion Extractive</v>
      </c>
      <c r="G799">
        <f>[1]Result_notebook_retravaill!G799</f>
        <v>49911.675533361398</v>
      </c>
      <c r="H799" s="3">
        <f>IF([1]Result_notebook_retravaill!I799&gt;[1]Result_notebook_retravaill!G799,[1]Result_notebook_retravaill!I799/[1]Result_notebook_retravaill!N799,[1]Result_notebook_retravaill!H799)</f>
        <v>121710.19835202962</v>
      </c>
      <c r="I799" s="3">
        <f>[1]Result_notebook_retravaill!K799</f>
        <v>0</v>
      </c>
      <c r="J799" s="3">
        <f>MIN(G799,[1]Result_notebook_retravaill!I799)</f>
        <v>49911.675533361398</v>
      </c>
      <c r="K799" s="3">
        <f>IF([1]Result_notebook_retravaill!I799&gt;[1]Result_notebook_retravaill!G799,0,IF([1]Result_notebook_retravaill!I799+[1]Result_notebook_retravaill!J799&gt;[1]Result_notebook_retravaill!G799,[1]Result_notebook_retravaill!G799-[1]Result_notebook_retravaill!I799,[1]Result_notebook_retravaill!J799))</f>
        <v>0</v>
      </c>
      <c r="L799" s="3">
        <f>IF([1]Result_notebook_retravaill!I799&gt;[1]Result_notebook_retravaill!G799,0,IF([1]Result_notebook_retravaill!I799+[1]Result_notebook_retravaill!J799&gt;[1]Result_notebook_retravaill!G799,0,[1]Result_notebook_retravaill!M799))</f>
        <v>0</v>
      </c>
    </row>
    <row r="800" spans="1:12">
      <c r="A800">
        <f>[1]Result_notebook_retravaill!A800</f>
        <v>2033</v>
      </c>
      <c r="B800" t="str">
        <f>[1]Result_notebook_retravaill!B800</f>
        <v>Lithium</v>
      </c>
      <c r="C800" t="str">
        <f>[1]Result_notebook_retravaill!C800</f>
        <v>Canada Net-zero</v>
      </c>
      <c r="D800" t="str">
        <f>[1]Result_notebook_retravaill!D800</f>
        <v>Production potential</v>
      </c>
      <c r="E800" t="str">
        <f>[1]Result_notebook_retravaill!E800</f>
        <v>Current shares</v>
      </c>
      <c r="F800" t="str">
        <f>[1]Result_notebook_retravaill!F800</f>
        <v>Expansion Extractive+Circularity</v>
      </c>
      <c r="G800">
        <f>[1]Result_notebook_retravaill!G800</f>
        <v>49911.675533361398</v>
      </c>
      <c r="H800" s="3">
        <f>IF([1]Result_notebook_retravaill!I800&gt;[1]Result_notebook_retravaill!G800,[1]Result_notebook_retravaill!I800/[1]Result_notebook_retravaill!N800,[1]Result_notebook_retravaill!H800)</f>
        <v>121710.19835202962</v>
      </c>
      <c r="I800" s="3">
        <f>[1]Result_notebook_retravaill!K800</f>
        <v>0</v>
      </c>
      <c r="J800" s="3">
        <f>MIN(G800,[1]Result_notebook_retravaill!I800)</f>
        <v>49911.675533361398</v>
      </c>
      <c r="K800" s="3">
        <f>IF([1]Result_notebook_retravaill!I800&gt;[1]Result_notebook_retravaill!G800,0,IF([1]Result_notebook_retravaill!I800+[1]Result_notebook_retravaill!J800&gt;[1]Result_notebook_retravaill!G800,[1]Result_notebook_retravaill!G800-[1]Result_notebook_retravaill!I800,[1]Result_notebook_retravaill!J800))</f>
        <v>0</v>
      </c>
      <c r="L800" s="3">
        <f>IF([1]Result_notebook_retravaill!I800&gt;[1]Result_notebook_retravaill!G800,0,IF([1]Result_notebook_retravaill!I800+[1]Result_notebook_retravaill!J800&gt;[1]Result_notebook_retravaill!G800,0,[1]Result_notebook_retravaill!M800))</f>
        <v>0</v>
      </c>
    </row>
    <row r="801" spans="1:12">
      <c r="A801">
        <f>[1]Result_notebook_retravaill!A801</f>
        <v>2033</v>
      </c>
      <c r="B801" t="str">
        <f>[1]Result_notebook_retravaill!B801</f>
        <v>Lithium</v>
      </c>
      <c r="C801" t="str">
        <f>[1]Result_notebook_retravaill!C801</f>
        <v>Canada Net-zero</v>
      </c>
      <c r="D801" t="str">
        <f>[1]Result_notebook_retravaill!D801</f>
        <v>Production potential</v>
      </c>
      <c r="E801" t="str">
        <f>[1]Result_notebook_retravaill!E801</f>
        <v>100% CAN</v>
      </c>
      <c r="F801" t="str">
        <f>[1]Result_notebook_retravaill!F801</f>
        <v>Integrated</v>
      </c>
      <c r="G801">
        <f>[1]Result_notebook_retravaill!G801</f>
        <v>49911.675533361398</v>
      </c>
      <c r="H801" s="3">
        <f>IF([1]Result_notebook_retravaill!I801&gt;[1]Result_notebook_retravaill!G801,[1]Result_notebook_retravaill!I801/[1]Result_notebook_retravaill!N801,[1]Result_notebook_retravaill!H801)</f>
        <v>121710.19835202962</v>
      </c>
      <c r="I801" s="3">
        <f>[1]Result_notebook_retravaill!K801</f>
        <v>0</v>
      </c>
      <c r="J801" s="3">
        <f>MIN(G801,[1]Result_notebook_retravaill!I801)</f>
        <v>49911.675533361398</v>
      </c>
      <c r="K801" s="3">
        <f>IF([1]Result_notebook_retravaill!I801&gt;[1]Result_notebook_retravaill!G801,0,IF([1]Result_notebook_retravaill!I801+[1]Result_notebook_retravaill!J801&gt;[1]Result_notebook_retravaill!G801,[1]Result_notebook_retravaill!G801-[1]Result_notebook_retravaill!I801,[1]Result_notebook_retravaill!J801))</f>
        <v>0</v>
      </c>
      <c r="L801" s="3">
        <f>IF([1]Result_notebook_retravaill!I801&gt;[1]Result_notebook_retravaill!G801,0,IF([1]Result_notebook_retravaill!I801+[1]Result_notebook_retravaill!J801&gt;[1]Result_notebook_retravaill!G801,0,[1]Result_notebook_retravaill!M801))</f>
        <v>0</v>
      </c>
    </row>
    <row r="802" spans="1:12">
      <c r="A802">
        <f>[1]Result_notebook_retravaill!A802</f>
        <v>2033</v>
      </c>
      <c r="B802" t="str">
        <f>[1]Result_notebook_retravaill!B802</f>
        <v>Lithium</v>
      </c>
      <c r="C802" t="str">
        <f>[1]Result_notebook_retravaill!C802</f>
        <v>Current Measures</v>
      </c>
      <c r="D802" t="str">
        <f>[1]Result_notebook_retravaill!D802</f>
        <v>Existing production</v>
      </c>
      <c r="E802" t="str">
        <f>[1]Result_notebook_retravaill!E802</f>
        <v>Current shares</v>
      </c>
      <c r="F802" t="str">
        <f>[1]Result_notebook_retravaill!F802</f>
        <v>NIMBY</v>
      </c>
      <c r="G802">
        <f>[1]Result_notebook_retravaill!G802</f>
        <v>19556.866623754038</v>
      </c>
      <c r="H802" s="3">
        <f>IF([1]Result_notebook_retravaill!I802&gt;[1]Result_notebook_retravaill!G802,[1]Result_notebook_retravaill!I802/[1]Result_notebook_retravaill!N802,[1]Result_notebook_retravaill!H802)</f>
        <v>0</v>
      </c>
      <c r="I802" s="3">
        <f>[1]Result_notebook_retravaill!K802</f>
        <v>27938.380891077199</v>
      </c>
      <c r="J802" s="3">
        <f>MIN(G802,[1]Result_notebook_retravaill!I802)</f>
        <v>0</v>
      </c>
      <c r="K802" s="3">
        <f>IF([1]Result_notebook_retravaill!I802&gt;[1]Result_notebook_retravaill!G802,0,IF([1]Result_notebook_retravaill!I802+[1]Result_notebook_retravaill!J802&gt;[1]Result_notebook_retravaill!G802,[1]Result_notebook_retravaill!G802-[1]Result_notebook_retravaill!I802,[1]Result_notebook_retravaill!J802))</f>
        <v>0</v>
      </c>
      <c r="L802" s="3">
        <f>IF([1]Result_notebook_retravaill!I802&gt;[1]Result_notebook_retravaill!G802,0,IF([1]Result_notebook_retravaill!I802+[1]Result_notebook_retravaill!J802&gt;[1]Result_notebook_retravaill!G802,0,[1]Result_notebook_retravaill!M802))</f>
        <v>19556.866623754038</v>
      </c>
    </row>
    <row r="803" spans="1:12">
      <c r="A803">
        <f>[1]Result_notebook_retravaill!A803</f>
        <v>2033</v>
      </c>
      <c r="B803" t="str">
        <f>[1]Result_notebook_retravaill!B803</f>
        <v>Lithium</v>
      </c>
      <c r="C803" t="str">
        <f>[1]Result_notebook_retravaill!C803</f>
        <v>Current Measures</v>
      </c>
      <c r="D803" t="str">
        <f>[1]Result_notebook_retravaill!D803</f>
        <v>Existing production</v>
      </c>
      <c r="E803" t="str">
        <f>[1]Result_notebook_retravaill!E803</f>
        <v>Current shares</v>
      </c>
      <c r="F803" t="str">
        <f>[1]Result_notebook_retravaill!F803</f>
        <v>Status Quo</v>
      </c>
      <c r="G803">
        <f>[1]Result_notebook_retravaill!G803</f>
        <v>19556.866623754038</v>
      </c>
      <c r="H803" s="3">
        <f>IF([1]Result_notebook_retravaill!I803&gt;[1]Result_notebook_retravaill!G803,[1]Result_notebook_retravaill!I803/[1]Result_notebook_retravaill!N803,[1]Result_notebook_retravaill!H803)</f>
        <v>33585.359994862243</v>
      </c>
      <c r="I803" s="3">
        <f>[1]Result_notebook_retravaill!K803</f>
        <v>0</v>
      </c>
      <c r="J803" s="3">
        <f>MIN(G803,[1]Result_notebook_retravaill!I803)</f>
        <v>19556.866623754038</v>
      </c>
      <c r="K803" s="3">
        <f>IF([1]Result_notebook_retravaill!I803&gt;[1]Result_notebook_retravaill!G803,0,IF([1]Result_notebook_retravaill!I803+[1]Result_notebook_retravaill!J803&gt;[1]Result_notebook_retravaill!G803,[1]Result_notebook_retravaill!G803-[1]Result_notebook_retravaill!I803,[1]Result_notebook_retravaill!J803))</f>
        <v>0</v>
      </c>
      <c r="L803" s="3">
        <f>IF([1]Result_notebook_retravaill!I803&gt;[1]Result_notebook_retravaill!G803,0,IF([1]Result_notebook_retravaill!I803+[1]Result_notebook_retravaill!J803&gt;[1]Result_notebook_retravaill!G803,0,[1]Result_notebook_retravaill!M803))</f>
        <v>0</v>
      </c>
    </row>
    <row r="804" spans="1:12">
      <c r="A804">
        <f>[1]Result_notebook_retravaill!A804</f>
        <v>2033</v>
      </c>
      <c r="B804" t="str">
        <f>[1]Result_notebook_retravaill!B804</f>
        <v>Lithium</v>
      </c>
      <c r="C804" t="str">
        <f>[1]Result_notebook_retravaill!C804</f>
        <v>Current Measures</v>
      </c>
      <c r="D804" t="str">
        <f>[1]Result_notebook_retravaill!D804</f>
        <v>Production potential</v>
      </c>
      <c r="E804" t="str">
        <f>[1]Result_notebook_retravaill!E804</f>
        <v>Current shares</v>
      </c>
      <c r="F804" t="str">
        <f>[1]Result_notebook_retravaill!F804</f>
        <v>Expansion Extractive</v>
      </c>
      <c r="G804">
        <f>[1]Result_notebook_retravaill!G804</f>
        <v>19556.866623754038</v>
      </c>
      <c r="H804" s="3">
        <f>IF([1]Result_notebook_retravaill!I804&gt;[1]Result_notebook_retravaill!G804,[1]Result_notebook_retravaill!I804/[1]Result_notebook_retravaill!N804,[1]Result_notebook_retravaill!H804)</f>
        <v>121710.19835202962</v>
      </c>
      <c r="I804" s="3">
        <f>[1]Result_notebook_retravaill!K804</f>
        <v>0</v>
      </c>
      <c r="J804" s="3">
        <f>MIN(G804,[1]Result_notebook_retravaill!I804)</f>
        <v>19556.866623754038</v>
      </c>
      <c r="K804" s="3">
        <f>IF([1]Result_notebook_retravaill!I804&gt;[1]Result_notebook_retravaill!G804,0,IF([1]Result_notebook_retravaill!I804+[1]Result_notebook_retravaill!J804&gt;[1]Result_notebook_retravaill!G804,[1]Result_notebook_retravaill!G804-[1]Result_notebook_retravaill!I804,[1]Result_notebook_retravaill!J804))</f>
        <v>0</v>
      </c>
      <c r="L804" s="3">
        <f>IF([1]Result_notebook_retravaill!I804&gt;[1]Result_notebook_retravaill!G804,0,IF([1]Result_notebook_retravaill!I804+[1]Result_notebook_retravaill!J804&gt;[1]Result_notebook_retravaill!G804,0,[1]Result_notebook_retravaill!M804))</f>
        <v>0</v>
      </c>
    </row>
    <row r="805" spans="1:12">
      <c r="A805">
        <f>[1]Result_notebook_retravaill!A805</f>
        <v>2033</v>
      </c>
      <c r="B805" t="str">
        <f>[1]Result_notebook_retravaill!B805</f>
        <v>Lithium</v>
      </c>
      <c r="C805" t="str">
        <f>[1]Result_notebook_retravaill!C805</f>
        <v>Current Measures</v>
      </c>
      <c r="D805" t="str">
        <f>[1]Result_notebook_retravaill!D805</f>
        <v>Production potential</v>
      </c>
      <c r="E805" t="str">
        <f>[1]Result_notebook_retravaill!E805</f>
        <v>Current shares</v>
      </c>
      <c r="F805" t="str">
        <f>[1]Result_notebook_retravaill!F805</f>
        <v>Expansion Extractive+Circularity</v>
      </c>
      <c r="G805">
        <f>[1]Result_notebook_retravaill!G805</f>
        <v>19556.866623754038</v>
      </c>
      <c r="H805" s="3">
        <f>IF([1]Result_notebook_retravaill!I805&gt;[1]Result_notebook_retravaill!G805,[1]Result_notebook_retravaill!I805/[1]Result_notebook_retravaill!N805,[1]Result_notebook_retravaill!H805)</f>
        <v>121710.19835202962</v>
      </c>
      <c r="I805" s="3">
        <f>[1]Result_notebook_retravaill!K805</f>
        <v>0</v>
      </c>
      <c r="J805" s="3">
        <f>MIN(G805,[1]Result_notebook_retravaill!I805)</f>
        <v>19556.866623754038</v>
      </c>
      <c r="K805" s="3">
        <f>IF([1]Result_notebook_retravaill!I805&gt;[1]Result_notebook_retravaill!G805,0,IF([1]Result_notebook_retravaill!I805+[1]Result_notebook_retravaill!J805&gt;[1]Result_notebook_retravaill!G805,[1]Result_notebook_retravaill!G805-[1]Result_notebook_retravaill!I805,[1]Result_notebook_retravaill!J805))</f>
        <v>0</v>
      </c>
      <c r="L805" s="3">
        <f>IF([1]Result_notebook_retravaill!I805&gt;[1]Result_notebook_retravaill!G805,0,IF([1]Result_notebook_retravaill!I805+[1]Result_notebook_retravaill!J805&gt;[1]Result_notebook_retravaill!G805,0,[1]Result_notebook_retravaill!M805))</f>
        <v>0</v>
      </c>
    </row>
    <row r="806" spans="1:12">
      <c r="A806">
        <f>[1]Result_notebook_retravaill!A806</f>
        <v>2033</v>
      </c>
      <c r="B806" t="str">
        <f>[1]Result_notebook_retravaill!B806</f>
        <v>Lithium</v>
      </c>
      <c r="C806" t="str">
        <f>[1]Result_notebook_retravaill!C806</f>
        <v>Current Measures</v>
      </c>
      <c r="D806" t="str">
        <f>[1]Result_notebook_retravaill!D806</f>
        <v>Production potential</v>
      </c>
      <c r="E806" t="str">
        <f>[1]Result_notebook_retravaill!E806</f>
        <v>100% CAN</v>
      </c>
      <c r="F806" t="str">
        <f>[1]Result_notebook_retravaill!F806</f>
        <v>Integrated</v>
      </c>
      <c r="G806">
        <f>[1]Result_notebook_retravaill!G806</f>
        <v>19556.866623754038</v>
      </c>
      <c r="H806" s="3">
        <f>IF([1]Result_notebook_retravaill!I806&gt;[1]Result_notebook_retravaill!G806,[1]Result_notebook_retravaill!I806/[1]Result_notebook_retravaill!N806,[1]Result_notebook_retravaill!H806)</f>
        <v>121710.19835202962</v>
      </c>
      <c r="I806" s="3">
        <f>[1]Result_notebook_retravaill!K806</f>
        <v>0</v>
      </c>
      <c r="J806" s="3">
        <f>MIN(G806,[1]Result_notebook_retravaill!I806)</f>
        <v>19556.866623754038</v>
      </c>
      <c r="K806" s="3">
        <f>IF([1]Result_notebook_retravaill!I806&gt;[1]Result_notebook_retravaill!G806,0,IF([1]Result_notebook_retravaill!I806+[1]Result_notebook_retravaill!J806&gt;[1]Result_notebook_retravaill!G806,[1]Result_notebook_retravaill!G806-[1]Result_notebook_retravaill!I806,[1]Result_notebook_retravaill!J806))</f>
        <v>0</v>
      </c>
      <c r="L806" s="3">
        <f>IF([1]Result_notebook_retravaill!I806&gt;[1]Result_notebook_retravaill!G806,0,IF([1]Result_notebook_retravaill!I806+[1]Result_notebook_retravaill!J806&gt;[1]Result_notebook_retravaill!G806,0,[1]Result_notebook_retravaill!M806))</f>
        <v>0</v>
      </c>
    </row>
    <row r="807" spans="1:12">
      <c r="A807">
        <f>[1]Result_notebook_retravaill!A807</f>
        <v>2033</v>
      </c>
      <c r="B807" t="str">
        <f>[1]Result_notebook_retravaill!B807</f>
        <v>Lithium</v>
      </c>
      <c r="C807" t="str">
        <f>[1]Result_notebook_retravaill!C807</f>
        <v>Global Net-zero</v>
      </c>
      <c r="D807" t="str">
        <f>[1]Result_notebook_retravaill!D807</f>
        <v>Existing production</v>
      </c>
      <c r="E807" t="str">
        <f>[1]Result_notebook_retravaill!E807</f>
        <v>Current shares</v>
      </c>
      <c r="F807" t="str">
        <f>[1]Result_notebook_retravaill!F807</f>
        <v>NIMBY</v>
      </c>
      <c r="G807">
        <f>[1]Result_notebook_retravaill!G807</f>
        <v>47448.642295670557</v>
      </c>
      <c r="H807" s="3">
        <f>IF([1]Result_notebook_retravaill!I807&gt;[1]Result_notebook_retravaill!G807,[1]Result_notebook_retravaill!I807/[1]Result_notebook_retravaill!N807,[1]Result_notebook_retravaill!H807)</f>
        <v>0</v>
      </c>
      <c r="I807" s="3">
        <f>[1]Result_notebook_retravaill!K807</f>
        <v>67783.774708100798</v>
      </c>
      <c r="J807" s="3">
        <f>MIN(G807,[1]Result_notebook_retravaill!I807)</f>
        <v>0</v>
      </c>
      <c r="K807" s="3">
        <f>IF([1]Result_notebook_retravaill!I807&gt;[1]Result_notebook_retravaill!G807,0,IF([1]Result_notebook_retravaill!I807+[1]Result_notebook_retravaill!J807&gt;[1]Result_notebook_retravaill!G807,[1]Result_notebook_retravaill!G807-[1]Result_notebook_retravaill!I807,[1]Result_notebook_retravaill!J807))</f>
        <v>0</v>
      </c>
      <c r="L807" s="3">
        <f>IF([1]Result_notebook_retravaill!I807&gt;[1]Result_notebook_retravaill!G807,0,IF([1]Result_notebook_retravaill!I807+[1]Result_notebook_retravaill!J807&gt;[1]Result_notebook_retravaill!G807,0,[1]Result_notebook_retravaill!M807))</f>
        <v>47448.642295670557</v>
      </c>
    </row>
    <row r="808" spans="1:12">
      <c r="A808">
        <f>[1]Result_notebook_retravaill!A808</f>
        <v>2033</v>
      </c>
      <c r="B808" t="str">
        <f>[1]Result_notebook_retravaill!B808</f>
        <v>Lithium</v>
      </c>
      <c r="C808" t="str">
        <f>[1]Result_notebook_retravaill!C808</f>
        <v>Global Net-zero</v>
      </c>
      <c r="D808" t="str">
        <f>[1]Result_notebook_retravaill!D808</f>
        <v>Existing production</v>
      </c>
      <c r="E808" t="str">
        <f>[1]Result_notebook_retravaill!E808</f>
        <v>Current shares</v>
      </c>
      <c r="F808" t="str">
        <f>[1]Result_notebook_retravaill!F808</f>
        <v>Status Quo</v>
      </c>
      <c r="G808">
        <f>[1]Result_notebook_retravaill!G808</f>
        <v>47448.642295670557</v>
      </c>
      <c r="H808" s="3">
        <f>IF([1]Result_notebook_retravaill!I808&gt;[1]Result_notebook_retravaill!G808,[1]Result_notebook_retravaill!I808/[1]Result_notebook_retravaill!N808,[1]Result_notebook_retravaill!H808)</f>
        <v>37831</v>
      </c>
      <c r="I808" s="3">
        <f>[1]Result_notebook_retravaill!K808</f>
        <v>29952.774708100798</v>
      </c>
      <c r="J808" s="3">
        <f>MIN(G808,[1]Result_notebook_retravaill!I808)</f>
        <v>26450.318085205759</v>
      </c>
      <c r="K808" s="3">
        <f>IF([1]Result_notebook_retravaill!I808&gt;[1]Result_notebook_retravaill!G808,0,IF([1]Result_notebook_retravaill!I808+[1]Result_notebook_retravaill!J808&gt;[1]Result_notebook_retravaill!G808,[1]Result_notebook_retravaill!G808-[1]Result_notebook_retravaill!I808,[1]Result_notebook_retravaill!J808))</f>
        <v>3343.6750009035895</v>
      </c>
      <c r="L808" s="3">
        <f>IF([1]Result_notebook_retravaill!I808&gt;[1]Result_notebook_retravaill!G808,0,IF([1]Result_notebook_retravaill!I808+[1]Result_notebook_retravaill!J808&gt;[1]Result_notebook_retravaill!G808,0,[1]Result_notebook_retravaill!M808))</f>
        <v>17654.649209561212</v>
      </c>
    </row>
    <row r="809" spans="1:12">
      <c r="A809">
        <f>[1]Result_notebook_retravaill!A809</f>
        <v>2033</v>
      </c>
      <c r="B809" t="str">
        <f>[1]Result_notebook_retravaill!B809</f>
        <v>Lithium</v>
      </c>
      <c r="C809" t="str">
        <f>[1]Result_notebook_retravaill!C809</f>
        <v>Global Net-zero</v>
      </c>
      <c r="D809" t="str">
        <f>[1]Result_notebook_retravaill!D809</f>
        <v>Production potential</v>
      </c>
      <c r="E809" t="str">
        <f>[1]Result_notebook_retravaill!E809</f>
        <v>Current shares</v>
      </c>
      <c r="F809" t="str">
        <f>[1]Result_notebook_retravaill!F809</f>
        <v>Expansion Extractive</v>
      </c>
      <c r="G809">
        <f>[1]Result_notebook_retravaill!G809</f>
        <v>47448.642295670557</v>
      </c>
      <c r="H809" s="3">
        <f>IF([1]Result_notebook_retravaill!I809&gt;[1]Result_notebook_retravaill!G809,[1]Result_notebook_retravaill!I809/[1]Result_notebook_retravaill!N809,[1]Result_notebook_retravaill!H809)</f>
        <v>121710.19835202962</v>
      </c>
      <c r="I809" s="3">
        <f>[1]Result_notebook_retravaill!K809</f>
        <v>0</v>
      </c>
      <c r="J809" s="3">
        <f>MIN(G809,[1]Result_notebook_retravaill!I809)</f>
        <v>47448.642295670557</v>
      </c>
      <c r="K809" s="3">
        <f>IF([1]Result_notebook_retravaill!I809&gt;[1]Result_notebook_retravaill!G809,0,IF([1]Result_notebook_retravaill!I809+[1]Result_notebook_retravaill!J809&gt;[1]Result_notebook_retravaill!G809,[1]Result_notebook_retravaill!G809-[1]Result_notebook_retravaill!I809,[1]Result_notebook_retravaill!J809))</f>
        <v>0</v>
      </c>
      <c r="L809" s="3">
        <f>IF([1]Result_notebook_retravaill!I809&gt;[1]Result_notebook_retravaill!G809,0,IF([1]Result_notebook_retravaill!I809+[1]Result_notebook_retravaill!J809&gt;[1]Result_notebook_retravaill!G809,0,[1]Result_notebook_retravaill!M809))</f>
        <v>0</v>
      </c>
    </row>
    <row r="810" spans="1:12">
      <c r="A810">
        <f>[1]Result_notebook_retravaill!A810</f>
        <v>2033</v>
      </c>
      <c r="B810" t="str">
        <f>[1]Result_notebook_retravaill!B810</f>
        <v>Lithium</v>
      </c>
      <c r="C810" t="str">
        <f>[1]Result_notebook_retravaill!C810</f>
        <v>Global Net-zero</v>
      </c>
      <c r="D810" t="str">
        <f>[1]Result_notebook_retravaill!D810</f>
        <v>Production potential</v>
      </c>
      <c r="E810" t="str">
        <f>[1]Result_notebook_retravaill!E810</f>
        <v>Current shares</v>
      </c>
      <c r="F810" t="str">
        <f>[1]Result_notebook_retravaill!F810</f>
        <v>Expansion Extractive+Circularity</v>
      </c>
      <c r="G810">
        <f>[1]Result_notebook_retravaill!G810</f>
        <v>47448.642295670557</v>
      </c>
      <c r="H810" s="3">
        <f>IF([1]Result_notebook_retravaill!I810&gt;[1]Result_notebook_retravaill!G810,[1]Result_notebook_retravaill!I810/[1]Result_notebook_retravaill!N810,[1]Result_notebook_retravaill!H810)</f>
        <v>121710.19835202962</v>
      </c>
      <c r="I810" s="3">
        <f>[1]Result_notebook_retravaill!K810</f>
        <v>0</v>
      </c>
      <c r="J810" s="3">
        <f>MIN(G810,[1]Result_notebook_retravaill!I810)</f>
        <v>47448.642295670557</v>
      </c>
      <c r="K810" s="3">
        <f>IF([1]Result_notebook_retravaill!I810&gt;[1]Result_notebook_retravaill!G810,0,IF([1]Result_notebook_retravaill!I810+[1]Result_notebook_retravaill!J810&gt;[1]Result_notebook_retravaill!G810,[1]Result_notebook_retravaill!G810-[1]Result_notebook_retravaill!I810,[1]Result_notebook_retravaill!J810))</f>
        <v>0</v>
      </c>
      <c r="L810" s="3">
        <f>IF([1]Result_notebook_retravaill!I810&gt;[1]Result_notebook_retravaill!G810,0,IF([1]Result_notebook_retravaill!I810+[1]Result_notebook_retravaill!J810&gt;[1]Result_notebook_retravaill!G810,0,[1]Result_notebook_retravaill!M810))</f>
        <v>0</v>
      </c>
    </row>
    <row r="811" spans="1:12">
      <c r="A811">
        <f>[1]Result_notebook_retravaill!A811</f>
        <v>2033</v>
      </c>
      <c r="B811" t="str">
        <f>[1]Result_notebook_retravaill!B811</f>
        <v>Lithium</v>
      </c>
      <c r="C811" t="str">
        <f>[1]Result_notebook_retravaill!C811</f>
        <v>Global Net-zero</v>
      </c>
      <c r="D811" t="str">
        <f>[1]Result_notebook_retravaill!D811</f>
        <v>Production potential</v>
      </c>
      <c r="E811" t="str">
        <f>[1]Result_notebook_retravaill!E811</f>
        <v>100% CAN</v>
      </c>
      <c r="F811" t="str">
        <f>[1]Result_notebook_retravaill!F811</f>
        <v>Integrated</v>
      </c>
      <c r="G811">
        <f>[1]Result_notebook_retravaill!G811</f>
        <v>47448.642295670557</v>
      </c>
      <c r="H811" s="3">
        <f>IF([1]Result_notebook_retravaill!I811&gt;[1]Result_notebook_retravaill!G811,[1]Result_notebook_retravaill!I811/[1]Result_notebook_retravaill!N811,[1]Result_notebook_retravaill!H811)</f>
        <v>121710.19835202962</v>
      </c>
      <c r="I811" s="3">
        <f>[1]Result_notebook_retravaill!K811</f>
        <v>0</v>
      </c>
      <c r="J811" s="3">
        <f>MIN(G811,[1]Result_notebook_retravaill!I811)</f>
        <v>47448.642295670557</v>
      </c>
      <c r="K811" s="3">
        <f>IF([1]Result_notebook_retravaill!I811&gt;[1]Result_notebook_retravaill!G811,0,IF([1]Result_notebook_retravaill!I811+[1]Result_notebook_retravaill!J811&gt;[1]Result_notebook_retravaill!G811,[1]Result_notebook_retravaill!G811-[1]Result_notebook_retravaill!I811,[1]Result_notebook_retravaill!J811))</f>
        <v>0</v>
      </c>
      <c r="L811" s="3">
        <f>IF([1]Result_notebook_retravaill!I811&gt;[1]Result_notebook_retravaill!G811,0,IF([1]Result_notebook_retravaill!I811+[1]Result_notebook_retravaill!J811&gt;[1]Result_notebook_retravaill!G811,0,[1]Result_notebook_retravaill!M811))</f>
        <v>0</v>
      </c>
    </row>
    <row r="812" spans="1:12">
      <c r="A812">
        <f>[1]Result_notebook_retravaill!A812</f>
        <v>2034</v>
      </c>
      <c r="B812" t="str">
        <f>[1]Result_notebook_retravaill!B812</f>
        <v>Cobalt</v>
      </c>
      <c r="C812" t="str">
        <f>[1]Result_notebook_retravaill!C812</f>
        <v>Canada Net-zero</v>
      </c>
      <c r="D812" t="str">
        <f>[1]Result_notebook_retravaill!D812</f>
        <v>Existing production</v>
      </c>
      <c r="E812" t="str">
        <f>[1]Result_notebook_retravaill!E812</f>
        <v>Current shares</v>
      </c>
      <c r="F812" t="str">
        <f>[1]Result_notebook_retravaill!F812</f>
        <v>NIMBY</v>
      </c>
      <c r="G812">
        <f>[1]Result_notebook_retravaill!G812</f>
        <v>132521.50263586891</v>
      </c>
      <c r="H812" s="3">
        <f>IF([1]Result_notebook_retravaill!I812&gt;[1]Result_notebook_retravaill!G812,[1]Result_notebook_retravaill!I812/[1]Result_notebook_retravaill!N812,[1]Result_notebook_retravaill!H812)</f>
        <v>0</v>
      </c>
      <c r="I812" s="3">
        <f>[1]Result_notebook_retravaill!K812</f>
        <v>301185.23326333851</v>
      </c>
      <c r="J812" s="3">
        <f>MIN(G812,[1]Result_notebook_retravaill!I812)</f>
        <v>0</v>
      </c>
      <c r="K812" s="3">
        <f>IF([1]Result_notebook_retravaill!I812&gt;[1]Result_notebook_retravaill!G812,0,IF([1]Result_notebook_retravaill!I812+[1]Result_notebook_retravaill!J812&gt;[1]Result_notebook_retravaill!G812,[1]Result_notebook_retravaill!G812-[1]Result_notebook_retravaill!I812,[1]Result_notebook_retravaill!J812))</f>
        <v>0</v>
      </c>
      <c r="L812" s="3">
        <f>IF([1]Result_notebook_retravaill!I812&gt;[1]Result_notebook_retravaill!G812,0,IF([1]Result_notebook_retravaill!I812+[1]Result_notebook_retravaill!J812&gt;[1]Result_notebook_retravaill!G812,0,[1]Result_notebook_retravaill!M812))</f>
        <v>132521.50263586891</v>
      </c>
    </row>
    <row r="813" spans="1:12">
      <c r="A813">
        <f>[1]Result_notebook_retravaill!A813</f>
        <v>2034</v>
      </c>
      <c r="B813" t="str">
        <f>[1]Result_notebook_retravaill!B813</f>
        <v>Cobalt</v>
      </c>
      <c r="C813" t="str">
        <f>[1]Result_notebook_retravaill!C813</f>
        <v>Canada Net-zero</v>
      </c>
      <c r="D813" t="str">
        <f>[1]Result_notebook_retravaill!D813</f>
        <v>Existing production</v>
      </c>
      <c r="E813" t="str">
        <f>[1]Result_notebook_retravaill!E813</f>
        <v>Current shares</v>
      </c>
      <c r="F813" t="str">
        <f>[1]Result_notebook_retravaill!F813</f>
        <v>Status Quo</v>
      </c>
      <c r="G813">
        <f>[1]Result_notebook_retravaill!G813</f>
        <v>132521.50263586891</v>
      </c>
      <c r="H813" s="3">
        <f>IF([1]Result_notebook_retravaill!I813&gt;[1]Result_notebook_retravaill!G813,[1]Result_notebook_retravaill!I813/[1]Result_notebook_retravaill!N813,[1]Result_notebook_retravaill!H813)</f>
        <v>3079</v>
      </c>
      <c r="I813" s="3">
        <f>[1]Result_notebook_retravaill!K813</f>
        <v>298106.23326333851</v>
      </c>
      <c r="J813" s="3">
        <f>MIN(G813,[1]Result_notebook_retravaill!I813)</f>
        <v>1306.05584956232</v>
      </c>
      <c r="K813" s="3">
        <f>IF([1]Result_notebook_retravaill!I813&gt;[1]Result_notebook_retravaill!G813,0,IF([1]Result_notebook_retravaill!I813+[1]Result_notebook_retravaill!J813&gt;[1]Result_notebook_retravaill!G813,[1]Result_notebook_retravaill!G813-[1]Result_notebook_retravaill!I813,[1]Result_notebook_retravaill!J813))</f>
        <v>46.692226187885353</v>
      </c>
      <c r="L813" s="3">
        <f>IF([1]Result_notebook_retravaill!I813&gt;[1]Result_notebook_retravaill!G813,0,IF([1]Result_notebook_retravaill!I813+[1]Result_notebook_retravaill!J813&gt;[1]Result_notebook_retravaill!G813,0,[1]Result_notebook_retravaill!M813))</f>
        <v>131168.75456011872</v>
      </c>
    </row>
    <row r="814" spans="1:12">
      <c r="A814">
        <f>[1]Result_notebook_retravaill!A814</f>
        <v>2034</v>
      </c>
      <c r="B814" t="str">
        <f>[1]Result_notebook_retravaill!B814</f>
        <v>Cobalt</v>
      </c>
      <c r="C814" t="str">
        <f>[1]Result_notebook_retravaill!C814</f>
        <v>Canada Net-zero</v>
      </c>
      <c r="D814" t="str">
        <f>[1]Result_notebook_retravaill!D814</f>
        <v>Production potential</v>
      </c>
      <c r="E814" t="str">
        <f>[1]Result_notebook_retravaill!E814</f>
        <v>Current shares</v>
      </c>
      <c r="F814" t="str">
        <f>[1]Result_notebook_retravaill!F814</f>
        <v>Expansion Extractive</v>
      </c>
      <c r="G814">
        <f>[1]Result_notebook_retravaill!G814</f>
        <v>132521.50263586891</v>
      </c>
      <c r="H814" s="3">
        <f>IF([1]Result_notebook_retravaill!I814&gt;[1]Result_notebook_retravaill!G814,[1]Result_notebook_retravaill!I814/[1]Result_notebook_retravaill!N814,[1]Result_notebook_retravaill!H814)</f>
        <v>13476.53921289199</v>
      </c>
      <c r="I814" s="3">
        <f>[1]Result_notebook_retravaill!K814</f>
        <v>287708.69405044639</v>
      </c>
      <c r="J814" s="3">
        <f>MIN(G814,[1]Result_notebook_retravaill!I814)</f>
        <v>5716.5030434730606</v>
      </c>
      <c r="K814" s="3">
        <f>IF([1]Result_notebook_retravaill!I814&gt;[1]Result_notebook_retravaill!G814,0,IF([1]Result_notebook_retravaill!I814+[1]Result_notebook_retravaill!J814&gt;[1]Result_notebook_retravaill!G814,[1]Result_notebook_retravaill!G814-[1]Result_notebook_retravaill!I814,[1]Result_notebook_retravaill!J814))</f>
        <v>204.36817705692465</v>
      </c>
      <c r="L814" s="3">
        <f>IF([1]Result_notebook_retravaill!I814&gt;[1]Result_notebook_retravaill!G814,0,IF([1]Result_notebook_retravaill!I814+[1]Result_notebook_retravaill!J814&gt;[1]Result_notebook_retravaill!G814,0,[1]Result_notebook_retravaill!M814))</f>
        <v>126600.63141533888</v>
      </c>
    </row>
    <row r="815" spans="1:12">
      <c r="A815">
        <f>[1]Result_notebook_retravaill!A815</f>
        <v>2034</v>
      </c>
      <c r="B815" t="str">
        <f>[1]Result_notebook_retravaill!B815</f>
        <v>Cobalt</v>
      </c>
      <c r="C815" t="str">
        <f>[1]Result_notebook_retravaill!C815</f>
        <v>Canada Net-zero</v>
      </c>
      <c r="D815" t="str">
        <f>[1]Result_notebook_retravaill!D815</f>
        <v>Production potential</v>
      </c>
      <c r="E815" t="str">
        <f>[1]Result_notebook_retravaill!E815</f>
        <v>Current shares</v>
      </c>
      <c r="F815" t="str">
        <f>[1]Result_notebook_retravaill!F815</f>
        <v>Expansion Extractive+Circularity</v>
      </c>
      <c r="G815">
        <f>[1]Result_notebook_retravaill!G815</f>
        <v>132521.50263586891</v>
      </c>
      <c r="H815" s="3">
        <f>IF([1]Result_notebook_retravaill!I815&gt;[1]Result_notebook_retravaill!G815,[1]Result_notebook_retravaill!I815/[1]Result_notebook_retravaill!N815,[1]Result_notebook_retravaill!H815)</f>
        <v>13476.53921289199</v>
      </c>
      <c r="I815" s="3">
        <f>[1]Result_notebook_retravaill!K815</f>
        <v>287708.69405044639</v>
      </c>
      <c r="J815" s="3">
        <f>MIN(G815,[1]Result_notebook_retravaill!I815)</f>
        <v>5716.5030434730606</v>
      </c>
      <c r="K815" s="3">
        <f>IF([1]Result_notebook_retravaill!I815&gt;[1]Result_notebook_retravaill!G815,0,IF([1]Result_notebook_retravaill!I815+[1]Result_notebook_retravaill!J815&gt;[1]Result_notebook_retravaill!G815,[1]Result_notebook_retravaill!G815-[1]Result_notebook_retravaill!I815,[1]Result_notebook_retravaill!J815))</f>
        <v>204.36817705692465</v>
      </c>
      <c r="L815" s="3">
        <f>IF([1]Result_notebook_retravaill!I815&gt;[1]Result_notebook_retravaill!G815,0,IF([1]Result_notebook_retravaill!I815+[1]Result_notebook_retravaill!J815&gt;[1]Result_notebook_retravaill!G815,0,[1]Result_notebook_retravaill!M815))</f>
        <v>126600.63141533888</v>
      </c>
    </row>
    <row r="816" spans="1:12">
      <c r="A816">
        <f>[1]Result_notebook_retravaill!A816</f>
        <v>2034</v>
      </c>
      <c r="B816" t="str">
        <f>[1]Result_notebook_retravaill!B816</f>
        <v>Cobalt</v>
      </c>
      <c r="C816" t="str">
        <f>[1]Result_notebook_retravaill!C816</f>
        <v>Canada Net-zero</v>
      </c>
      <c r="D816" t="str">
        <f>[1]Result_notebook_retravaill!D816</f>
        <v>Production potential</v>
      </c>
      <c r="E816" t="str">
        <f>[1]Result_notebook_retravaill!E816</f>
        <v>100% CAN</v>
      </c>
      <c r="F816" t="str">
        <f>[1]Result_notebook_retravaill!F816</f>
        <v>Integrated</v>
      </c>
      <c r="G816">
        <f>[1]Result_notebook_retravaill!G816</f>
        <v>132521.50263586891</v>
      </c>
      <c r="H816" s="3">
        <f>IF([1]Result_notebook_retravaill!I816&gt;[1]Result_notebook_retravaill!G816,[1]Result_notebook_retravaill!I816/[1]Result_notebook_retravaill!N816,[1]Result_notebook_retravaill!H816)</f>
        <v>13476.53921289199</v>
      </c>
      <c r="I816" s="3">
        <f>[1]Result_notebook_retravaill!K816</f>
        <v>287708.69405044639</v>
      </c>
      <c r="J816" s="3">
        <f>MIN(G816,[1]Result_notebook_retravaill!I816)</f>
        <v>5920.8712205299889</v>
      </c>
      <c r="K816" s="3">
        <f>IF([1]Result_notebook_retravaill!I816&gt;[1]Result_notebook_retravaill!G816,0,IF([1]Result_notebook_retravaill!I816+[1]Result_notebook_retravaill!J816&gt;[1]Result_notebook_retravaill!G816,[1]Result_notebook_retravaill!G816-[1]Result_notebook_retravaill!I816,[1]Result_notebook_retravaill!J816))</f>
        <v>0</v>
      </c>
      <c r="L816" s="3">
        <f>IF([1]Result_notebook_retravaill!I816&gt;[1]Result_notebook_retravaill!G816,0,IF([1]Result_notebook_retravaill!I816+[1]Result_notebook_retravaill!J816&gt;[1]Result_notebook_retravaill!G816,0,[1]Result_notebook_retravaill!M816))</f>
        <v>126600.6314153389</v>
      </c>
    </row>
    <row r="817" spans="1:12">
      <c r="A817">
        <f>[1]Result_notebook_retravaill!A817</f>
        <v>2034</v>
      </c>
      <c r="B817" t="str">
        <f>[1]Result_notebook_retravaill!B817</f>
        <v>Cobalt</v>
      </c>
      <c r="C817" t="str">
        <f>[1]Result_notebook_retravaill!C817</f>
        <v>Current Measures</v>
      </c>
      <c r="D817" t="str">
        <f>[1]Result_notebook_retravaill!D817</f>
        <v>Existing production</v>
      </c>
      <c r="E817" t="str">
        <f>[1]Result_notebook_retravaill!E817</f>
        <v>Current shares</v>
      </c>
      <c r="F817" t="str">
        <f>[1]Result_notebook_retravaill!F817</f>
        <v>NIMBY</v>
      </c>
      <c r="G817">
        <f>[1]Result_notebook_retravaill!G817</f>
        <v>51454.423936662723</v>
      </c>
      <c r="H817" s="3">
        <f>IF([1]Result_notebook_retravaill!I817&gt;[1]Result_notebook_retravaill!G817,[1]Result_notebook_retravaill!I817/[1]Result_notebook_retravaill!N817,[1]Result_notebook_retravaill!H817)</f>
        <v>0</v>
      </c>
      <c r="I817" s="3">
        <f>[1]Result_notebook_retravaill!K817</f>
        <v>116941.8725833244</v>
      </c>
      <c r="J817" s="3">
        <f>MIN(G817,[1]Result_notebook_retravaill!I817)</f>
        <v>0</v>
      </c>
      <c r="K817" s="3">
        <f>IF([1]Result_notebook_retravaill!I817&gt;[1]Result_notebook_retravaill!G817,0,IF([1]Result_notebook_retravaill!I817+[1]Result_notebook_retravaill!J817&gt;[1]Result_notebook_retravaill!G817,[1]Result_notebook_retravaill!G817-[1]Result_notebook_retravaill!I817,[1]Result_notebook_retravaill!J817))</f>
        <v>0</v>
      </c>
      <c r="L817" s="3">
        <f>IF([1]Result_notebook_retravaill!I817&gt;[1]Result_notebook_retravaill!G817,0,IF([1]Result_notebook_retravaill!I817+[1]Result_notebook_retravaill!J817&gt;[1]Result_notebook_retravaill!G817,0,[1]Result_notebook_retravaill!M817))</f>
        <v>51454.423936662723</v>
      </c>
    </row>
    <row r="818" spans="1:12">
      <c r="A818">
        <f>[1]Result_notebook_retravaill!A818</f>
        <v>2034</v>
      </c>
      <c r="B818" t="str">
        <f>[1]Result_notebook_retravaill!B818</f>
        <v>Cobalt</v>
      </c>
      <c r="C818" t="str">
        <f>[1]Result_notebook_retravaill!C818</f>
        <v>Current Measures</v>
      </c>
      <c r="D818" t="str">
        <f>[1]Result_notebook_retravaill!D818</f>
        <v>Existing production</v>
      </c>
      <c r="E818" t="str">
        <f>[1]Result_notebook_retravaill!E818</f>
        <v>Current shares</v>
      </c>
      <c r="F818" t="str">
        <f>[1]Result_notebook_retravaill!F818</f>
        <v>Status Quo</v>
      </c>
      <c r="G818">
        <f>[1]Result_notebook_retravaill!G818</f>
        <v>51454.423936662723</v>
      </c>
      <c r="H818" s="3">
        <f>IF([1]Result_notebook_retravaill!I818&gt;[1]Result_notebook_retravaill!G818,[1]Result_notebook_retravaill!I818/[1]Result_notebook_retravaill!N818,[1]Result_notebook_retravaill!H818)</f>
        <v>3079</v>
      </c>
      <c r="I818" s="3">
        <f>[1]Result_notebook_retravaill!K818</f>
        <v>113862.8725833244</v>
      </c>
      <c r="J818" s="3">
        <f>MIN(G818,[1]Result_notebook_retravaill!I818)</f>
        <v>1306.05584956232</v>
      </c>
      <c r="K818" s="3">
        <f>IF([1]Result_notebook_retravaill!I818&gt;[1]Result_notebook_retravaill!G818,0,IF([1]Result_notebook_retravaill!I818+[1]Result_notebook_retravaill!J818&gt;[1]Result_notebook_retravaill!G818,[1]Result_notebook_retravaill!G818-[1]Result_notebook_retravaill!I818,[1]Result_notebook_retravaill!J818))</f>
        <v>46.692226187885353</v>
      </c>
      <c r="L818" s="3">
        <f>IF([1]Result_notebook_retravaill!I818&gt;[1]Result_notebook_retravaill!G818,0,IF([1]Result_notebook_retravaill!I818+[1]Result_notebook_retravaill!J818&gt;[1]Result_notebook_retravaill!G818,0,[1]Result_notebook_retravaill!M818))</f>
        <v>50101.675860912517</v>
      </c>
    </row>
    <row r="819" spans="1:12">
      <c r="A819">
        <f>[1]Result_notebook_retravaill!A819</f>
        <v>2034</v>
      </c>
      <c r="B819" t="str">
        <f>[1]Result_notebook_retravaill!B819</f>
        <v>Cobalt</v>
      </c>
      <c r="C819" t="str">
        <f>[1]Result_notebook_retravaill!C819</f>
        <v>Current Measures</v>
      </c>
      <c r="D819" t="str">
        <f>[1]Result_notebook_retravaill!D819</f>
        <v>Production potential</v>
      </c>
      <c r="E819" t="str">
        <f>[1]Result_notebook_retravaill!E819</f>
        <v>Current shares</v>
      </c>
      <c r="F819" t="str">
        <f>[1]Result_notebook_retravaill!F819</f>
        <v>Expansion Extractive</v>
      </c>
      <c r="G819">
        <f>[1]Result_notebook_retravaill!G819</f>
        <v>51454.423936662723</v>
      </c>
      <c r="H819" s="3">
        <f>IF([1]Result_notebook_retravaill!I819&gt;[1]Result_notebook_retravaill!G819,[1]Result_notebook_retravaill!I819/[1]Result_notebook_retravaill!N819,[1]Result_notebook_retravaill!H819)</f>
        <v>13476.53921289199</v>
      </c>
      <c r="I819" s="3">
        <f>[1]Result_notebook_retravaill!K819</f>
        <v>103465.3333704324</v>
      </c>
      <c r="J819" s="3">
        <f>MIN(G819,[1]Result_notebook_retravaill!I819)</f>
        <v>5716.5030434730606</v>
      </c>
      <c r="K819" s="3">
        <f>IF([1]Result_notebook_retravaill!I819&gt;[1]Result_notebook_retravaill!G819,0,IF([1]Result_notebook_retravaill!I819+[1]Result_notebook_retravaill!J819&gt;[1]Result_notebook_retravaill!G819,[1]Result_notebook_retravaill!G819-[1]Result_notebook_retravaill!I819,[1]Result_notebook_retravaill!J819))</f>
        <v>204.36817705692465</v>
      </c>
      <c r="L819" s="3">
        <f>IF([1]Result_notebook_retravaill!I819&gt;[1]Result_notebook_retravaill!G819,0,IF([1]Result_notebook_retravaill!I819+[1]Result_notebook_retravaill!J819&gt;[1]Result_notebook_retravaill!G819,0,[1]Result_notebook_retravaill!M819))</f>
        <v>45533.552716132734</v>
      </c>
    </row>
    <row r="820" spans="1:12">
      <c r="A820">
        <f>[1]Result_notebook_retravaill!A820</f>
        <v>2034</v>
      </c>
      <c r="B820" t="str">
        <f>[1]Result_notebook_retravaill!B820</f>
        <v>Cobalt</v>
      </c>
      <c r="C820" t="str">
        <f>[1]Result_notebook_retravaill!C820</f>
        <v>Current Measures</v>
      </c>
      <c r="D820" t="str">
        <f>[1]Result_notebook_retravaill!D820</f>
        <v>Production potential</v>
      </c>
      <c r="E820" t="str">
        <f>[1]Result_notebook_retravaill!E820</f>
        <v>Current shares</v>
      </c>
      <c r="F820" t="str">
        <f>[1]Result_notebook_retravaill!F820</f>
        <v>Expansion Extractive+Circularity</v>
      </c>
      <c r="G820">
        <f>[1]Result_notebook_retravaill!G820</f>
        <v>51454.423936662723</v>
      </c>
      <c r="H820" s="3">
        <f>IF([1]Result_notebook_retravaill!I820&gt;[1]Result_notebook_retravaill!G820,[1]Result_notebook_retravaill!I820/[1]Result_notebook_retravaill!N820,[1]Result_notebook_retravaill!H820)</f>
        <v>13476.53921289199</v>
      </c>
      <c r="I820" s="3">
        <f>[1]Result_notebook_retravaill!K820</f>
        <v>103465.3333704324</v>
      </c>
      <c r="J820" s="3">
        <f>MIN(G820,[1]Result_notebook_retravaill!I820)</f>
        <v>5716.5030434730606</v>
      </c>
      <c r="K820" s="3">
        <f>IF([1]Result_notebook_retravaill!I820&gt;[1]Result_notebook_retravaill!G820,0,IF([1]Result_notebook_retravaill!I820+[1]Result_notebook_retravaill!J820&gt;[1]Result_notebook_retravaill!G820,[1]Result_notebook_retravaill!G820-[1]Result_notebook_retravaill!I820,[1]Result_notebook_retravaill!J820))</f>
        <v>204.36817705692465</v>
      </c>
      <c r="L820" s="3">
        <f>IF([1]Result_notebook_retravaill!I820&gt;[1]Result_notebook_retravaill!G820,0,IF([1]Result_notebook_retravaill!I820+[1]Result_notebook_retravaill!J820&gt;[1]Result_notebook_retravaill!G820,0,[1]Result_notebook_retravaill!M820))</f>
        <v>45533.552716132734</v>
      </c>
    </row>
    <row r="821" spans="1:12">
      <c r="A821">
        <f>[1]Result_notebook_retravaill!A821</f>
        <v>2034</v>
      </c>
      <c r="B821" t="str">
        <f>[1]Result_notebook_retravaill!B821</f>
        <v>Cobalt</v>
      </c>
      <c r="C821" t="str">
        <f>[1]Result_notebook_retravaill!C821</f>
        <v>Current Measures</v>
      </c>
      <c r="D821" t="str">
        <f>[1]Result_notebook_retravaill!D821</f>
        <v>Production potential</v>
      </c>
      <c r="E821" t="str">
        <f>[1]Result_notebook_retravaill!E821</f>
        <v>100% CAN</v>
      </c>
      <c r="F821" t="str">
        <f>[1]Result_notebook_retravaill!F821</f>
        <v>Integrated</v>
      </c>
      <c r="G821">
        <f>[1]Result_notebook_retravaill!G821</f>
        <v>51454.423936662723</v>
      </c>
      <c r="H821" s="3">
        <f>IF([1]Result_notebook_retravaill!I821&gt;[1]Result_notebook_retravaill!G821,[1]Result_notebook_retravaill!I821/[1]Result_notebook_retravaill!N821,[1]Result_notebook_retravaill!H821)</f>
        <v>13476.53921289199</v>
      </c>
      <c r="I821" s="3">
        <f>[1]Result_notebook_retravaill!K821</f>
        <v>103465.3333704324</v>
      </c>
      <c r="J821" s="3">
        <f>MIN(G821,[1]Result_notebook_retravaill!I821)</f>
        <v>5920.8712205299889</v>
      </c>
      <c r="K821" s="3">
        <f>IF([1]Result_notebook_retravaill!I821&gt;[1]Result_notebook_retravaill!G821,0,IF([1]Result_notebook_retravaill!I821+[1]Result_notebook_retravaill!J821&gt;[1]Result_notebook_retravaill!G821,[1]Result_notebook_retravaill!G821-[1]Result_notebook_retravaill!I821,[1]Result_notebook_retravaill!J821))</f>
        <v>0</v>
      </c>
      <c r="L821" s="3">
        <f>IF([1]Result_notebook_retravaill!I821&gt;[1]Result_notebook_retravaill!G821,0,IF([1]Result_notebook_retravaill!I821+[1]Result_notebook_retravaill!J821&gt;[1]Result_notebook_retravaill!G821,0,[1]Result_notebook_retravaill!M821))</f>
        <v>45533.552716132734</v>
      </c>
    </row>
    <row r="822" spans="1:12">
      <c r="A822">
        <f>[1]Result_notebook_retravaill!A822</f>
        <v>2034</v>
      </c>
      <c r="B822" t="str">
        <f>[1]Result_notebook_retravaill!B822</f>
        <v>Cobalt</v>
      </c>
      <c r="C822" t="str">
        <f>[1]Result_notebook_retravaill!C822</f>
        <v>Global Net-zero</v>
      </c>
      <c r="D822" t="str">
        <f>[1]Result_notebook_retravaill!D822</f>
        <v>Existing production</v>
      </c>
      <c r="E822" t="str">
        <f>[1]Result_notebook_retravaill!E822</f>
        <v>Current shares</v>
      </c>
      <c r="F822" t="str">
        <f>[1]Result_notebook_retravaill!F822</f>
        <v>NIMBY</v>
      </c>
      <c r="G822">
        <f>[1]Result_notebook_retravaill!G822</f>
        <v>125925.583305996</v>
      </c>
      <c r="H822" s="3">
        <f>IF([1]Result_notebook_retravaill!I822&gt;[1]Result_notebook_retravaill!G822,[1]Result_notebook_retravaill!I822/[1]Result_notebook_retravaill!N822,[1]Result_notebook_retravaill!H822)</f>
        <v>0</v>
      </c>
      <c r="I822" s="3">
        <f>[1]Result_notebook_retravaill!K822</f>
        <v>286194.50751362729</v>
      </c>
      <c r="J822" s="3">
        <f>MIN(G822,[1]Result_notebook_retravaill!I822)</f>
        <v>0</v>
      </c>
      <c r="K822" s="3">
        <f>IF([1]Result_notebook_retravaill!I822&gt;[1]Result_notebook_retravaill!G822,0,IF([1]Result_notebook_retravaill!I822+[1]Result_notebook_retravaill!J822&gt;[1]Result_notebook_retravaill!G822,[1]Result_notebook_retravaill!G822-[1]Result_notebook_retravaill!I822,[1]Result_notebook_retravaill!J822))</f>
        <v>0</v>
      </c>
      <c r="L822" s="3">
        <f>IF([1]Result_notebook_retravaill!I822&gt;[1]Result_notebook_retravaill!G822,0,IF([1]Result_notebook_retravaill!I822+[1]Result_notebook_retravaill!J822&gt;[1]Result_notebook_retravaill!G822,0,[1]Result_notebook_retravaill!M822))</f>
        <v>125925.583305996</v>
      </c>
    </row>
    <row r="823" spans="1:12">
      <c r="A823">
        <f>[1]Result_notebook_retravaill!A823</f>
        <v>2034</v>
      </c>
      <c r="B823" t="str">
        <f>[1]Result_notebook_retravaill!B823</f>
        <v>Cobalt</v>
      </c>
      <c r="C823" t="str">
        <f>[1]Result_notebook_retravaill!C823</f>
        <v>Global Net-zero</v>
      </c>
      <c r="D823" t="str">
        <f>[1]Result_notebook_retravaill!D823</f>
        <v>Existing production</v>
      </c>
      <c r="E823" t="str">
        <f>[1]Result_notebook_retravaill!E823</f>
        <v>Current shares</v>
      </c>
      <c r="F823" t="str">
        <f>[1]Result_notebook_retravaill!F823</f>
        <v>Status Quo</v>
      </c>
      <c r="G823">
        <f>[1]Result_notebook_retravaill!G823</f>
        <v>125925.583305996</v>
      </c>
      <c r="H823" s="3">
        <f>IF([1]Result_notebook_retravaill!I823&gt;[1]Result_notebook_retravaill!G823,[1]Result_notebook_retravaill!I823/[1]Result_notebook_retravaill!N823,[1]Result_notebook_retravaill!H823)</f>
        <v>3079</v>
      </c>
      <c r="I823" s="3">
        <f>[1]Result_notebook_retravaill!K823</f>
        <v>283115.50751362729</v>
      </c>
      <c r="J823" s="3">
        <f>MIN(G823,[1]Result_notebook_retravaill!I823)</f>
        <v>1306.05584956232</v>
      </c>
      <c r="K823" s="3">
        <f>IF([1]Result_notebook_retravaill!I823&gt;[1]Result_notebook_retravaill!G823,0,IF([1]Result_notebook_retravaill!I823+[1]Result_notebook_retravaill!J823&gt;[1]Result_notebook_retravaill!G823,[1]Result_notebook_retravaill!G823-[1]Result_notebook_retravaill!I823,[1]Result_notebook_retravaill!J823))</f>
        <v>46.692226187885353</v>
      </c>
      <c r="L823" s="3">
        <f>IF([1]Result_notebook_retravaill!I823&gt;[1]Result_notebook_retravaill!G823,0,IF([1]Result_notebook_retravaill!I823+[1]Result_notebook_retravaill!J823&gt;[1]Result_notebook_retravaill!G823,0,[1]Result_notebook_retravaill!M823))</f>
        <v>124572.83523024582</v>
      </c>
    </row>
    <row r="824" spans="1:12">
      <c r="A824">
        <f>[1]Result_notebook_retravaill!A824</f>
        <v>2034</v>
      </c>
      <c r="B824" t="str">
        <f>[1]Result_notebook_retravaill!B824</f>
        <v>Cobalt</v>
      </c>
      <c r="C824" t="str">
        <f>[1]Result_notebook_retravaill!C824</f>
        <v>Global Net-zero</v>
      </c>
      <c r="D824" t="str">
        <f>[1]Result_notebook_retravaill!D824</f>
        <v>Production potential</v>
      </c>
      <c r="E824" t="str">
        <f>[1]Result_notebook_retravaill!E824</f>
        <v>Current shares</v>
      </c>
      <c r="F824" t="str">
        <f>[1]Result_notebook_retravaill!F824</f>
        <v>Expansion Extractive</v>
      </c>
      <c r="G824">
        <f>[1]Result_notebook_retravaill!G824</f>
        <v>125925.583305996</v>
      </c>
      <c r="H824" s="3">
        <f>IF([1]Result_notebook_retravaill!I824&gt;[1]Result_notebook_retravaill!G824,[1]Result_notebook_retravaill!I824/[1]Result_notebook_retravaill!N824,[1]Result_notebook_retravaill!H824)</f>
        <v>13476.53921289199</v>
      </c>
      <c r="I824" s="3">
        <f>[1]Result_notebook_retravaill!K824</f>
        <v>272717.96830073529</v>
      </c>
      <c r="J824" s="3">
        <f>MIN(G824,[1]Result_notebook_retravaill!I824)</f>
        <v>5716.5030434730606</v>
      </c>
      <c r="K824" s="3">
        <f>IF([1]Result_notebook_retravaill!I824&gt;[1]Result_notebook_retravaill!G824,0,IF([1]Result_notebook_retravaill!I824+[1]Result_notebook_retravaill!J824&gt;[1]Result_notebook_retravaill!G824,[1]Result_notebook_retravaill!G824-[1]Result_notebook_retravaill!I824,[1]Result_notebook_retravaill!J824))</f>
        <v>204.36817705692465</v>
      </c>
      <c r="L824" s="3">
        <f>IF([1]Result_notebook_retravaill!I824&gt;[1]Result_notebook_retravaill!G824,0,IF([1]Result_notebook_retravaill!I824+[1]Result_notebook_retravaill!J824&gt;[1]Result_notebook_retravaill!G824,0,[1]Result_notebook_retravaill!M824))</f>
        <v>120004.71208546597</v>
      </c>
    </row>
    <row r="825" spans="1:12">
      <c r="A825">
        <f>[1]Result_notebook_retravaill!A825</f>
        <v>2034</v>
      </c>
      <c r="B825" t="str">
        <f>[1]Result_notebook_retravaill!B825</f>
        <v>Cobalt</v>
      </c>
      <c r="C825" t="str">
        <f>[1]Result_notebook_retravaill!C825</f>
        <v>Global Net-zero</v>
      </c>
      <c r="D825" t="str">
        <f>[1]Result_notebook_retravaill!D825</f>
        <v>Production potential</v>
      </c>
      <c r="E825" t="str">
        <f>[1]Result_notebook_retravaill!E825</f>
        <v>Current shares</v>
      </c>
      <c r="F825" t="str">
        <f>[1]Result_notebook_retravaill!F825</f>
        <v>Expansion Extractive+Circularity</v>
      </c>
      <c r="G825">
        <f>[1]Result_notebook_retravaill!G825</f>
        <v>125925.583305996</v>
      </c>
      <c r="H825" s="3">
        <f>IF([1]Result_notebook_retravaill!I825&gt;[1]Result_notebook_retravaill!G825,[1]Result_notebook_retravaill!I825/[1]Result_notebook_retravaill!N825,[1]Result_notebook_retravaill!H825)</f>
        <v>13476.53921289199</v>
      </c>
      <c r="I825" s="3">
        <f>[1]Result_notebook_retravaill!K825</f>
        <v>272717.96830073529</v>
      </c>
      <c r="J825" s="3">
        <f>MIN(G825,[1]Result_notebook_retravaill!I825)</f>
        <v>5716.5030434730606</v>
      </c>
      <c r="K825" s="3">
        <f>IF([1]Result_notebook_retravaill!I825&gt;[1]Result_notebook_retravaill!G825,0,IF([1]Result_notebook_retravaill!I825+[1]Result_notebook_retravaill!J825&gt;[1]Result_notebook_retravaill!G825,[1]Result_notebook_retravaill!G825-[1]Result_notebook_retravaill!I825,[1]Result_notebook_retravaill!J825))</f>
        <v>204.36817705692465</v>
      </c>
      <c r="L825" s="3">
        <f>IF([1]Result_notebook_retravaill!I825&gt;[1]Result_notebook_retravaill!G825,0,IF([1]Result_notebook_retravaill!I825+[1]Result_notebook_retravaill!J825&gt;[1]Result_notebook_retravaill!G825,0,[1]Result_notebook_retravaill!M825))</f>
        <v>120004.71208546597</v>
      </c>
    </row>
    <row r="826" spans="1:12">
      <c r="A826">
        <f>[1]Result_notebook_retravaill!A826</f>
        <v>2034</v>
      </c>
      <c r="B826" t="str">
        <f>[1]Result_notebook_retravaill!B826</f>
        <v>Cobalt</v>
      </c>
      <c r="C826" t="str">
        <f>[1]Result_notebook_retravaill!C826</f>
        <v>Global Net-zero</v>
      </c>
      <c r="D826" t="str">
        <f>[1]Result_notebook_retravaill!D826</f>
        <v>Production potential</v>
      </c>
      <c r="E826" t="str">
        <f>[1]Result_notebook_retravaill!E826</f>
        <v>100% CAN</v>
      </c>
      <c r="F826" t="str">
        <f>[1]Result_notebook_retravaill!F826</f>
        <v>Integrated</v>
      </c>
      <c r="G826">
        <f>[1]Result_notebook_retravaill!G826</f>
        <v>125925.583305996</v>
      </c>
      <c r="H826" s="3">
        <f>IF([1]Result_notebook_retravaill!I826&gt;[1]Result_notebook_retravaill!G826,[1]Result_notebook_retravaill!I826/[1]Result_notebook_retravaill!N826,[1]Result_notebook_retravaill!H826)</f>
        <v>13476.53921289199</v>
      </c>
      <c r="I826" s="3">
        <f>[1]Result_notebook_retravaill!K826</f>
        <v>272717.96830073529</v>
      </c>
      <c r="J826" s="3">
        <f>MIN(G826,[1]Result_notebook_retravaill!I826)</f>
        <v>5920.8712205299889</v>
      </c>
      <c r="K826" s="3">
        <f>IF([1]Result_notebook_retravaill!I826&gt;[1]Result_notebook_retravaill!G826,0,IF([1]Result_notebook_retravaill!I826+[1]Result_notebook_retravaill!J826&gt;[1]Result_notebook_retravaill!G826,[1]Result_notebook_retravaill!G826-[1]Result_notebook_retravaill!I826,[1]Result_notebook_retravaill!J826))</f>
        <v>0</v>
      </c>
      <c r="L826" s="3">
        <f>IF([1]Result_notebook_retravaill!I826&gt;[1]Result_notebook_retravaill!G826,0,IF([1]Result_notebook_retravaill!I826+[1]Result_notebook_retravaill!J826&gt;[1]Result_notebook_retravaill!G826,0,[1]Result_notebook_retravaill!M826))</f>
        <v>120004.712085466</v>
      </c>
    </row>
    <row r="827" spans="1:12">
      <c r="A827">
        <f>[1]Result_notebook_retravaill!A827</f>
        <v>2034</v>
      </c>
      <c r="B827" t="str">
        <f>[1]Result_notebook_retravaill!B827</f>
        <v>Copper</v>
      </c>
      <c r="C827" t="str">
        <f>[1]Result_notebook_retravaill!C827</f>
        <v>Canada Net-zero</v>
      </c>
      <c r="D827" t="str">
        <f>[1]Result_notebook_retravaill!D827</f>
        <v>Existing production</v>
      </c>
      <c r="E827" t="str">
        <f>[1]Result_notebook_retravaill!E827</f>
        <v>Current shares</v>
      </c>
      <c r="F827" t="str">
        <f>[1]Result_notebook_retravaill!F827</f>
        <v>NIMBY</v>
      </c>
      <c r="G827">
        <f>[1]Result_notebook_retravaill!G827</f>
        <v>1323318.734939687</v>
      </c>
      <c r="H827" s="3">
        <f>IF([1]Result_notebook_retravaill!I827&gt;[1]Result_notebook_retravaill!G827,[1]Result_notebook_retravaill!I827/[1]Result_notebook_retravaill!N827,[1]Result_notebook_retravaill!H827)</f>
        <v>0</v>
      </c>
      <c r="I827" s="3">
        <f>[1]Result_notebook_retravaill!K827</f>
        <v>1594359.9216140809</v>
      </c>
      <c r="J827" s="3">
        <f>MIN(G827,[1]Result_notebook_retravaill!I827)</f>
        <v>0</v>
      </c>
      <c r="K827" s="3">
        <f>IF([1]Result_notebook_retravaill!I827&gt;[1]Result_notebook_retravaill!G827,0,IF([1]Result_notebook_retravaill!I827+[1]Result_notebook_retravaill!J827&gt;[1]Result_notebook_retravaill!G827,[1]Result_notebook_retravaill!G827-[1]Result_notebook_retravaill!I827,[1]Result_notebook_retravaill!J827))</f>
        <v>0</v>
      </c>
      <c r="L827" s="3">
        <f>IF([1]Result_notebook_retravaill!I827&gt;[1]Result_notebook_retravaill!G827,0,IF([1]Result_notebook_retravaill!I827+[1]Result_notebook_retravaill!J827&gt;[1]Result_notebook_retravaill!G827,0,[1]Result_notebook_retravaill!M827))</f>
        <v>1323318.734939687</v>
      </c>
    </row>
    <row r="828" spans="1:12">
      <c r="A828">
        <f>[1]Result_notebook_retravaill!A828</f>
        <v>2034</v>
      </c>
      <c r="B828" t="str">
        <f>[1]Result_notebook_retravaill!B828</f>
        <v>Copper</v>
      </c>
      <c r="C828" t="str">
        <f>[1]Result_notebook_retravaill!C828</f>
        <v>Canada Net-zero</v>
      </c>
      <c r="D828" t="str">
        <f>[1]Result_notebook_retravaill!D828</f>
        <v>Existing production</v>
      </c>
      <c r="E828" t="str">
        <f>[1]Result_notebook_retravaill!E828</f>
        <v>Current shares</v>
      </c>
      <c r="F828" t="str">
        <f>[1]Result_notebook_retravaill!F828</f>
        <v>Status Quo</v>
      </c>
      <c r="G828">
        <f>[1]Result_notebook_retravaill!G828</f>
        <v>1323318.734939687</v>
      </c>
      <c r="H828" s="3">
        <f>IF([1]Result_notebook_retravaill!I828&gt;[1]Result_notebook_retravaill!G828,[1]Result_notebook_retravaill!I828/[1]Result_notebook_retravaill!N828,[1]Result_notebook_retravaill!H828)</f>
        <v>265778</v>
      </c>
      <c r="I828" s="3">
        <f>[1]Result_notebook_retravaill!K828</f>
        <v>1328581.9216140809</v>
      </c>
      <c r="J828" s="3">
        <f>MIN(G828,[1]Result_notebook_retravaill!I828)</f>
        <v>139695.22574164809</v>
      </c>
      <c r="K828" s="3">
        <f>IF([1]Result_notebook_retravaill!I828&gt;[1]Result_notebook_retravaill!G828,0,IF([1]Result_notebook_retravaill!I828+[1]Result_notebook_retravaill!J828&gt;[1]Result_notebook_retravaill!G828,[1]Result_notebook_retravaill!G828-[1]Result_notebook_retravaill!I828,[1]Result_notebook_retravaill!J828))</f>
        <v>82161.83358038569</v>
      </c>
      <c r="L828" s="3">
        <f>IF([1]Result_notebook_retravaill!I828&gt;[1]Result_notebook_retravaill!G828,0,IF([1]Result_notebook_retravaill!I828+[1]Result_notebook_retravaill!J828&gt;[1]Result_notebook_retravaill!G828,0,[1]Result_notebook_retravaill!M828))</f>
        <v>1101461.6756176534</v>
      </c>
    </row>
    <row r="829" spans="1:12">
      <c r="A829">
        <f>[1]Result_notebook_retravaill!A829</f>
        <v>2034</v>
      </c>
      <c r="B829" t="str">
        <f>[1]Result_notebook_retravaill!B829</f>
        <v>Copper</v>
      </c>
      <c r="C829" t="str">
        <f>[1]Result_notebook_retravaill!C829</f>
        <v>Canada Net-zero</v>
      </c>
      <c r="D829" t="str">
        <f>[1]Result_notebook_retravaill!D829</f>
        <v>Production potential</v>
      </c>
      <c r="E829" t="str">
        <f>[1]Result_notebook_retravaill!E829</f>
        <v>Current shares</v>
      </c>
      <c r="F829" t="str">
        <f>[1]Result_notebook_retravaill!F829</f>
        <v>Expansion Extractive</v>
      </c>
      <c r="G829">
        <f>[1]Result_notebook_retravaill!G829</f>
        <v>1323318.734939687</v>
      </c>
      <c r="H829" s="3">
        <f>IF([1]Result_notebook_retravaill!I829&gt;[1]Result_notebook_retravaill!G829,[1]Result_notebook_retravaill!I829/[1]Result_notebook_retravaill!N829,[1]Result_notebook_retravaill!H829)</f>
        <v>837829.44631390914</v>
      </c>
      <c r="I829" s="3">
        <f>[1]Result_notebook_retravaill!K829</f>
        <v>756530.47530017153</v>
      </c>
      <c r="J829" s="3">
        <f>MIN(G829,[1]Result_notebook_retravaill!I829)</f>
        <v>440370.43561100482</v>
      </c>
      <c r="K829" s="3">
        <f>IF([1]Result_notebook_retravaill!I829&gt;[1]Result_notebook_retravaill!G829,0,IF([1]Result_notebook_retravaill!I829+[1]Result_notebook_retravaill!J829&gt;[1]Result_notebook_retravaill!G829,[1]Result_notebook_retravaill!G829-[1]Result_notebook_retravaill!I829,[1]Result_notebook_retravaill!J829))</f>
        <v>259004.1445747579</v>
      </c>
      <c r="L829" s="3">
        <f>IF([1]Result_notebook_retravaill!I829&gt;[1]Result_notebook_retravaill!G829,0,IF([1]Result_notebook_retravaill!I829+[1]Result_notebook_retravaill!J829&gt;[1]Result_notebook_retravaill!G829,0,[1]Result_notebook_retravaill!M829))</f>
        <v>623944.15475392435</v>
      </c>
    </row>
    <row r="830" spans="1:12">
      <c r="A830">
        <f>[1]Result_notebook_retravaill!A830</f>
        <v>2034</v>
      </c>
      <c r="B830" t="str">
        <f>[1]Result_notebook_retravaill!B830</f>
        <v>Copper</v>
      </c>
      <c r="C830" t="str">
        <f>[1]Result_notebook_retravaill!C830</f>
        <v>Canada Net-zero</v>
      </c>
      <c r="D830" t="str">
        <f>[1]Result_notebook_retravaill!D830</f>
        <v>Production potential</v>
      </c>
      <c r="E830" t="str">
        <f>[1]Result_notebook_retravaill!E830</f>
        <v>Current shares</v>
      </c>
      <c r="F830" t="str">
        <f>[1]Result_notebook_retravaill!F830</f>
        <v>Expansion Extractive+Circularity</v>
      </c>
      <c r="G830">
        <f>[1]Result_notebook_retravaill!G830</f>
        <v>1323318.734939687</v>
      </c>
      <c r="H830" s="3">
        <f>IF([1]Result_notebook_retravaill!I830&gt;[1]Result_notebook_retravaill!G830,[1]Result_notebook_retravaill!I830/[1]Result_notebook_retravaill!N830,[1]Result_notebook_retravaill!H830)</f>
        <v>837829.44631390914</v>
      </c>
      <c r="I830" s="3">
        <f>[1]Result_notebook_retravaill!K830</f>
        <v>756530.47530017153</v>
      </c>
      <c r="J830" s="3">
        <f>MIN(G830,[1]Result_notebook_retravaill!I830)</f>
        <v>440370.43561100482</v>
      </c>
      <c r="K830" s="3">
        <f>IF([1]Result_notebook_retravaill!I830&gt;[1]Result_notebook_retravaill!G830,0,IF([1]Result_notebook_retravaill!I830+[1]Result_notebook_retravaill!J830&gt;[1]Result_notebook_retravaill!G830,[1]Result_notebook_retravaill!G830-[1]Result_notebook_retravaill!I830,[1]Result_notebook_retravaill!J830))</f>
        <v>259004.1445747579</v>
      </c>
      <c r="L830" s="3">
        <f>IF([1]Result_notebook_retravaill!I830&gt;[1]Result_notebook_retravaill!G830,0,IF([1]Result_notebook_retravaill!I830+[1]Result_notebook_retravaill!J830&gt;[1]Result_notebook_retravaill!G830,0,[1]Result_notebook_retravaill!M830))</f>
        <v>623944.15475392435</v>
      </c>
    </row>
    <row r="831" spans="1:12">
      <c r="A831">
        <f>[1]Result_notebook_retravaill!A831</f>
        <v>2034</v>
      </c>
      <c r="B831" t="str">
        <f>[1]Result_notebook_retravaill!B831</f>
        <v>Copper</v>
      </c>
      <c r="C831" t="str">
        <f>[1]Result_notebook_retravaill!C831</f>
        <v>Canada Net-zero</v>
      </c>
      <c r="D831" t="str">
        <f>[1]Result_notebook_retravaill!D831</f>
        <v>Production potential</v>
      </c>
      <c r="E831" t="str">
        <f>[1]Result_notebook_retravaill!E831</f>
        <v>100% CAN</v>
      </c>
      <c r="F831" t="str">
        <f>[1]Result_notebook_retravaill!F831</f>
        <v>Integrated</v>
      </c>
      <c r="G831">
        <f>[1]Result_notebook_retravaill!G831</f>
        <v>1323318.734939687</v>
      </c>
      <c r="H831" s="3">
        <f>IF([1]Result_notebook_retravaill!I831&gt;[1]Result_notebook_retravaill!G831,[1]Result_notebook_retravaill!I831/[1]Result_notebook_retravaill!N831,[1]Result_notebook_retravaill!H831)</f>
        <v>837829.44631390914</v>
      </c>
      <c r="I831" s="3">
        <f>[1]Result_notebook_retravaill!K831</f>
        <v>756530.47530017153</v>
      </c>
      <c r="J831" s="3">
        <f>MIN(G831,[1]Result_notebook_retravaill!I831)</f>
        <v>699374.58018576319</v>
      </c>
      <c r="K831" s="3">
        <f>IF([1]Result_notebook_retravaill!I831&gt;[1]Result_notebook_retravaill!G831,0,IF([1]Result_notebook_retravaill!I831+[1]Result_notebook_retravaill!J831&gt;[1]Result_notebook_retravaill!G831,[1]Result_notebook_retravaill!G831-[1]Result_notebook_retravaill!I831,[1]Result_notebook_retravaill!J831))</f>
        <v>0</v>
      </c>
      <c r="L831" s="3">
        <f>IF([1]Result_notebook_retravaill!I831&gt;[1]Result_notebook_retravaill!G831,0,IF([1]Result_notebook_retravaill!I831+[1]Result_notebook_retravaill!J831&gt;[1]Result_notebook_retravaill!G831,0,[1]Result_notebook_retravaill!M831))</f>
        <v>623944.15475392377</v>
      </c>
    </row>
    <row r="832" spans="1:12">
      <c r="A832">
        <f>[1]Result_notebook_retravaill!A832</f>
        <v>2034</v>
      </c>
      <c r="B832" t="str">
        <f>[1]Result_notebook_retravaill!B832</f>
        <v>Copper</v>
      </c>
      <c r="C832" t="str">
        <f>[1]Result_notebook_retravaill!C832</f>
        <v>Current Measures</v>
      </c>
      <c r="D832" t="str">
        <f>[1]Result_notebook_retravaill!D832</f>
        <v>Existing production</v>
      </c>
      <c r="E832" t="str">
        <f>[1]Result_notebook_retravaill!E832</f>
        <v>Current shares</v>
      </c>
      <c r="F832" t="str">
        <f>[1]Result_notebook_retravaill!F832</f>
        <v>NIMBY</v>
      </c>
      <c r="G832">
        <f>[1]Result_notebook_retravaill!G832</f>
        <v>1047087.032620052</v>
      </c>
      <c r="H832" s="3">
        <f>IF([1]Result_notebook_retravaill!I832&gt;[1]Result_notebook_retravaill!G832,[1]Result_notebook_retravaill!I832/[1]Result_notebook_retravaill!N832,[1]Result_notebook_retravaill!H832)</f>
        <v>0</v>
      </c>
      <c r="I832" s="3">
        <f>[1]Result_notebook_retravaill!K832</f>
        <v>1261550.6417109061</v>
      </c>
      <c r="J832" s="3">
        <f>MIN(G832,[1]Result_notebook_retravaill!I832)</f>
        <v>0</v>
      </c>
      <c r="K832" s="3">
        <f>IF([1]Result_notebook_retravaill!I832&gt;[1]Result_notebook_retravaill!G832,0,IF([1]Result_notebook_retravaill!I832+[1]Result_notebook_retravaill!J832&gt;[1]Result_notebook_retravaill!G832,[1]Result_notebook_retravaill!G832-[1]Result_notebook_retravaill!I832,[1]Result_notebook_retravaill!J832))</f>
        <v>0</v>
      </c>
      <c r="L832" s="3">
        <f>IF([1]Result_notebook_retravaill!I832&gt;[1]Result_notebook_retravaill!G832,0,IF([1]Result_notebook_retravaill!I832+[1]Result_notebook_retravaill!J832&gt;[1]Result_notebook_retravaill!G832,0,[1]Result_notebook_retravaill!M832))</f>
        <v>1047087.032620052</v>
      </c>
    </row>
    <row r="833" spans="1:12">
      <c r="A833">
        <f>[1]Result_notebook_retravaill!A833</f>
        <v>2034</v>
      </c>
      <c r="B833" t="str">
        <f>[1]Result_notebook_retravaill!B833</f>
        <v>Copper</v>
      </c>
      <c r="C833" t="str">
        <f>[1]Result_notebook_retravaill!C833</f>
        <v>Current Measures</v>
      </c>
      <c r="D833" t="str">
        <f>[1]Result_notebook_retravaill!D833</f>
        <v>Existing production</v>
      </c>
      <c r="E833" t="str">
        <f>[1]Result_notebook_retravaill!E833</f>
        <v>Current shares</v>
      </c>
      <c r="F833" t="str">
        <f>[1]Result_notebook_retravaill!F833</f>
        <v>Status Quo</v>
      </c>
      <c r="G833">
        <f>[1]Result_notebook_retravaill!G833</f>
        <v>1047087.032620052</v>
      </c>
      <c r="H833" s="3">
        <f>IF([1]Result_notebook_retravaill!I833&gt;[1]Result_notebook_retravaill!G833,[1]Result_notebook_retravaill!I833/[1]Result_notebook_retravaill!N833,[1]Result_notebook_retravaill!H833)</f>
        <v>265778</v>
      </c>
      <c r="I833" s="3">
        <f>[1]Result_notebook_retravaill!K833</f>
        <v>995772.64171090606</v>
      </c>
      <c r="J833" s="3">
        <f>MIN(G833,[1]Result_notebook_retravaill!I833)</f>
        <v>139695.22574164809</v>
      </c>
      <c r="K833" s="3">
        <f>IF([1]Result_notebook_retravaill!I833&gt;[1]Result_notebook_retravaill!G833,0,IF([1]Result_notebook_retravaill!I833+[1]Result_notebook_retravaill!J833&gt;[1]Result_notebook_retravaill!G833,[1]Result_notebook_retravaill!G833-[1]Result_notebook_retravaill!I833,[1]Result_notebook_retravaill!J833))</f>
        <v>82161.83358038569</v>
      </c>
      <c r="L833" s="3">
        <f>IF([1]Result_notebook_retravaill!I833&gt;[1]Result_notebook_retravaill!G833,0,IF([1]Result_notebook_retravaill!I833+[1]Result_notebook_retravaill!J833&gt;[1]Result_notebook_retravaill!G833,0,[1]Result_notebook_retravaill!M833))</f>
        <v>825229.97329801822</v>
      </c>
    </row>
    <row r="834" spans="1:12">
      <c r="A834">
        <f>[1]Result_notebook_retravaill!A834</f>
        <v>2034</v>
      </c>
      <c r="B834" t="str">
        <f>[1]Result_notebook_retravaill!B834</f>
        <v>Copper</v>
      </c>
      <c r="C834" t="str">
        <f>[1]Result_notebook_retravaill!C834</f>
        <v>Current Measures</v>
      </c>
      <c r="D834" t="str">
        <f>[1]Result_notebook_retravaill!D834</f>
        <v>Production potential</v>
      </c>
      <c r="E834" t="str">
        <f>[1]Result_notebook_retravaill!E834</f>
        <v>Current shares</v>
      </c>
      <c r="F834" t="str">
        <f>[1]Result_notebook_retravaill!F834</f>
        <v>Expansion Extractive</v>
      </c>
      <c r="G834">
        <f>[1]Result_notebook_retravaill!G834</f>
        <v>1047087.032620052</v>
      </c>
      <c r="H834" s="3">
        <f>IF([1]Result_notebook_retravaill!I834&gt;[1]Result_notebook_retravaill!G834,[1]Result_notebook_retravaill!I834/[1]Result_notebook_retravaill!N834,[1]Result_notebook_retravaill!H834)</f>
        <v>837829.44631390914</v>
      </c>
      <c r="I834" s="3">
        <f>[1]Result_notebook_retravaill!K834</f>
        <v>423721.19539699692</v>
      </c>
      <c r="J834" s="3">
        <f>MIN(G834,[1]Result_notebook_retravaill!I834)</f>
        <v>440370.43561100482</v>
      </c>
      <c r="K834" s="3">
        <f>IF([1]Result_notebook_retravaill!I834&gt;[1]Result_notebook_retravaill!G834,0,IF([1]Result_notebook_retravaill!I834+[1]Result_notebook_retravaill!J834&gt;[1]Result_notebook_retravaill!G834,[1]Result_notebook_retravaill!G834-[1]Result_notebook_retravaill!I834,[1]Result_notebook_retravaill!J834))</f>
        <v>259004.1445747579</v>
      </c>
      <c r="L834" s="3">
        <f>IF([1]Result_notebook_retravaill!I834&gt;[1]Result_notebook_retravaill!G834,0,IF([1]Result_notebook_retravaill!I834+[1]Result_notebook_retravaill!J834&gt;[1]Result_notebook_retravaill!G834,0,[1]Result_notebook_retravaill!M834))</f>
        <v>347712.45243428927</v>
      </c>
    </row>
    <row r="835" spans="1:12">
      <c r="A835">
        <f>[1]Result_notebook_retravaill!A835</f>
        <v>2034</v>
      </c>
      <c r="B835" t="str">
        <f>[1]Result_notebook_retravaill!B835</f>
        <v>Copper</v>
      </c>
      <c r="C835" t="str">
        <f>[1]Result_notebook_retravaill!C835</f>
        <v>Current Measures</v>
      </c>
      <c r="D835" t="str">
        <f>[1]Result_notebook_retravaill!D835</f>
        <v>Production potential</v>
      </c>
      <c r="E835" t="str">
        <f>[1]Result_notebook_retravaill!E835</f>
        <v>Current shares</v>
      </c>
      <c r="F835" t="str">
        <f>[1]Result_notebook_retravaill!F835</f>
        <v>Expansion Extractive+Circularity</v>
      </c>
      <c r="G835">
        <f>[1]Result_notebook_retravaill!G835</f>
        <v>1047087.032620052</v>
      </c>
      <c r="H835" s="3">
        <f>IF([1]Result_notebook_retravaill!I835&gt;[1]Result_notebook_retravaill!G835,[1]Result_notebook_retravaill!I835/[1]Result_notebook_retravaill!N835,[1]Result_notebook_retravaill!H835)</f>
        <v>837829.44631390914</v>
      </c>
      <c r="I835" s="3">
        <f>[1]Result_notebook_retravaill!K835</f>
        <v>423721.19539699692</v>
      </c>
      <c r="J835" s="3">
        <f>MIN(G835,[1]Result_notebook_retravaill!I835)</f>
        <v>440370.43561100482</v>
      </c>
      <c r="K835" s="3">
        <f>IF([1]Result_notebook_retravaill!I835&gt;[1]Result_notebook_retravaill!G835,0,IF([1]Result_notebook_retravaill!I835+[1]Result_notebook_retravaill!J835&gt;[1]Result_notebook_retravaill!G835,[1]Result_notebook_retravaill!G835-[1]Result_notebook_retravaill!I835,[1]Result_notebook_retravaill!J835))</f>
        <v>259004.1445747579</v>
      </c>
      <c r="L835" s="3">
        <f>IF([1]Result_notebook_retravaill!I835&gt;[1]Result_notebook_retravaill!G835,0,IF([1]Result_notebook_retravaill!I835+[1]Result_notebook_retravaill!J835&gt;[1]Result_notebook_retravaill!G835,0,[1]Result_notebook_retravaill!M835))</f>
        <v>347712.45243428927</v>
      </c>
    </row>
    <row r="836" spans="1:12">
      <c r="A836">
        <f>[1]Result_notebook_retravaill!A836</f>
        <v>2034</v>
      </c>
      <c r="B836" t="str">
        <f>[1]Result_notebook_retravaill!B836</f>
        <v>Copper</v>
      </c>
      <c r="C836" t="str">
        <f>[1]Result_notebook_retravaill!C836</f>
        <v>Current Measures</v>
      </c>
      <c r="D836" t="str">
        <f>[1]Result_notebook_retravaill!D836</f>
        <v>Production potential</v>
      </c>
      <c r="E836" t="str">
        <f>[1]Result_notebook_retravaill!E836</f>
        <v>100% CAN</v>
      </c>
      <c r="F836" t="str">
        <f>[1]Result_notebook_retravaill!F836</f>
        <v>Integrated</v>
      </c>
      <c r="G836">
        <f>[1]Result_notebook_retravaill!G836</f>
        <v>1047087.032620052</v>
      </c>
      <c r="H836" s="3">
        <f>IF([1]Result_notebook_retravaill!I836&gt;[1]Result_notebook_retravaill!G836,[1]Result_notebook_retravaill!I836/[1]Result_notebook_retravaill!N836,[1]Result_notebook_retravaill!H836)</f>
        <v>837829.44631390914</v>
      </c>
      <c r="I836" s="3">
        <f>[1]Result_notebook_retravaill!K836</f>
        <v>423721.19539699692</v>
      </c>
      <c r="J836" s="3">
        <f>MIN(G836,[1]Result_notebook_retravaill!I836)</f>
        <v>699374.58018576319</v>
      </c>
      <c r="K836" s="3">
        <f>IF([1]Result_notebook_retravaill!I836&gt;[1]Result_notebook_retravaill!G836,0,IF([1]Result_notebook_retravaill!I836+[1]Result_notebook_retravaill!J836&gt;[1]Result_notebook_retravaill!G836,[1]Result_notebook_retravaill!G836-[1]Result_notebook_retravaill!I836,[1]Result_notebook_retravaill!J836))</f>
        <v>0</v>
      </c>
      <c r="L836" s="3">
        <f>IF([1]Result_notebook_retravaill!I836&gt;[1]Result_notebook_retravaill!G836,0,IF([1]Result_notebook_retravaill!I836+[1]Result_notebook_retravaill!J836&gt;[1]Result_notebook_retravaill!G836,0,[1]Result_notebook_retravaill!M836))</f>
        <v>347712.4524342888</v>
      </c>
    </row>
    <row r="837" spans="1:12">
      <c r="A837">
        <f>[1]Result_notebook_retravaill!A837</f>
        <v>2034</v>
      </c>
      <c r="B837" t="str">
        <f>[1]Result_notebook_retravaill!B837</f>
        <v>Copper</v>
      </c>
      <c r="C837" t="str">
        <f>[1]Result_notebook_retravaill!C837</f>
        <v>Global Net-zero</v>
      </c>
      <c r="D837" t="str">
        <f>[1]Result_notebook_retravaill!D837</f>
        <v>Existing production</v>
      </c>
      <c r="E837" t="str">
        <f>[1]Result_notebook_retravaill!E837</f>
        <v>Current shares</v>
      </c>
      <c r="F837" t="str">
        <f>[1]Result_notebook_retravaill!F837</f>
        <v>NIMBY</v>
      </c>
      <c r="G837">
        <f>[1]Result_notebook_retravaill!G837</f>
        <v>1272164.6516711509</v>
      </c>
      <c r="H837" s="3">
        <f>IF([1]Result_notebook_retravaill!I837&gt;[1]Result_notebook_retravaill!G837,[1]Result_notebook_retravaill!I837/[1]Result_notebook_retravaill!N837,[1]Result_notebook_retravaill!H837)</f>
        <v>0</v>
      </c>
      <c r="I837" s="3">
        <f>[1]Result_notebook_retravaill!K837</f>
        <v>1532728.495989338</v>
      </c>
      <c r="J837" s="3">
        <f>MIN(G837,[1]Result_notebook_retravaill!I837)</f>
        <v>0</v>
      </c>
      <c r="K837" s="3">
        <f>IF([1]Result_notebook_retravaill!I837&gt;[1]Result_notebook_retravaill!G837,0,IF([1]Result_notebook_retravaill!I837+[1]Result_notebook_retravaill!J837&gt;[1]Result_notebook_retravaill!G837,[1]Result_notebook_retravaill!G837-[1]Result_notebook_retravaill!I837,[1]Result_notebook_retravaill!J837))</f>
        <v>0</v>
      </c>
      <c r="L837" s="3">
        <f>IF([1]Result_notebook_retravaill!I837&gt;[1]Result_notebook_retravaill!G837,0,IF([1]Result_notebook_retravaill!I837+[1]Result_notebook_retravaill!J837&gt;[1]Result_notebook_retravaill!G837,0,[1]Result_notebook_retravaill!M837))</f>
        <v>1272164.6516711509</v>
      </c>
    </row>
    <row r="838" spans="1:12">
      <c r="A838">
        <f>[1]Result_notebook_retravaill!A838</f>
        <v>2034</v>
      </c>
      <c r="B838" t="str">
        <f>[1]Result_notebook_retravaill!B838</f>
        <v>Copper</v>
      </c>
      <c r="C838" t="str">
        <f>[1]Result_notebook_retravaill!C838</f>
        <v>Global Net-zero</v>
      </c>
      <c r="D838" t="str">
        <f>[1]Result_notebook_retravaill!D838</f>
        <v>Existing production</v>
      </c>
      <c r="E838" t="str">
        <f>[1]Result_notebook_retravaill!E838</f>
        <v>Current shares</v>
      </c>
      <c r="F838" t="str">
        <f>[1]Result_notebook_retravaill!F838</f>
        <v>Status Quo</v>
      </c>
      <c r="G838">
        <f>[1]Result_notebook_retravaill!G838</f>
        <v>1272164.6516711509</v>
      </c>
      <c r="H838" s="3">
        <f>IF([1]Result_notebook_retravaill!I838&gt;[1]Result_notebook_retravaill!G838,[1]Result_notebook_retravaill!I838/[1]Result_notebook_retravaill!N838,[1]Result_notebook_retravaill!H838)</f>
        <v>265778</v>
      </c>
      <c r="I838" s="3">
        <f>[1]Result_notebook_retravaill!K838</f>
        <v>1266950.495989338</v>
      </c>
      <c r="J838" s="3">
        <f>MIN(G838,[1]Result_notebook_retravaill!I838)</f>
        <v>139695.22574164809</v>
      </c>
      <c r="K838" s="3">
        <f>IF([1]Result_notebook_retravaill!I838&gt;[1]Result_notebook_retravaill!G838,0,IF([1]Result_notebook_retravaill!I838+[1]Result_notebook_retravaill!J838&gt;[1]Result_notebook_retravaill!G838,[1]Result_notebook_retravaill!G838-[1]Result_notebook_retravaill!I838,[1]Result_notebook_retravaill!J838))</f>
        <v>82161.83358038569</v>
      </c>
      <c r="L838" s="3">
        <f>IF([1]Result_notebook_retravaill!I838&gt;[1]Result_notebook_retravaill!G838,0,IF([1]Result_notebook_retravaill!I838+[1]Result_notebook_retravaill!J838&gt;[1]Result_notebook_retravaill!G838,0,[1]Result_notebook_retravaill!M838))</f>
        <v>1050307.5923491174</v>
      </c>
    </row>
    <row r="839" spans="1:12">
      <c r="A839">
        <f>[1]Result_notebook_retravaill!A839</f>
        <v>2034</v>
      </c>
      <c r="B839" t="str">
        <f>[1]Result_notebook_retravaill!B839</f>
        <v>Copper</v>
      </c>
      <c r="C839" t="str">
        <f>[1]Result_notebook_retravaill!C839</f>
        <v>Global Net-zero</v>
      </c>
      <c r="D839" t="str">
        <f>[1]Result_notebook_retravaill!D839</f>
        <v>Production potential</v>
      </c>
      <c r="E839" t="str">
        <f>[1]Result_notebook_retravaill!E839</f>
        <v>Current shares</v>
      </c>
      <c r="F839" t="str">
        <f>[1]Result_notebook_retravaill!F839</f>
        <v>Expansion Extractive</v>
      </c>
      <c r="G839">
        <f>[1]Result_notebook_retravaill!G839</f>
        <v>1272164.6516711509</v>
      </c>
      <c r="H839" s="3">
        <f>IF([1]Result_notebook_retravaill!I839&gt;[1]Result_notebook_retravaill!G839,[1]Result_notebook_retravaill!I839/[1]Result_notebook_retravaill!N839,[1]Result_notebook_retravaill!H839)</f>
        <v>837829.44631390914</v>
      </c>
      <c r="I839" s="3">
        <f>[1]Result_notebook_retravaill!K839</f>
        <v>694899.04967542936</v>
      </c>
      <c r="J839" s="3">
        <f>MIN(G839,[1]Result_notebook_retravaill!I839)</f>
        <v>440370.43561100482</v>
      </c>
      <c r="K839" s="3">
        <f>IF([1]Result_notebook_retravaill!I839&gt;[1]Result_notebook_retravaill!G839,0,IF([1]Result_notebook_retravaill!I839+[1]Result_notebook_retravaill!J839&gt;[1]Result_notebook_retravaill!G839,[1]Result_notebook_retravaill!G839-[1]Result_notebook_retravaill!I839,[1]Result_notebook_retravaill!J839))</f>
        <v>259004.1445747579</v>
      </c>
      <c r="L839" s="3">
        <f>IF([1]Result_notebook_retravaill!I839&gt;[1]Result_notebook_retravaill!G839,0,IF([1]Result_notebook_retravaill!I839+[1]Result_notebook_retravaill!J839&gt;[1]Result_notebook_retravaill!G839,0,[1]Result_notebook_retravaill!M839))</f>
        <v>572790.07148538833</v>
      </c>
    </row>
    <row r="840" spans="1:12">
      <c r="A840">
        <f>[1]Result_notebook_retravaill!A840</f>
        <v>2034</v>
      </c>
      <c r="B840" t="str">
        <f>[1]Result_notebook_retravaill!B840</f>
        <v>Copper</v>
      </c>
      <c r="C840" t="str">
        <f>[1]Result_notebook_retravaill!C840</f>
        <v>Global Net-zero</v>
      </c>
      <c r="D840" t="str">
        <f>[1]Result_notebook_retravaill!D840</f>
        <v>Production potential</v>
      </c>
      <c r="E840" t="str">
        <f>[1]Result_notebook_retravaill!E840</f>
        <v>Current shares</v>
      </c>
      <c r="F840" t="str">
        <f>[1]Result_notebook_retravaill!F840</f>
        <v>Expansion Extractive+Circularity</v>
      </c>
      <c r="G840">
        <f>[1]Result_notebook_retravaill!G840</f>
        <v>1272164.6516711509</v>
      </c>
      <c r="H840" s="3">
        <f>IF([1]Result_notebook_retravaill!I840&gt;[1]Result_notebook_retravaill!G840,[1]Result_notebook_retravaill!I840/[1]Result_notebook_retravaill!N840,[1]Result_notebook_retravaill!H840)</f>
        <v>837829.44631390914</v>
      </c>
      <c r="I840" s="3">
        <f>[1]Result_notebook_retravaill!K840</f>
        <v>694899.04967542936</v>
      </c>
      <c r="J840" s="3">
        <f>MIN(G840,[1]Result_notebook_retravaill!I840)</f>
        <v>440370.43561100482</v>
      </c>
      <c r="K840" s="3">
        <f>IF([1]Result_notebook_retravaill!I840&gt;[1]Result_notebook_retravaill!G840,0,IF([1]Result_notebook_retravaill!I840+[1]Result_notebook_retravaill!J840&gt;[1]Result_notebook_retravaill!G840,[1]Result_notebook_retravaill!G840-[1]Result_notebook_retravaill!I840,[1]Result_notebook_retravaill!J840))</f>
        <v>259004.1445747579</v>
      </c>
      <c r="L840" s="3">
        <f>IF([1]Result_notebook_retravaill!I840&gt;[1]Result_notebook_retravaill!G840,0,IF([1]Result_notebook_retravaill!I840+[1]Result_notebook_retravaill!J840&gt;[1]Result_notebook_retravaill!G840,0,[1]Result_notebook_retravaill!M840))</f>
        <v>572790.07148538833</v>
      </c>
    </row>
    <row r="841" spans="1:12">
      <c r="A841">
        <f>[1]Result_notebook_retravaill!A841</f>
        <v>2034</v>
      </c>
      <c r="B841" t="str">
        <f>[1]Result_notebook_retravaill!B841</f>
        <v>Copper</v>
      </c>
      <c r="C841" t="str">
        <f>[1]Result_notebook_retravaill!C841</f>
        <v>Global Net-zero</v>
      </c>
      <c r="D841" t="str">
        <f>[1]Result_notebook_retravaill!D841</f>
        <v>Production potential</v>
      </c>
      <c r="E841" t="str">
        <f>[1]Result_notebook_retravaill!E841</f>
        <v>100% CAN</v>
      </c>
      <c r="F841" t="str">
        <f>[1]Result_notebook_retravaill!F841</f>
        <v>Integrated</v>
      </c>
      <c r="G841">
        <f>[1]Result_notebook_retravaill!G841</f>
        <v>1272164.6516711509</v>
      </c>
      <c r="H841" s="3">
        <f>IF([1]Result_notebook_retravaill!I841&gt;[1]Result_notebook_retravaill!G841,[1]Result_notebook_retravaill!I841/[1]Result_notebook_retravaill!N841,[1]Result_notebook_retravaill!H841)</f>
        <v>837829.44631390914</v>
      </c>
      <c r="I841" s="3">
        <f>[1]Result_notebook_retravaill!K841</f>
        <v>694899.04967542936</v>
      </c>
      <c r="J841" s="3">
        <f>MIN(G841,[1]Result_notebook_retravaill!I841)</f>
        <v>699374.58018576319</v>
      </c>
      <c r="K841" s="3">
        <f>IF([1]Result_notebook_retravaill!I841&gt;[1]Result_notebook_retravaill!G841,0,IF([1]Result_notebook_retravaill!I841+[1]Result_notebook_retravaill!J841&gt;[1]Result_notebook_retravaill!G841,[1]Result_notebook_retravaill!G841-[1]Result_notebook_retravaill!I841,[1]Result_notebook_retravaill!J841))</f>
        <v>0</v>
      </c>
      <c r="L841" s="3">
        <f>IF([1]Result_notebook_retravaill!I841&gt;[1]Result_notebook_retravaill!G841,0,IF([1]Result_notebook_retravaill!I841+[1]Result_notebook_retravaill!J841&gt;[1]Result_notebook_retravaill!G841,0,[1]Result_notebook_retravaill!M841))</f>
        <v>572790.07148538774</v>
      </c>
    </row>
    <row r="842" spans="1:12">
      <c r="A842">
        <f>[1]Result_notebook_retravaill!A842</f>
        <v>2034</v>
      </c>
      <c r="B842" t="str">
        <f>[1]Result_notebook_retravaill!B842</f>
        <v>Neodymium</v>
      </c>
      <c r="C842" t="str">
        <f>[1]Result_notebook_retravaill!C842</f>
        <v>Canada Net-zero</v>
      </c>
      <c r="D842" t="str">
        <f>[1]Result_notebook_retravaill!D842</f>
        <v>Existing production</v>
      </c>
      <c r="E842" t="str">
        <f>[1]Result_notebook_retravaill!E842</f>
        <v>Current shares</v>
      </c>
      <c r="F842" t="str">
        <f>[1]Result_notebook_retravaill!F842</f>
        <v>NIMBY</v>
      </c>
      <c r="G842">
        <f>[1]Result_notebook_retravaill!G842</f>
        <v>4411.7741331532143</v>
      </c>
      <c r="H842" s="3">
        <f>IF([1]Result_notebook_retravaill!I842&gt;[1]Result_notebook_retravaill!G842,[1]Result_notebook_retravaill!I842/[1]Result_notebook_retravaill!N842,[1]Result_notebook_retravaill!H842)</f>
        <v>0</v>
      </c>
      <c r="I842" s="3">
        <f>[1]Result_notebook_retravaill!K842</f>
        <v>7352.9568885886911</v>
      </c>
      <c r="J842" s="3">
        <f>MIN(G842,[1]Result_notebook_retravaill!I842)</f>
        <v>0</v>
      </c>
      <c r="K842" s="3">
        <f>IF([1]Result_notebook_retravaill!I842&gt;[1]Result_notebook_retravaill!G842,0,IF([1]Result_notebook_retravaill!I842+[1]Result_notebook_retravaill!J842&gt;[1]Result_notebook_retravaill!G842,[1]Result_notebook_retravaill!G842-[1]Result_notebook_retravaill!I842,[1]Result_notebook_retravaill!J842))</f>
        <v>0</v>
      </c>
      <c r="L842" s="3">
        <f>IF([1]Result_notebook_retravaill!I842&gt;[1]Result_notebook_retravaill!G842,0,IF([1]Result_notebook_retravaill!I842+[1]Result_notebook_retravaill!J842&gt;[1]Result_notebook_retravaill!G842,0,[1]Result_notebook_retravaill!M842))</f>
        <v>4411.7741331532143</v>
      </c>
    </row>
    <row r="843" spans="1:12">
      <c r="A843">
        <f>[1]Result_notebook_retravaill!A843</f>
        <v>2034</v>
      </c>
      <c r="B843" t="str">
        <f>[1]Result_notebook_retravaill!B843</f>
        <v>Neodymium</v>
      </c>
      <c r="C843" t="str">
        <f>[1]Result_notebook_retravaill!C843</f>
        <v>Canada Net-zero</v>
      </c>
      <c r="D843" t="str">
        <f>[1]Result_notebook_retravaill!D843</f>
        <v>Existing production</v>
      </c>
      <c r="E843" t="str">
        <f>[1]Result_notebook_retravaill!E843</f>
        <v>Current shares</v>
      </c>
      <c r="F843" t="str">
        <f>[1]Result_notebook_retravaill!F843</f>
        <v>Status Quo</v>
      </c>
      <c r="G843">
        <f>[1]Result_notebook_retravaill!G843</f>
        <v>4411.7741331532143</v>
      </c>
      <c r="H843" s="3">
        <f>IF([1]Result_notebook_retravaill!I843&gt;[1]Result_notebook_retravaill!G843,[1]Result_notebook_retravaill!I843/[1]Result_notebook_retravaill!N843,[1]Result_notebook_retravaill!H843)</f>
        <v>0</v>
      </c>
      <c r="I843" s="3">
        <f>[1]Result_notebook_retravaill!K843</f>
        <v>7352.9568885886911</v>
      </c>
      <c r="J843" s="3">
        <f>MIN(G843,[1]Result_notebook_retravaill!I843)</f>
        <v>0</v>
      </c>
      <c r="K843" s="3">
        <f>IF([1]Result_notebook_retravaill!I843&gt;[1]Result_notebook_retravaill!G843,0,IF([1]Result_notebook_retravaill!I843+[1]Result_notebook_retravaill!J843&gt;[1]Result_notebook_retravaill!G843,[1]Result_notebook_retravaill!G843-[1]Result_notebook_retravaill!I843,[1]Result_notebook_retravaill!J843))</f>
        <v>0</v>
      </c>
      <c r="L843" s="3">
        <f>IF([1]Result_notebook_retravaill!I843&gt;[1]Result_notebook_retravaill!G843,0,IF([1]Result_notebook_retravaill!I843+[1]Result_notebook_retravaill!J843&gt;[1]Result_notebook_retravaill!G843,0,[1]Result_notebook_retravaill!M843))</f>
        <v>4411.7741331532143</v>
      </c>
    </row>
    <row r="844" spans="1:12">
      <c r="A844">
        <f>[1]Result_notebook_retravaill!A844</f>
        <v>2034</v>
      </c>
      <c r="B844" t="str">
        <f>[1]Result_notebook_retravaill!B844</f>
        <v>Neodymium</v>
      </c>
      <c r="C844" t="str">
        <f>[1]Result_notebook_retravaill!C844</f>
        <v>Canada Net-zero</v>
      </c>
      <c r="D844" t="str">
        <f>[1]Result_notebook_retravaill!D844</f>
        <v>Production potential</v>
      </c>
      <c r="E844" t="str">
        <f>[1]Result_notebook_retravaill!E844</f>
        <v>Current shares</v>
      </c>
      <c r="F844" t="str">
        <f>[1]Result_notebook_retravaill!F844</f>
        <v>Expansion Extractive</v>
      </c>
      <c r="G844">
        <f>[1]Result_notebook_retravaill!G844</f>
        <v>4411.7741331532143</v>
      </c>
      <c r="H844" s="3">
        <f>IF([1]Result_notebook_retravaill!I844&gt;[1]Result_notebook_retravaill!G844,[1]Result_notebook_retravaill!I844/[1]Result_notebook_retravaill!N844,[1]Result_notebook_retravaill!H844)</f>
        <v>57.127421790883162</v>
      </c>
      <c r="I844" s="3">
        <f>[1]Result_notebook_retravaill!K844</f>
        <v>7295.829466797808</v>
      </c>
      <c r="J844" s="3">
        <f>MIN(G844,[1]Result_notebook_retravaill!I844)</f>
        <v>34.193270634870977</v>
      </c>
      <c r="K844" s="3">
        <f>IF([1]Result_notebook_retravaill!I844&gt;[1]Result_notebook_retravaill!G844,0,IF([1]Result_notebook_retravaill!I844+[1]Result_notebook_retravaill!J844&gt;[1]Result_notebook_retravaill!G844,[1]Result_notebook_retravaill!G844-[1]Result_notebook_retravaill!I844,[1]Result_notebook_retravaill!J844))</f>
        <v>22.934151156012184</v>
      </c>
      <c r="L844" s="3">
        <f>IF([1]Result_notebook_retravaill!I844&gt;[1]Result_notebook_retravaill!G844,0,IF([1]Result_notebook_retravaill!I844+[1]Result_notebook_retravaill!J844&gt;[1]Result_notebook_retravaill!G844,0,[1]Result_notebook_retravaill!M844))</f>
        <v>4354.6467113623312</v>
      </c>
    </row>
    <row r="845" spans="1:12">
      <c r="A845">
        <f>[1]Result_notebook_retravaill!A845</f>
        <v>2034</v>
      </c>
      <c r="B845" t="str">
        <f>[1]Result_notebook_retravaill!B845</f>
        <v>Neodymium</v>
      </c>
      <c r="C845" t="str">
        <f>[1]Result_notebook_retravaill!C845</f>
        <v>Canada Net-zero</v>
      </c>
      <c r="D845" t="str">
        <f>[1]Result_notebook_retravaill!D845</f>
        <v>Production potential</v>
      </c>
      <c r="E845" t="str">
        <f>[1]Result_notebook_retravaill!E845</f>
        <v>Current shares</v>
      </c>
      <c r="F845" t="str">
        <f>[1]Result_notebook_retravaill!F845</f>
        <v>Expansion Extractive+Circularity</v>
      </c>
      <c r="G845">
        <f>[1]Result_notebook_retravaill!G845</f>
        <v>4411.7741331532143</v>
      </c>
      <c r="H845" s="3">
        <f>IF([1]Result_notebook_retravaill!I845&gt;[1]Result_notebook_retravaill!G845,[1]Result_notebook_retravaill!I845/[1]Result_notebook_retravaill!N845,[1]Result_notebook_retravaill!H845)</f>
        <v>57.127421790883162</v>
      </c>
      <c r="I845" s="3">
        <f>[1]Result_notebook_retravaill!K845</f>
        <v>7295.829466797808</v>
      </c>
      <c r="J845" s="3">
        <f>MIN(G845,[1]Result_notebook_retravaill!I845)</f>
        <v>34.193270634870977</v>
      </c>
      <c r="K845" s="3">
        <f>IF([1]Result_notebook_retravaill!I845&gt;[1]Result_notebook_retravaill!G845,0,IF([1]Result_notebook_retravaill!I845+[1]Result_notebook_retravaill!J845&gt;[1]Result_notebook_retravaill!G845,[1]Result_notebook_retravaill!G845-[1]Result_notebook_retravaill!I845,[1]Result_notebook_retravaill!J845))</f>
        <v>22.934151156012184</v>
      </c>
      <c r="L845" s="3">
        <f>IF([1]Result_notebook_retravaill!I845&gt;[1]Result_notebook_retravaill!G845,0,IF([1]Result_notebook_retravaill!I845+[1]Result_notebook_retravaill!J845&gt;[1]Result_notebook_retravaill!G845,0,[1]Result_notebook_retravaill!M845))</f>
        <v>4354.6467113623312</v>
      </c>
    </row>
    <row r="846" spans="1:12">
      <c r="A846">
        <f>[1]Result_notebook_retravaill!A846</f>
        <v>2034</v>
      </c>
      <c r="B846" t="str">
        <f>[1]Result_notebook_retravaill!B846</f>
        <v>Neodymium</v>
      </c>
      <c r="C846" t="str">
        <f>[1]Result_notebook_retravaill!C846</f>
        <v>Canada Net-zero</v>
      </c>
      <c r="D846" t="str">
        <f>[1]Result_notebook_retravaill!D846</f>
        <v>Production potential</v>
      </c>
      <c r="E846" t="str">
        <f>[1]Result_notebook_retravaill!E846</f>
        <v>100% CAN</v>
      </c>
      <c r="F846" t="str">
        <f>[1]Result_notebook_retravaill!F846</f>
        <v>Integrated</v>
      </c>
      <c r="G846">
        <f>[1]Result_notebook_retravaill!G846</f>
        <v>4411.7741331532143</v>
      </c>
      <c r="H846" s="3">
        <f>IF([1]Result_notebook_retravaill!I846&gt;[1]Result_notebook_retravaill!G846,[1]Result_notebook_retravaill!I846/[1]Result_notebook_retravaill!N846,[1]Result_notebook_retravaill!H846)</f>
        <v>57.127421790883162</v>
      </c>
      <c r="I846" s="3">
        <f>[1]Result_notebook_retravaill!K846</f>
        <v>7295.829466797808</v>
      </c>
      <c r="J846" s="3">
        <f>MIN(G846,[1]Result_notebook_retravaill!I846)</f>
        <v>34.193270634870977</v>
      </c>
      <c r="K846" s="3">
        <f>IF([1]Result_notebook_retravaill!I846&gt;[1]Result_notebook_retravaill!G846,0,IF([1]Result_notebook_retravaill!I846+[1]Result_notebook_retravaill!J846&gt;[1]Result_notebook_retravaill!G846,[1]Result_notebook_retravaill!G846-[1]Result_notebook_retravaill!I846,[1]Result_notebook_retravaill!J846))</f>
        <v>22.934151156012184</v>
      </c>
      <c r="L846" s="3">
        <f>IF([1]Result_notebook_retravaill!I846&gt;[1]Result_notebook_retravaill!G846,0,IF([1]Result_notebook_retravaill!I846+[1]Result_notebook_retravaill!J846&gt;[1]Result_notebook_retravaill!G846,0,[1]Result_notebook_retravaill!M846))</f>
        <v>4354.6467113623312</v>
      </c>
    </row>
    <row r="847" spans="1:12">
      <c r="A847">
        <f>[1]Result_notebook_retravaill!A847</f>
        <v>2034</v>
      </c>
      <c r="B847" t="str">
        <f>[1]Result_notebook_retravaill!B847</f>
        <v>Neodymium</v>
      </c>
      <c r="C847" t="str">
        <f>[1]Result_notebook_retravaill!C847</f>
        <v>Current Measures</v>
      </c>
      <c r="D847" t="str">
        <f>[1]Result_notebook_retravaill!D847</f>
        <v>Existing production</v>
      </c>
      <c r="E847" t="str">
        <f>[1]Result_notebook_retravaill!E847</f>
        <v>Current shares</v>
      </c>
      <c r="F847" t="str">
        <f>[1]Result_notebook_retravaill!F847</f>
        <v>NIMBY</v>
      </c>
      <c r="G847">
        <f>[1]Result_notebook_retravaill!G847</f>
        <v>1428.0497040707919</v>
      </c>
      <c r="H847" s="3">
        <f>IF([1]Result_notebook_retravaill!I847&gt;[1]Result_notebook_retravaill!G847,[1]Result_notebook_retravaill!I847/[1]Result_notebook_retravaill!N847,[1]Result_notebook_retravaill!H847)</f>
        <v>0</v>
      </c>
      <c r="I847" s="3">
        <f>[1]Result_notebook_retravaill!K847</f>
        <v>2380.082840117987</v>
      </c>
      <c r="J847" s="3">
        <f>MIN(G847,[1]Result_notebook_retravaill!I847)</f>
        <v>0</v>
      </c>
      <c r="K847" s="3">
        <f>IF([1]Result_notebook_retravaill!I847&gt;[1]Result_notebook_retravaill!G847,0,IF([1]Result_notebook_retravaill!I847+[1]Result_notebook_retravaill!J847&gt;[1]Result_notebook_retravaill!G847,[1]Result_notebook_retravaill!G847-[1]Result_notebook_retravaill!I847,[1]Result_notebook_retravaill!J847))</f>
        <v>0</v>
      </c>
      <c r="L847" s="3">
        <f>IF([1]Result_notebook_retravaill!I847&gt;[1]Result_notebook_retravaill!G847,0,IF([1]Result_notebook_retravaill!I847+[1]Result_notebook_retravaill!J847&gt;[1]Result_notebook_retravaill!G847,0,[1]Result_notebook_retravaill!M847))</f>
        <v>1428.0497040707919</v>
      </c>
    </row>
    <row r="848" spans="1:12">
      <c r="A848">
        <f>[1]Result_notebook_retravaill!A848</f>
        <v>2034</v>
      </c>
      <c r="B848" t="str">
        <f>[1]Result_notebook_retravaill!B848</f>
        <v>Neodymium</v>
      </c>
      <c r="C848" t="str">
        <f>[1]Result_notebook_retravaill!C848</f>
        <v>Current Measures</v>
      </c>
      <c r="D848" t="str">
        <f>[1]Result_notebook_retravaill!D848</f>
        <v>Existing production</v>
      </c>
      <c r="E848" t="str">
        <f>[1]Result_notebook_retravaill!E848</f>
        <v>Current shares</v>
      </c>
      <c r="F848" t="str">
        <f>[1]Result_notebook_retravaill!F848</f>
        <v>Status Quo</v>
      </c>
      <c r="G848">
        <f>[1]Result_notebook_retravaill!G848</f>
        <v>1428.0497040707919</v>
      </c>
      <c r="H848" s="3">
        <f>IF([1]Result_notebook_retravaill!I848&gt;[1]Result_notebook_retravaill!G848,[1]Result_notebook_retravaill!I848/[1]Result_notebook_retravaill!N848,[1]Result_notebook_retravaill!H848)</f>
        <v>0</v>
      </c>
      <c r="I848" s="3">
        <f>[1]Result_notebook_retravaill!K848</f>
        <v>2380.082840117987</v>
      </c>
      <c r="J848" s="3">
        <f>MIN(G848,[1]Result_notebook_retravaill!I848)</f>
        <v>0</v>
      </c>
      <c r="K848" s="3">
        <f>IF([1]Result_notebook_retravaill!I848&gt;[1]Result_notebook_retravaill!G848,0,IF([1]Result_notebook_retravaill!I848+[1]Result_notebook_retravaill!J848&gt;[1]Result_notebook_retravaill!G848,[1]Result_notebook_retravaill!G848-[1]Result_notebook_retravaill!I848,[1]Result_notebook_retravaill!J848))</f>
        <v>0</v>
      </c>
      <c r="L848" s="3">
        <f>IF([1]Result_notebook_retravaill!I848&gt;[1]Result_notebook_retravaill!G848,0,IF([1]Result_notebook_retravaill!I848+[1]Result_notebook_retravaill!J848&gt;[1]Result_notebook_retravaill!G848,0,[1]Result_notebook_retravaill!M848))</f>
        <v>1428.0497040707919</v>
      </c>
    </row>
    <row r="849" spans="1:12">
      <c r="A849">
        <f>[1]Result_notebook_retravaill!A849</f>
        <v>2034</v>
      </c>
      <c r="B849" t="str">
        <f>[1]Result_notebook_retravaill!B849</f>
        <v>Neodymium</v>
      </c>
      <c r="C849" t="str">
        <f>[1]Result_notebook_retravaill!C849</f>
        <v>Current Measures</v>
      </c>
      <c r="D849" t="str">
        <f>[1]Result_notebook_retravaill!D849</f>
        <v>Production potential</v>
      </c>
      <c r="E849" t="str">
        <f>[1]Result_notebook_retravaill!E849</f>
        <v>Current shares</v>
      </c>
      <c r="F849" t="str">
        <f>[1]Result_notebook_retravaill!F849</f>
        <v>Expansion Extractive</v>
      </c>
      <c r="G849">
        <f>[1]Result_notebook_retravaill!G849</f>
        <v>1428.0497040707919</v>
      </c>
      <c r="H849" s="3">
        <f>IF([1]Result_notebook_retravaill!I849&gt;[1]Result_notebook_retravaill!G849,[1]Result_notebook_retravaill!I849/[1]Result_notebook_retravaill!N849,[1]Result_notebook_retravaill!H849)</f>
        <v>57.127421790883162</v>
      </c>
      <c r="I849" s="3">
        <f>[1]Result_notebook_retravaill!K849</f>
        <v>2322.955418327103</v>
      </c>
      <c r="J849" s="3">
        <f>MIN(G849,[1]Result_notebook_retravaill!I849)</f>
        <v>34.193270634870977</v>
      </c>
      <c r="K849" s="3">
        <f>IF([1]Result_notebook_retravaill!I849&gt;[1]Result_notebook_retravaill!G849,0,IF([1]Result_notebook_retravaill!I849+[1]Result_notebook_retravaill!J849&gt;[1]Result_notebook_retravaill!G849,[1]Result_notebook_retravaill!G849-[1]Result_notebook_retravaill!I849,[1]Result_notebook_retravaill!J849))</f>
        <v>22.934151156012184</v>
      </c>
      <c r="L849" s="3">
        <f>IF([1]Result_notebook_retravaill!I849&gt;[1]Result_notebook_retravaill!G849,0,IF([1]Result_notebook_retravaill!I849+[1]Result_notebook_retravaill!J849&gt;[1]Result_notebook_retravaill!G849,0,[1]Result_notebook_retravaill!M849))</f>
        <v>1370.9222822799088</v>
      </c>
    </row>
    <row r="850" spans="1:12">
      <c r="A850">
        <f>[1]Result_notebook_retravaill!A850</f>
        <v>2034</v>
      </c>
      <c r="B850" t="str">
        <f>[1]Result_notebook_retravaill!B850</f>
        <v>Neodymium</v>
      </c>
      <c r="C850" t="str">
        <f>[1]Result_notebook_retravaill!C850</f>
        <v>Current Measures</v>
      </c>
      <c r="D850" t="str">
        <f>[1]Result_notebook_retravaill!D850</f>
        <v>Production potential</v>
      </c>
      <c r="E850" t="str">
        <f>[1]Result_notebook_retravaill!E850</f>
        <v>Current shares</v>
      </c>
      <c r="F850" t="str">
        <f>[1]Result_notebook_retravaill!F850</f>
        <v>Expansion Extractive+Circularity</v>
      </c>
      <c r="G850">
        <f>[1]Result_notebook_retravaill!G850</f>
        <v>1428.0497040707919</v>
      </c>
      <c r="H850" s="3">
        <f>IF([1]Result_notebook_retravaill!I850&gt;[1]Result_notebook_retravaill!G850,[1]Result_notebook_retravaill!I850/[1]Result_notebook_retravaill!N850,[1]Result_notebook_retravaill!H850)</f>
        <v>57.127421790883162</v>
      </c>
      <c r="I850" s="3">
        <f>[1]Result_notebook_retravaill!K850</f>
        <v>2322.955418327103</v>
      </c>
      <c r="J850" s="3">
        <f>MIN(G850,[1]Result_notebook_retravaill!I850)</f>
        <v>34.193270634870977</v>
      </c>
      <c r="K850" s="3">
        <f>IF([1]Result_notebook_retravaill!I850&gt;[1]Result_notebook_retravaill!G850,0,IF([1]Result_notebook_retravaill!I850+[1]Result_notebook_retravaill!J850&gt;[1]Result_notebook_retravaill!G850,[1]Result_notebook_retravaill!G850-[1]Result_notebook_retravaill!I850,[1]Result_notebook_retravaill!J850))</f>
        <v>22.934151156012184</v>
      </c>
      <c r="L850" s="3">
        <f>IF([1]Result_notebook_retravaill!I850&gt;[1]Result_notebook_retravaill!G850,0,IF([1]Result_notebook_retravaill!I850+[1]Result_notebook_retravaill!J850&gt;[1]Result_notebook_retravaill!G850,0,[1]Result_notebook_retravaill!M850))</f>
        <v>1370.9222822799088</v>
      </c>
    </row>
    <row r="851" spans="1:12">
      <c r="A851">
        <f>[1]Result_notebook_retravaill!A851</f>
        <v>2034</v>
      </c>
      <c r="B851" t="str">
        <f>[1]Result_notebook_retravaill!B851</f>
        <v>Neodymium</v>
      </c>
      <c r="C851" t="str">
        <f>[1]Result_notebook_retravaill!C851</f>
        <v>Current Measures</v>
      </c>
      <c r="D851" t="str">
        <f>[1]Result_notebook_retravaill!D851</f>
        <v>Production potential</v>
      </c>
      <c r="E851" t="str">
        <f>[1]Result_notebook_retravaill!E851</f>
        <v>100% CAN</v>
      </c>
      <c r="F851" t="str">
        <f>[1]Result_notebook_retravaill!F851</f>
        <v>Integrated</v>
      </c>
      <c r="G851">
        <f>[1]Result_notebook_retravaill!G851</f>
        <v>1428.0497040707919</v>
      </c>
      <c r="H851" s="3">
        <f>IF([1]Result_notebook_retravaill!I851&gt;[1]Result_notebook_retravaill!G851,[1]Result_notebook_retravaill!I851/[1]Result_notebook_retravaill!N851,[1]Result_notebook_retravaill!H851)</f>
        <v>57.127421790883162</v>
      </c>
      <c r="I851" s="3">
        <f>[1]Result_notebook_retravaill!K851</f>
        <v>2322.955418327103</v>
      </c>
      <c r="J851" s="3">
        <f>MIN(G851,[1]Result_notebook_retravaill!I851)</f>
        <v>34.193270634870977</v>
      </c>
      <c r="K851" s="3">
        <f>IF([1]Result_notebook_retravaill!I851&gt;[1]Result_notebook_retravaill!G851,0,IF([1]Result_notebook_retravaill!I851+[1]Result_notebook_retravaill!J851&gt;[1]Result_notebook_retravaill!G851,[1]Result_notebook_retravaill!G851-[1]Result_notebook_retravaill!I851,[1]Result_notebook_retravaill!J851))</f>
        <v>22.934151156012184</v>
      </c>
      <c r="L851" s="3">
        <f>IF([1]Result_notebook_retravaill!I851&gt;[1]Result_notebook_retravaill!G851,0,IF([1]Result_notebook_retravaill!I851+[1]Result_notebook_retravaill!J851&gt;[1]Result_notebook_retravaill!G851,0,[1]Result_notebook_retravaill!M851))</f>
        <v>1370.9222822799088</v>
      </c>
    </row>
    <row r="852" spans="1:12">
      <c r="A852">
        <f>[1]Result_notebook_retravaill!A852</f>
        <v>2034</v>
      </c>
      <c r="B852" t="str">
        <f>[1]Result_notebook_retravaill!B852</f>
        <v>Neodymium</v>
      </c>
      <c r="C852" t="str">
        <f>[1]Result_notebook_retravaill!C852</f>
        <v>Global Net-zero</v>
      </c>
      <c r="D852" t="str">
        <f>[1]Result_notebook_retravaill!D852</f>
        <v>Existing production</v>
      </c>
      <c r="E852" t="str">
        <f>[1]Result_notebook_retravaill!E852</f>
        <v>Current shares</v>
      </c>
      <c r="F852" t="str">
        <f>[1]Result_notebook_retravaill!F852</f>
        <v>NIMBY</v>
      </c>
      <c r="G852">
        <f>[1]Result_notebook_retravaill!G852</f>
        <v>4227.3945281288607</v>
      </c>
      <c r="H852" s="3">
        <f>IF([1]Result_notebook_retravaill!I852&gt;[1]Result_notebook_retravaill!G852,[1]Result_notebook_retravaill!I852/[1]Result_notebook_retravaill!N852,[1]Result_notebook_retravaill!H852)</f>
        <v>0</v>
      </c>
      <c r="I852" s="3">
        <f>[1]Result_notebook_retravaill!K852</f>
        <v>7045.6575468814344</v>
      </c>
      <c r="J852" s="3">
        <f>MIN(G852,[1]Result_notebook_retravaill!I852)</f>
        <v>0</v>
      </c>
      <c r="K852" s="3">
        <f>IF([1]Result_notebook_retravaill!I852&gt;[1]Result_notebook_retravaill!G852,0,IF([1]Result_notebook_retravaill!I852+[1]Result_notebook_retravaill!J852&gt;[1]Result_notebook_retravaill!G852,[1]Result_notebook_retravaill!G852-[1]Result_notebook_retravaill!I852,[1]Result_notebook_retravaill!J852))</f>
        <v>0</v>
      </c>
      <c r="L852" s="3">
        <f>IF([1]Result_notebook_retravaill!I852&gt;[1]Result_notebook_retravaill!G852,0,IF([1]Result_notebook_retravaill!I852+[1]Result_notebook_retravaill!J852&gt;[1]Result_notebook_retravaill!G852,0,[1]Result_notebook_retravaill!M852))</f>
        <v>4227.3945281288607</v>
      </c>
    </row>
    <row r="853" spans="1:12">
      <c r="A853">
        <f>[1]Result_notebook_retravaill!A853</f>
        <v>2034</v>
      </c>
      <c r="B853" t="str">
        <f>[1]Result_notebook_retravaill!B853</f>
        <v>Neodymium</v>
      </c>
      <c r="C853" t="str">
        <f>[1]Result_notebook_retravaill!C853</f>
        <v>Global Net-zero</v>
      </c>
      <c r="D853" t="str">
        <f>[1]Result_notebook_retravaill!D853</f>
        <v>Existing production</v>
      </c>
      <c r="E853" t="str">
        <f>[1]Result_notebook_retravaill!E853</f>
        <v>Current shares</v>
      </c>
      <c r="F853" t="str">
        <f>[1]Result_notebook_retravaill!F853</f>
        <v>Status Quo</v>
      </c>
      <c r="G853">
        <f>[1]Result_notebook_retravaill!G853</f>
        <v>4227.3945281288607</v>
      </c>
      <c r="H853" s="3">
        <f>IF([1]Result_notebook_retravaill!I853&gt;[1]Result_notebook_retravaill!G853,[1]Result_notebook_retravaill!I853/[1]Result_notebook_retravaill!N853,[1]Result_notebook_retravaill!H853)</f>
        <v>0</v>
      </c>
      <c r="I853" s="3">
        <f>[1]Result_notebook_retravaill!K853</f>
        <v>7045.6575468814344</v>
      </c>
      <c r="J853" s="3">
        <f>MIN(G853,[1]Result_notebook_retravaill!I853)</f>
        <v>0</v>
      </c>
      <c r="K853" s="3">
        <f>IF([1]Result_notebook_retravaill!I853&gt;[1]Result_notebook_retravaill!G853,0,IF([1]Result_notebook_retravaill!I853+[1]Result_notebook_retravaill!J853&gt;[1]Result_notebook_retravaill!G853,[1]Result_notebook_retravaill!G853-[1]Result_notebook_retravaill!I853,[1]Result_notebook_retravaill!J853))</f>
        <v>0</v>
      </c>
      <c r="L853" s="3">
        <f>IF([1]Result_notebook_retravaill!I853&gt;[1]Result_notebook_retravaill!G853,0,IF([1]Result_notebook_retravaill!I853+[1]Result_notebook_retravaill!J853&gt;[1]Result_notebook_retravaill!G853,0,[1]Result_notebook_retravaill!M853))</f>
        <v>4227.3945281288607</v>
      </c>
    </row>
    <row r="854" spans="1:12">
      <c r="A854">
        <f>[1]Result_notebook_retravaill!A854</f>
        <v>2034</v>
      </c>
      <c r="B854" t="str">
        <f>[1]Result_notebook_retravaill!B854</f>
        <v>Neodymium</v>
      </c>
      <c r="C854" t="str">
        <f>[1]Result_notebook_retravaill!C854</f>
        <v>Global Net-zero</v>
      </c>
      <c r="D854" t="str">
        <f>[1]Result_notebook_retravaill!D854</f>
        <v>Production potential</v>
      </c>
      <c r="E854" t="str">
        <f>[1]Result_notebook_retravaill!E854</f>
        <v>Current shares</v>
      </c>
      <c r="F854" t="str">
        <f>[1]Result_notebook_retravaill!F854</f>
        <v>Expansion Extractive</v>
      </c>
      <c r="G854">
        <f>[1]Result_notebook_retravaill!G854</f>
        <v>4227.3945281288607</v>
      </c>
      <c r="H854" s="3">
        <f>IF([1]Result_notebook_retravaill!I854&gt;[1]Result_notebook_retravaill!G854,[1]Result_notebook_retravaill!I854/[1]Result_notebook_retravaill!N854,[1]Result_notebook_retravaill!H854)</f>
        <v>57.127421790883162</v>
      </c>
      <c r="I854" s="3">
        <f>[1]Result_notebook_retravaill!K854</f>
        <v>6988.5301250905513</v>
      </c>
      <c r="J854" s="3">
        <f>MIN(G854,[1]Result_notebook_retravaill!I854)</f>
        <v>34.193270634870977</v>
      </c>
      <c r="K854" s="3">
        <f>IF([1]Result_notebook_retravaill!I854&gt;[1]Result_notebook_retravaill!G854,0,IF([1]Result_notebook_retravaill!I854+[1]Result_notebook_retravaill!J854&gt;[1]Result_notebook_retravaill!G854,[1]Result_notebook_retravaill!G854-[1]Result_notebook_retravaill!I854,[1]Result_notebook_retravaill!J854))</f>
        <v>22.934151156012184</v>
      </c>
      <c r="L854" s="3">
        <f>IF([1]Result_notebook_retravaill!I854&gt;[1]Result_notebook_retravaill!G854,0,IF([1]Result_notebook_retravaill!I854+[1]Result_notebook_retravaill!J854&gt;[1]Result_notebook_retravaill!G854,0,[1]Result_notebook_retravaill!M854))</f>
        <v>4170.2671063379776</v>
      </c>
    </row>
    <row r="855" spans="1:12">
      <c r="A855">
        <f>[1]Result_notebook_retravaill!A855</f>
        <v>2034</v>
      </c>
      <c r="B855" t="str">
        <f>[1]Result_notebook_retravaill!B855</f>
        <v>Neodymium</v>
      </c>
      <c r="C855" t="str">
        <f>[1]Result_notebook_retravaill!C855</f>
        <v>Global Net-zero</v>
      </c>
      <c r="D855" t="str">
        <f>[1]Result_notebook_retravaill!D855</f>
        <v>Production potential</v>
      </c>
      <c r="E855" t="str">
        <f>[1]Result_notebook_retravaill!E855</f>
        <v>Current shares</v>
      </c>
      <c r="F855" t="str">
        <f>[1]Result_notebook_retravaill!F855</f>
        <v>Expansion Extractive+Circularity</v>
      </c>
      <c r="G855">
        <f>[1]Result_notebook_retravaill!G855</f>
        <v>4227.3945281288607</v>
      </c>
      <c r="H855" s="3">
        <f>IF([1]Result_notebook_retravaill!I855&gt;[1]Result_notebook_retravaill!G855,[1]Result_notebook_retravaill!I855/[1]Result_notebook_retravaill!N855,[1]Result_notebook_retravaill!H855)</f>
        <v>57.127421790883162</v>
      </c>
      <c r="I855" s="3">
        <f>[1]Result_notebook_retravaill!K855</f>
        <v>6988.5301250905513</v>
      </c>
      <c r="J855" s="3">
        <f>MIN(G855,[1]Result_notebook_retravaill!I855)</f>
        <v>34.193270634870977</v>
      </c>
      <c r="K855" s="3">
        <f>IF([1]Result_notebook_retravaill!I855&gt;[1]Result_notebook_retravaill!G855,0,IF([1]Result_notebook_retravaill!I855+[1]Result_notebook_retravaill!J855&gt;[1]Result_notebook_retravaill!G855,[1]Result_notebook_retravaill!G855-[1]Result_notebook_retravaill!I855,[1]Result_notebook_retravaill!J855))</f>
        <v>22.934151156012184</v>
      </c>
      <c r="L855" s="3">
        <f>IF([1]Result_notebook_retravaill!I855&gt;[1]Result_notebook_retravaill!G855,0,IF([1]Result_notebook_retravaill!I855+[1]Result_notebook_retravaill!J855&gt;[1]Result_notebook_retravaill!G855,0,[1]Result_notebook_retravaill!M855))</f>
        <v>4170.2671063379776</v>
      </c>
    </row>
    <row r="856" spans="1:12">
      <c r="A856">
        <f>[1]Result_notebook_retravaill!A856</f>
        <v>2034</v>
      </c>
      <c r="B856" t="str">
        <f>[1]Result_notebook_retravaill!B856</f>
        <v>Neodymium</v>
      </c>
      <c r="C856" t="str">
        <f>[1]Result_notebook_retravaill!C856</f>
        <v>Global Net-zero</v>
      </c>
      <c r="D856" t="str">
        <f>[1]Result_notebook_retravaill!D856</f>
        <v>Production potential</v>
      </c>
      <c r="E856" t="str">
        <f>[1]Result_notebook_retravaill!E856</f>
        <v>100% CAN</v>
      </c>
      <c r="F856" t="str">
        <f>[1]Result_notebook_retravaill!F856</f>
        <v>Integrated</v>
      </c>
      <c r="G856">
        <f>[1]Result_notebook_retravaill!G856</f>
        <v>4227.3945281288607</v>
      </c>
      <c r="H856" s="3">
        <f>IF([1]Result_notebook_retravaill!I856&gt;[1]Result_notebook_retravaill!G856,[1]Result_notebook_retravaill!I856/[1]Result_notebook_retravaill!N856,[1]Result_notebook_retravaill!H856)</f>
        <v>57.127421790883162</v>
      </c>
      <c r="I856" s="3">
        <f>[1]Result_notebook_retravaill!K856</f>
        <v>6988.5301250905513</v>
      </c>
      <c r="J856" s="3">
        <f>MIN(G856,[1]Result_notebook_retravaill!I856)</f>
        <v>34.193270634870977</v>
      </c>
      <c r="K856" s="3">
        <f>IF([1]Result_notebook_retravaill!I856&gt;[1]Result_notebook_retravaill!G856,0,IF([1]Result_notebook_retravaill!I856+[1]Result_notebook_retravaill!J856&gt;[1]Result_notebook_retravaill!G856,[1]Result_notebook_retravaill!G856-[1]Result_notebook_retravaill!I856,[1]Result_notebook_retravaill!J856))</f>
        <v>22.934151156012184</v>
      </c>
      <c r="L856" s="3">
        <f>IF([1]Result_notebook_retravaill!I856&gt;[1]Result_notebook_retravaill!G856,0,IF([1]Result_notebook_retravaill!I856+[1]Result_notebook_retravaill!J856&gt;[1]Result_notebook_retravaill!G856,0,[1]Result_notebook_retravaill!M856))</f>
        <v>4170.2671063379776</v>
      </c>
    </row>
    <row r="857" spans="1:12">
      <c r="A857">
        <f>[1]Result_notebook_retravaill!A857</f>
        <v>2034</v>
      </c>
      <c r="B857" t="str">
        <f>[1]Result_notebook_retravaill!B857</f>
        <v>Nickel</v>
      </c>
      <c r="C857" t="str">
        <f>[1]Result_notebook_retravaill!C857</f>
        <v>Canada Net-zero</v>
      </c>
      <c r="D857" t="str">
        <f>[1]Result_notebook_retravaill!D857</f>
        <v>Existing production</v>
      </c>
      <c r="E857" t="str">
        <f>[1]Result_notebook_retravaill!E857</f>
        <v>Current shares</v>
      </c>
      <c r="F857" t="str">
        <f>[1]Result_notebook_retravaill!F857</f>
        <v>NIMBY</v>
      </c>
      <c r="G857">
        <f>[1]Result_notebook_retravaill!G857</f>
        <v>138718.89695700069</v>
      </c>
      <c r="H857" s="3">
        <f>IF([1]Result_notebook_retravaill!I857&gt;[1]Result_notebook_retravaill!G857,[1]Result_notebook_retravaill!I857/[1]Result_notebook_retravaill!N857,[1]Result_notebook_retravaill!H857)</f>
        <v>0</v>
      </c>
      <c r="I857" s="3">
        <f>[1]Result_notebook_retravaill!K857</f>
        <v>175593.54045189961</v>
      </c>
      <c r="J857" s="3">
        <f>MIN(G857,[1]Result_notebook_retravaill!I857)</f>
        <v>0</v>
      </c>
      <c r="K857" s="3">
        <f>IF([1]Result_notebook_retravaill!I857&gt;[1]Result_notebook_retravaill!G857,0,IF([1]Result_notebook_retravaill!I857+[1]Result_notebook_retravaill!J857&gt;[1]Result_notebook_retravaill!G857,[1]Result_notebook_retravaill!G857-[1]Result_notebook_retravaill!I857,[1]Result_notebook_retravaill!J857))</f>
        <v>0</v>
      </c>
      <c r="L857" s="3">
        <f>IF([1]Result_notebook_retravaill!I857&gt;[1]Result_notebook_retravaill!G857,0,IF([1]Result_notebook_retravaill!I857+[1]Result_notebook_retravaill!J857&gt;[1]Result_notebook_retravaill!G857,0,[1]Result_notebook_retravaill!M857))</f>
        <v>138718.89695700069</v>
      </c>
    </row>
    <row r="858" spans="1:12">
      <c r="A858">
        <f>[1]Result_notebook_retravaill!A858</f>
        <v>2034</v>
      </c>
      <c r="B858" t="str">
        <f>[1]Result_notebook_retravaill!B858</f>
        <v>Nickel</v>
      </c>
      <c r="C858" t="str">
        <f>[1]Result_notebook_retravaill!C858</f>
        <v>Canada Net-zero</v>
      </c>
      <c r="D858" t="str">
        <f>[1]Result_notebook_retravaill!D858</f>
        <v>Existing production</v>
      </c>
      <c r="E858" t="str">
        <f>[1]Result_notebook_retravaill!E858</f>
        <v>Current shares</v>
      </c>
      <c r="F858" t="str">
        <f>[1]Result_notebook_retravaill!F858</f>
        <v>Status Quo</v>
      </c>
      <c r="G858">
        <f>[1]Result_notebook_retravaill!G858</f>
        <v>138718.89695700069</v>
      </c>
      <c r="H858" s="3">
        <f>IF([1]Result_notebook_retravaill!I858&gt;[1]Result_notebook_retravaill!G858,[1]Result_notebook_retravaill!I858/[1]Result_notebook_retravaill!N858,[1]Result_notebook_retravaill!H858)</f>
        <v>118000</v>
      </c>
      <c r="I858" s="3">
        <f>[1]Result_notebook_retravaill!K858</f>
        <v>57593.540451899607</v>
      </c>
      <c r="J858" s="3">
        <f>MIN(G858,[1]Result_notebook_retravaill!I858)</f>
        <v>66183.845060727675</v>
      </c>
      <c r="K858" s="3">
        <f>IF([1]Result_notebook_retravaill!I858&gt;[1]Result_notebook_retravaill!G858,0,IF([1]Result_notebook_retravaill!I858+[1]Result_notebook_retravaill!J858&gt;[1]Result_notebook_retravaill!G858,[1]Result_notebook_retravaill!G858-[1]Result_notebook_retravaill!I858,[1]Result_notebook_retravaill!J858))</f>
        <v>16318.270507305919</v>
      </c>
      <c r="L858" s="3">
        <f>IF([1]Result_notebook_retravaill!I858&gt;[1]Result_notebook_retravaill!G858,0,IF([1]Result_notebook_retravaill!I858+[1]Result_notebook_retravaill!J858&gt;[1]Result_notebook_retravaill!G858,0,[1]Result_notebook_retravaill!M858))</f>
        <v>56216.781388967094</v>
      </c>
    </row>
    <row r="859" spans="1:12">
      <c r="A859">
        <f>[1]Result_notebook_retravaill!A859</f>
        <v>2034</v>
      </c>
      <c r="B859" t="str">
        <f>[1]Result_notebook_retravaill!B859</f>
        <v>Nickel</v>
      </c>
      <c r="C859" t="str">
        <f>[1]Result_notebook_retravaill!C859</f>
        <v>Canada Net-zero</v>
      </c>
      <c r="D859" t="str">
        <f>[1]Result_notebook_retravaill!D859</f>
        <v>Production potential</v>
      </c>
      <c r="E859" t="str">
        <f>[1]Result_notebook_retravaill!E859</f>
        <v>Current shares</v>
      </c>
      <c r="F859" t="str">
        <f>[1]Result_notebook_retravaill!F859</f>
        <v>Expansion Extractive</v>
      </c>
      <c r="G859">
        <f>[1]Result_notebook_retravaill!G859</f>
        <v>138718.89695700069</v>
      </c>
      <c r="H859" s="3">
        <f>IF([1]Result_notebook_retravaill!I859&gt;[1]Result_notebook_retravaill!G859,[1]Result_notebook_retravaill!I859/[1]Result_notebook_retravaill!N859,[1]Result_notebook_retravaill!H859)</f>
        <v>215984.6873896351</v>
      </c>
      <c r="I859" s="3">
        <f>[1]Result_notebook_retravaill!K859</f>
        <v>0</v>
      </c>
      <c r="J859" s="3">
        <f>MIN(G859,[1]Result_notebook_retravaill!I859)</f>
        <v>121141.5007261467</v>
      </c>
      <c r="K859" s="3">
        <f>IF([1]Result_notebook_retravaill!I859&gt;[1]Result_notebook_retravaill!G859,0,IF([1]Result_notebook_retravaill!I859+[1]Result_notebook_retravaill!J859&gt;[1]Result_notebook_retravaill!G859,[1]Result_notebook_retravaill!G859-[1]Result_notebook_retravaill!I859,[1]Result_notebook_retravaill!J859))</f>
        <v>17577.396230853992</v>
      </c>
      <c r="L859" s="3">
        <f>IF([1]Result_notebook_retravaill!I859&gt;[1]Result_notebook_retravaill!G859,0,IF([1]Result_notebook_retravaill!I859+[1]Result_notebook_retravaill!J859&gt;[1]Result_notebook_retravaill!G859,0,[1]Result_notebook_retravaill!M859))</f>
        <v>0</v>
      </c>
    </row>
    <row r="860" spans="1:12">
      <c r="A860">
        <f>[1]Result_notebook_retravaill!A860</f>
        <v>2034</v>
      </c>
      <c r="B860" t="str">
        <f>[1]Result_notebook_retravaill!B860</f>
        <v>Nickel</v>
      </c>
      <c r="C860" t="str">
        <f>[1]Result_notebook_retravaill!C860</f>
        <v>Canada Net-zero</v>
      </c>
      <c r="D860" t="str">
        <f>[1]Result_notebook_retravaill!D860</f>
        <v>Production potential</v>
      </c>
      <c r="E860" t="str">
        <f>[1]Result_notebook_retravaill!E860</f>
        <v>Current shares</v>
      </c>
      <c r="F860" t="str">
        <f>[1]Result_notebook_retravaill!F860</f>
        <v>Expansion Extractive+Circularity</v>
      </c>
      <c r="G860">
        <f>[1]Result_notebook_retravaill!G860</f>
        <v>138718.89695700069</v>
      </c>
      <c r="H860" s="3">
        <f>IF([1]Result_notebook_retravaill!I860&gt;[1]Result_notebook_retravaill!G860,[1]Result_notebook_retravaill!I860/[1]Result_notebook_retravaill!N860,[1]Result_notebook_retravaill!H860)</f>
        <v>215984.6873896351</v>
      </c>
      <c r="I860" s="3">
        <f>[1]Result_notebook_retravaill!K860</f>
        <v>0</v>
      </c>
      <c r="J860" s="3">
        <f>MIN(G860,[1]Result_notebook_retravaill!I860)</f>
        <v>121141.5007261467</v>
      </c>
      <c r="K860" s="3">
        <f>IF([1]Result_notebook_retravaill!I860&gt;[1]Result_notebook_retravaill!G860,0,IF([1]Result_notebook_retravaill!I860+[1]Result_notebook_retravaill!J860&gt;[1]Result_notebook_retravaill!G860,[1]Result_notebook_retravaill!G860-[1]Result_notebook_retravaill!I860,[1]Result_notebook_retravaill!J860))</f>
        <v>17577.396230853992</v>
      </c>
      <c r="L860" s="3">
        <f>IF([1]Result_notebook_retravaill!I860&gt;[1]Result_notebook_retravaill!G860,0,IF([1]Result_notebook_retravaill!I860+[1]Result_notebook_retravaill!J860&gt;[1]Result_notebook_retravaill!G860,0,[1]Result_notebook_retravaill!M860))</f>
        <v>0</v>
      </c>
    </row>
    <row r="861" spans="1:12">
      <c r="A861">
        <f>[1]Result_notebook_retravaill!A861</f>
        <v>2034</v>
      </c>
      <c r="B861" t="str">
        <f>[1]Result_notebook_retravaill!B861</f>
        <v>Nickel</v>
      </c>
      <c r="C861" t="str">
        <f>[1]Result_notebook_retravaill!C861</f>
        <v>Canada Net-zero</v>
      </c>
      <c r="D861" t="str">
        <f>[1]Result_notebook_retravaill!D861</f>
        <v>Production potential</v>
      </c>
      <c r="E861" t="str">
        <f>[1]Result_notebook_retravaill!E861</f>
        <v>100% CAN</v>
      </c>
      <c r="F861" t="str">
        <f>[1]Result_notebook_retravaill!F861</f>
        <v>Integrated</v>
      </c>
      <c r="G861">
        <f>[1]Result_notebook_retravaill!G861</f>
        <v>138718.89695700069</v>
      </c>
      <c r="H861" s="3">
        <f>IF([1]Result_notebook_retravaill!I861&gt;[1]Result_notebook_retravaill!G861,[1]Result_notebook_retravaill!I861/[1]Result_notebook_retravaill!N861,[1]Result_notebook_retravaill!H861)</f>
        <v>243288.0490156202</v>
      </c>
      <c r="I861" s="3">
        <f>[1]Result_notebook_retravaill!K861</f>
        <v>0</v>
      </c>
      <c r="J861" s="3">
        <f>MIN(G861,[1]Result_notebook_retravaill!I861)</f>
        <v>138718.89695700069</v>
      </c>
      <c r="K861" s="3">
        <f>IF([1]Result_notebook_retravaill!I861&gt;[1]Result_notebook_retravaill!G861,0,IF([1]Result_notebook_retravaill!I861+[1]Result_notebook_retravaill!J861&gt;[1]Result_notebook_retravaill!G861,[1]Result_notebook_retravaill!G861-[1]Result_notebook_retravaill!I861,[1]Result_notebook_retravaill!J861))</f>
        <v>0</v>
      </c>
      <c r="L861" s="3">
        <f>IF([1]Result_notebook_retravaill!I861&gt;[1]Result_notebook_retravaill!G861,0,IF([1]Result_notebook_retravaill!I861+[1]Result_notebook_retravaill!J861&gt;[1]Result_notebook_retravaill!G861,0,[1]Result_notebook_retravaill!M861))</f>
        <v>0</v>
      </c>
    </row>
    <row r="862" spans="1:12">
      <c r="A862">
        <f>[1]Result_notebook_retravaill!A862</f>
        <v>2034</v>
      </c>
      <c r="B862" t="str">
        <f>[1]Result_notebook_retravaill!B862</f>
        <v>Nickel</v>
      </c>
      <c r="C862" t="str">
        <f>[1]Result_notebook_retravaill!C862</f>
        <v>Current Measures</v>
      </c>
      <c r="D862" t="str">
        <f>[1]Result_notebook_retravaill!D862</f>
        <v>Existing production</v>
      </c>
      <c r="E862" t="str">
        <f>[1]Result_notebook_retravaill!E862</f>
        <v>Current shares</v>
      </c>
      <c r="F862" t="str">
        <f>[1]Result_notebook_retravaill!F862</f>
        <v>NIMBY</v>
      </c>
      <c r="G862">
        <f>[1]Result_notebook_retravaill!G862</f>
        <v>57371.149375960449</v>
      </c>
      <c r="H862" s="3">
        <f>IF([1]Result_notebook_retravaill!I862&gt;[1]Result_notebook_retravaill!G862,[1]Result_notebook_retravaill!I862/[1]Result_notebook_retravaill!N862,[1]Result_notebook_retravaill!H862)</f>
        <v>0</v>
      </c>
      <c r="I862" s="3">
        <f>[1]Result_notebook_retravaill!K862</f>
        <v>72621.708070836015</v>
      </c>
      <c r="J862" s="3">
        <f>MIN(G862,[1]Result_notebook_retravaill!I862)</f>
        <v>0</v>
      </c>
      <c r="K862" s="3">
        <f>IF([1]Result_notebook_retravaill!I862&gt;[1]Result_notebook_retravaill!G862,0,IF([1]Result_notebook_retravaill!I862+[1]Result_notebook_retravaill!J862&gt;[1]Result_notebook_retravaill!G862,[1]Result_notebook_retravaill!G862-[1]Result_notebook_retravaill!I862,[1]Result_notebook_retravaill!J862))</f>
        <v>0</v>
      </c>
      <c r="L862" s="3">
        <f>IF([1]Result_notebook_retravaill!I862&gt;[1]Result_notebook_retravaill!G862,0,IF([1]Result_notebook_retravaill!I862+[1]Result_notebook_retravaill!J862&gt;[1]Result_notebook_retravaill!G862,0,[1]Result_notebook_retravaill!M862))</f>
        <v>57371.149375960449</v>
      </c>
    </row>
    <row r="863" spans="1:12">
      <c r="A863">
        <f>[1]Result_notebook_retravaill!A863</f>
        <v>2034</v>
      </c>
      <c r="B863" t="str">
        <f>[1]Result_notebook_retravaill!B863</f>
        <v>Nickel</v>
      </c>
      <c r="C863" t="str">
        <f>[1]Result_notebook_retravaill!C863</f>
        <v>Current Measures</v>
      </c>
      <c r="D863" t="str">
        <f>[1]Result_notebook_retravaill!D863</f>
        <v>Existing production</v>
      </c>
      <c r="E863" t="str">
        <f>[1]Result_notebook_retravaill!E863</f>
        <v>Current shares</v>
      </c>
      <c r="F863" t="str">
        <f>[1]Result_notebook_retravaill!F863</f>
        <v>Status Quo</v>
      </c>
      <c r="G863">
        <f>[1]Result_notebook_retravaill!G863</f>
        <v>57371.149375960449</v>
      </c>
      <c r="H863" s="3">
        <f>IF([1]Result_notebook_retravaill!I863&gt;[1]Result_notebook_retravaill!G863,[1]Result_notebook_retravaill!I863/[1]Result_notebook_retravaill!N863,[1]Result_notebook_retravaill!H863)</f>
        <v>94660.526744017479</v>
      </c>
      <c r="I863" s="3">
        <f>[1]Result_notebook_retravaill!K863</f>
        <v>0</v>
      </c>
      <c r="J863" s="3">
        <f>MIN(G863,[1]Result_notebook_retravaill!I863)</f>
        <v>57371.149375960449</v>
      </c>
      <c r="K863" s="3">
        <f>IF([1]Result_notebook_retravaill!I863&gt;[1]Result_notebook_retravaill!G863,0,IF([1]Result_notebook_retravaill!I863+[1]Result_notebook_retravaill!J863&gt;[1]Result_notebook_retravaill!G863,[1]Result_notebook_retravaill!G863-[1]Result_notebook_retravaill!I863,[1]Result_notebook_retravaill!J863))</f>
        <v>0</v>
      </c>
      <c r="L863" s="3">
        <f>IF([1]Result_notebook_retravaill!I863&gt;[1]Result_notebook_retravaill!G863,0,IF([1]Result_notebook_retravaill!I863+[1]Result_notebook_retravaill!J863&gt;[1]Result_notebook_retravaill!G863,0,[1]Result_notebook_retravaill!M863))</f>
        <v>0</v>
      </c>
    </row>
    <row r="864" spans="1:12">
      <c r="A864">
        <f>[1]Result_notebook_retravaill!A864</f>
        <v>2034</v>
      </c>
      <c r="B864" t="str">
        <f>[1]Result_notebook_retravaill!B864</f>
        <v>Nickel</v>
      </c>
      <c r="C864" t="str">
        <f>[1]Result_notebook_retravaill!C864</f>
        <v>Current Measures</v>
      </c>
      <c r="D864" t="str">
        <f>[1]Result_notebook_retravaill!D864</f>
        <v>Production potential</v>
      </c>
      <c r="E864" t="str">
        <f>[1]Result_notebook_retravaill!E864</f>
        <v>Current shares</v>
      </c>
      <c r="F864" t="str">
        <f>[1]Result_notebook_retravaill!F864</f>
        <v>Expansion Extractive</v>
      </c>
      <c r="G864">
        <f>[1]Result_notebook_retravaill!G864</f>
        <v>57371.149375960449</v>
      </c>
      <c r="H864" s="3">
        <f>IF([1]Result_notebook_retravaill!I864&gt;[1]Result_notebook_retravaill!G864,[1]Result_notebook_retravaill!I864/[1]Result_notebook_retravaill!N864,[1]Result_notebook_retravaill!H864)</f>
        <v>173264.6125164814</v>
      </c>
      <c r="I864" s="3">
        <f>[1]Result_notebook_retravaill!K864</f>
        <v>0</v>
      </c>
      <c r="J864" s="3">
        <f>MIN(G864,[1]Result_notebook_retravaill!I864)</f>
        <v>57371.149375960449</v>
      </c>
      <c r="K864" s="3">
        <f>IF([1]Result_notebook_retravaill!I864&gt;[1]Result_notebook_retravaill!G864,0,IF([1]Result_notebook_retravaill!I864+[1]Result_notebook_retravaill!J864&gt;[1]Result_notebook_retravaill!G864,[1]Result_notebook_retravaill!G864-[1]Result_notebook_retravaill!I864,[1]Result_notebook_retravaill!J864))</f>
        <v>0</v>
      </c>
      <c r="L864" s="3">
        <f>IF([1]Result_notebook_retravaill!I864&gt;[1]Result_notebook_retravaill!G864,0,IF([1]Result_notebook_retravaill!I864+[1]Result_notebook_retravaill!J864&gt;[1]Result_notebook_retravaill!G864,0,[1]Result_notebook_retravaill!M864))</f>
        <v>0</v>
      </c>
    </row>
    <row r="865" spans="1:12">
      <c r="A865">
        <f>[1]Result_notebook_retravaill!A865</f>
        <v>2034</v>
      </c>
      <c r="B865" t="str">
        <f>[1]Result_notebook_retravaill!B865</f>
        <v>Nickel</v>
      </c>
      <c r="C865" t="str">
        <f>[1]Result_notebook_retravaill!C865</f>
        <v>Current Measures</v>
      </c>
      <c r="D865" t="str">
        <f>[1]Result_notebook_retravaill!D865</f>
        <v>Production potential</v>
      </c>
      <c r="E865" t="str">
        <f>[1]Result_notebook_retravaill!E865</f>
        <v>Current shares</v>
      </c>
      <c r="F865" t="str">
        <f>[1]Result_notebook_retravaill!F865</f>
        <v>Expansion Extractive+Circularity</v>
      </c>
      <c r="G865">
        <f>[1]Result_notebook_retravaill!G865</f>
        <v>57371.149375960449</v>
      </c>
      <c r="H865" s="3">
        <f>IF([1]Result_notebook_retravaill!I865&gt;[1]Result_notebook_retravaill!G865,[1]Result_notebook_retravaill!I865/[1]Result_notebook_retravaill!N865,[1]Result_notebook_retravaill!H865)</f>
        <v>173264.6125164814</v>
      </c>
      <c r="I865" s="3">
        <f>[1]Result_notebook_retravaill!K865</f>
        <v>0</v>
      </c>
      <c r="J865" s="3">
        <f>MIN(G865,[1]Result_notebook_retravaill!I865)</f>
        <v>57371.149375960449</v>
      </c>
      <c r="K865" s="3">
        <f>IF([1]Result_notebook_retravaill!I865&gt;[1]Result_notebook_retravaill!G865,0,IF([1]Result_notebook_retravaill!I865+[1]Result_notebook_retravaill!J865&gt;[1]Result_notebook_retravaill!G865,[1]Result_notebook_retravaill!G865-[1]Result_notebook_retravaill!I865,[1]Result_notebook_retravaill!J865))</f>
        <v>0</v>
      </c>
      <c r="L865" s="3">
        <f>IF([1]Result_notebook_retravaill!I865&gt;[1]Result_notebook_retravaill!G865,0,IF([1]Result_notebook_retravaill!I865+[1]Result_notebook_retravaill!J865&gt;[1]Result_notebook_retravaill!G865,0,[1]Result_notebook_retravaill!M865))</f>
        <v>0</v>
      </c>
    </row>
    <row r="866" spans="1:12">
      <c r="A866">
        <f>[1]Result_notebook_retravaill!A866</f>
        <v>2034</v>
      </c>
      <c r="B866" t="str">
        <f>[1]Result_notebook_retravaill!B866</f>
        <v>Nickel</v>
      </c>
      <c r="C866" t="str">
        <f>[1]Result_notebook_retravaill!C866</f>
        <v>Current Measures</v>
      </c>
      <c r="D866" t="str">
        <f>[1]Result_notebook_retravaill!D866</f>
        <v>Production potential</v>
      </c>
      <c r="E866" t="str">
        <f>[1]Result_notebook_retravaill!E866</f>
        <v>100% CAN</v>
      </c>
      <c r="F866" t="str">
        <f>[1]Result_notebook_retravaill!F866</f>
        <v>Integrated</v>
      </c>
      <c r="G866">
        <f>[1]Result_notebook_retravaill!G866</f>
        <v>57371.149375960449</v>
      </c>
      <c r="H866" s="3">
        <f>IF([1]Result_notebook_retravaill!I866&gt;[1]Result_notebook_retravaill!G866,[1]Result_notebook_retravaill!I866/[1]Result_notebook_retravaill!N866,[1]Result_notebook_retravaill!H866)</f>
        <v>243288.0490156202</v>
      </c>
      <c r="I866" s="3">
        <f>[1]Result_notebook_retravaill!K866</f>
        <v>0</v>
      </c>
      <c r="J866" s="3">
        <f>MIN(G866,[1]Result_notebook_retravaill!I866)</f>
        <v>57371.149375960449</v>
      </c>
      <c r="K866" s="3">
        <f>IF([1]Result_notebook_retravaill!I866&gt;[1]Result_notebook_retravaill!G866,0,IF([1]Result_notebook_retravaill!I866+[1]Result_notebook_retravaill!J866&gt;[1]Result_notebook_retravaill!G866,[1]Result_notebook_retravaill!G866-[1]Result_notebook_retravaill!I866,[1]Result_notebook_retravaill!J866))</f>
        <v>0</v>
      </c>
      <c r="L866" s="3">
        <f>IF([1]Result_notebook_retravaill!I866&gt;[1]Result_notebook_retravaill!G866,0,IF([1]Result_notebook_retravaill!I866+[1]Result_notebook_retravaill!J866&gt;[1]Result_notebook_retravaill!G866,0,[1]Result_notebook_retravaill!M866))</f>
        <v>0</v>
      </c>
    </row>
    <row r="867" spans="1:12">
      <c r="A867">
        <f>[1]Result_notebook_retravaill!A867</f>
        <v>2034</v>
      </c>
      <c r="B867" t="str">
        <f>[1]Result_notebook_retravaill!B867</f>
        <v>Nickel</v>
      </c>
      <c r="C867" t="str">
        <f>[1]Result_notebook_retravaill!C867</f>
        <v>Global Net-zero</v>
      </c>
      <c r="D867" t="str">
        <f>[1]Result_notebook_retravaill!D867</f>
        <v>Existing production</v>
      </c>
      <c r="E867" t="str">
        <f>[1]Result_notebook_retravaill!E867</f>
        <v>Current shares</v>
      </c>
      <c r="F867" t="str">
        <f>[1]Result_notebook_retravaill!F867</f>
        <v>NIMBY</v>
      </c>
      <c r="G867">
        <f>[1]Result_notebook_retravaill!G867</f>
        <v>133155.21418504749</v>
      </c>
      <c r="H867" s="3">
        <f>IF([1]Result_notebook_retravaill!I867&gt;[1]Result_notebook_retravaill!G867,[1]Result_notebook_retravaill!I867/[1]Result_notebook_retravaill!N867,[1]Result_notebook_retravaill!H867)</f>
        <v>0</v>
      </c>
      <c r="I867" s="3">
        <f>[1]Result_notebook_retravaill!K867</f>
        <v>168550.90403170569</v>
      </c>
      <c r="J867" s="3">
        <f>MIN(G867,[1]Result_notebook_retravaill!I867)</f>
        <v>0</v>
      </c>
      <c r="K867" s="3">
        <f>IF([1]Result_notebook_retravaill!I867&gt;[1]Result_notebook_retravaill!G867,0,IF([1]Result_notebook_retravaill!I867+[1]Result_notebook_retravaill!J867&gt;[1]Result_notebook_retravaill!G867,[1]Result_notebook_retravaill!G867-[1]Result_notebook_retravaill!I867,[1]Result_notebook_retravaill!J867))</f>
        <v>0</v>
      </c>
      <c r="L867" s="3">
        <f>IF([1]Result_notebook_retravaill!I867&gt;[1]Result_notebook_retravaill!G867,0,IF([1]Result_notebook_retravaill!I867+[1]Result_notebook_retravaill!J867&gt;[1]Result_notebook_retravaill!G867,0,[1]Result_notebook_retravaill!M867))</f>
        <v>133155.21418504749</v>
      </c>
    </row>
    <row r="868" spans="1:12">
      <c r="A868">
        <f>[1]Result_notebook_retravaill!A868</f>
        <v>2034</v>
      </c>
      <c r="B868" t="str">
        <f>[1]Result_notebook_retravaill!B868</f>
        <v>Nickel</v>
      </c>
      <c r="C868" t="str">
        <f>[1]Result_notebook_retravaill!C868</f>
        <v>Global Net-zero</v>
      </c>
      <c r="D868" t="str">
        <f>[1]Result_notebook_retravaill!D868</f>
        <v>Existing production</v>
      </c>
      <c r="E868" t="str">
        <f>[1]Result_notebook_retravaill!E868</f>
        <v>Current shares</v>
      </c>
      <c r="F868" t="str">
        <f>[1]Result_notebook_retravaill!F868</f>
        <v>Status Quo</v>
      </c>
      <c r="G868">
        <f>[1]Result_notebook_retravaill!G868</f>
        <v>133155.21418504749</v>
      </c>
      <c r="H868" s="3">
        <f>IF([1]Result_notebook_retravaill!I868&gt;[1]Result_notebook_retravaill!G868,[1]Result_notebook_retravaill!I868/[1]Result_notebook_retravaill!N868,[1]Result_notebook_retravaill!H868)</f>
        <v>118000</v>
      </c>
      <c r="I868" s="3">
        <f>[1]Result_notebook_retravaill!K868</f>
        <v>50550.904031705657</v>
      </c>
      <c r="J868" s="3">
        <f>MIN(G868,[1]Result_notebook_retravaill!I868)</f>
        <v>66183.845060727675</v>
      </c>
      <c r="K868" s="3">
        <f>IF([1]Result_notebook_retravaill!I868&gt;[1]Result_notebook_retravaill!G868,0,IF([1]Result_notebook_retravaill!I868+[1]Result_notebook_retravaill!J868&gt;[1]Result_notebook_retravaill!G868,[1]Result_notebook_retravaill!G868-[1]Result_notebook_retravaill!I868,[1]Result_notebook_retravaill!J868))</f>
        <v>16318.270507305919</v>
      </c>
      <c r="L868" s="3">
        <f>IF([1]Result_notebook_retravaill!I868&gt;[1]Result_notebook_retravaill!G868,0,IF([1]Result_notebook_retravaill!I868+[1]Result_notebook_retravaill!J868&gt;[1]Result_notebook_retravaill!G868,0,[1]Result_notebook_retravaill!M868))</f>
        <v>50653.098617013893</v>
      </c>
    </row>
    <row r="869" spans="1:12">
      <c r="A869">
        <f>[1]Result_notebook_retravaill!A869</f>
        <v>2034</v>
      </c>
      <c r="B869" t="str">
        <f>[1]Result_notebook_retravaill!B869</f>
        <v>Nickel</v>
      </c>
      <c r="C869" t="str">
        <f>[1]Result_notebook_retravaill!C869</f>
        <v>Global Net-zero</v>
      </c>
      <c r="D869" t="str">
        <f>[1]Result_notebook_retravaill!D869</f>
        <v>Production potential</v>
      </c>
      <c r="E869" t="str">
        <f>[1]Result_notebook_retravaill!E869</f>
        <v>Current shares</v>
      </c>
      <c r="F869" t="str">
        <f>[1]Result_notebook_retravaill!F869</f>
        <v>Expansion Extractive</v>
      </c>
      <c r="G869">
        <f>[1]Result_notebook_retravaill!G869</f>
        <v>133155.21418504749</v>
      </c>
      <c r="H869" s="3">
        <f>IF([1]Result_notebook_retravaill!I869&gt;[1]Result_notebook_retravaill!G869,[1]Result_notebook_retravaill!I869/[1]Result_notebook_retravaill!N869,[1]Result_notebook_retravaill!H869)</f>
        <v>215984.6873896351</v>
      </c>
      <c r="I869" s="3">
        <f>[1]Result_notebook_retravaill!K869</f>
        <v>0</v>
      </c>
      <c r="J869" s="3">
        <f>MIN(G869,[1]Result_notebook_retravaill!I869)</f>
        <v>121141.5007261467</v>
      </c>
      <c r="K869" s="3">
        <f>IF([1]Result_notebook_retravaill!I869&gt;[1]Result_notebook_retravaill!G869,0,IF([1]Result_notebook_retravaill!I869+[1]Result_notebook_retravaill!J869&gt;[1]Result_notebook_retravaill!G869,[1]Result_notebook_retravaill!G869-[1]Result_notebook_retravaill!I869,[1]Result_notebook_retravaill!J869))</f>
        <v>12013.713458900791</v>
      </c>
      <c r="L869" s="3">
        <f>IF([1]Result_notebook_retravaill!I869&gt;[1]Result_notebook_retravaill!G869,0,IF([1]Result_notebook_retravaill!I869+[1]Result_notebook_retravaill!J869&gt;[1]Result_notebook_retravaill!G869,0,[1]Result_notebook_retravaill!M869))</f>
        <v>0</v>
      </c>
    </row>
    <row r="870" spans="1:12">
      <c r="A870">
        <f>[1]Result_notebook_retravaill!A870</f>
        <v>2034</v>
      </c>
      <c r="B870" t="str">
        <f>[1]Result_notebook_retravaill!B870</f>
        <v>Nickel</v>
      </c>
      <c r="C870" t="str">
        <f>[1]Result_notebook_retravaill!C870</f>
        <v>Global Net-zero</v>
      </c>
      <c r="D870" t="str">
        <f>[1]Result_notebook_retravaill!D870</f>
        <v>Production potential</v>
      </c>
      <c r="E870" t="str">
        <f>[1]Result_notebook_retravaill!E870</f>
        <v>Current shares</v>
      </c>
      <c r="F870" t="str">
        <f>[1]Result_notebook_retravaill!F870</f>
        <v>Expansion Extractive+Circularity</v>
      </c>
      <c r="G870">
        <f>[1]Result_notebook_retravaill!G870</f>
        <v>133155.21418504749</v>
      </c>
      <c r="H870" s="3">
        <f>IF([1]Result_notebook_retravaill!I870&gt;[1]Result_notebook_retravaill!G870,[1]Result_notebook_retravaill!I870/[1]Result_notebook_retravaill!N870,[1]Result_notebook_retravaill!H870)</f>
        <v>215984.6873896351</v>
      </c>
      <c r="I870" s="3">
        <f>[1]Result_notebook_retravaill!K870</f>
        <v>0</v>
      </c>
      <c r="J870" s="3">
        <f>MIN(G870,[1]Result_notebook_retravaill!I870)</f>
        <v>121141.5007261467</v>
      </c>
      <c r="K870" s="3">
        <f>IF([1]Result_notebook_retravaill!I870&gt;[1]Result_notebook_retravaill!G870,0,IF([1]Result_notebook_retravaill!I870+[1]Result_notebook_retravaill!J870&gt;[1]Result_notebook_retravaill!G870,[1]Result_notebook_retravaill!G870-[1]Result_notebook_retravaill!I870,[1]Result_notebook_retravaill!J870))</f>
        <v>12013.713458900791</v>
      </c>
      <c r="L870" s="3">
        <f>IF([1]Result_notebook_retravaill!I870&gt;[1]Result_notebook_retravaill!G870,0,IF([1]Result_notebook_retravaill!I870+[1]Result_notebook_retravaill!J870&gt;[1]Result_notebook_retravaill!G870,0,[1]Result_notebook_retravaill!M870))</f>
        <v>0</v>
      </c>
    </row>
    <row r="871" spans="1:12">
      <c r="A871">
        <f>[1]Result_notebook_retravaill!A871</f>
        <v>2034</v>
      </c>
      <c r="B871" t="str">
        <f>[1]Result_notebook_retravaill!B871</f>
        <v>Nickel</v>
      </c>
      <c r="C871" t="str">
        <f>[1]Result_notebook_retravaill!C871</f>
        <v>Global Net-zero</v>
      </c>
      <c r="D871" t="str">
        <f>[1]Result_notebook_retravaill!D871</f>
        <v>Production potential</v>
      </c>
      <c r="E871" t="str">
        <f>[1]Result_notebook_retravaill!E871</f>
        <v>100% CAN</v>
      </c>
      <c r="F871" t="str">
        <f>[1]Result_notebook_retravaill!F871</f>
        <v>Integrated</v>
      </c>
      <c r="G871">
        <f>[1]Result_notebook_retravaill!G871</f>
        <v>133155.21418504749</v>
      </c>
      <c r="H871" s="3">
        <f>IF([1]Result_notebook_retravaill!I871&gt;[1]Result_notebook_retravaill!G871,[1]Result_notebook_retravaill!I871/[1]Result_notebook_retravaill!N871,[1]Result_notebook_retravaill!H871)</f>
        <v>243288.0490156202</v>
      </c>
      <c r="I871" s="3">
        <f>[1]Result_notebook_retravaill!K871</f>
        <v>0</v>
      </c>
      <c r="J871" s="3">
        <f>MIN(G871,[1]Result_notebook_retravaill!I871)</f>
        <v>133155.21418504749</v>
      </c>
      <c r="K871" s="3">
        <f>IF([1]Result_notebook_retravaill!I871&gt;[1]Result_notebook_retravaill!G871,0,IF([1]Result_notebook_retravaill!I871+[1]Result_notebook_retravaill!J871&gt;[1]Result_notebook_retravaill!G871,[1]Result_notebook_retravaill!G871-[1]Result_notebook_retravaill!I871,[1]Result_notebook_retravaill!J871))</f>
        <v>0</v>
      </c>
      <c r="L871" s="3">
        <f>IF([1]Result_notebook_retravaill!I871&gt;[1]Result_notebook_retravaill!G871,0,IF([1]Result_notebook_retravaill!I871+[1]Result_notebook_retravaill!J871&gt;[1]Result_notebook_retravaill!G871,0,[1]Result_notebook_retravaill!M871))</f>
        <v>0</v>
      </c>
    </row>
    <row r="872" spans="1:12">
      <c r="A872">
        <f>[1]Result_notebook_retravaill!A872</f>
        <v>2034</v>
      </c>
      <c r="B872" t="str">
        <f>[1]Result_notebook_retravaill!B872</f>
        <v>Graphite</v>
      </c>
      <c r="C872" t="str">
        <f>[1]Result_notebook_retravaill!C872</f>
        <v>Canada Net-zero</v>
      </c>
      <c r="D872" t="str">
        <f>[1]Result_notebook_retravaill!D872</f>
        <v>Existing production</v>
      </c>
      <c r="E872" t="str">
        <f>[1]Result_notebook_retravaill!E872</f>
        <v>Current shares</v>
      </c>
      <c r="F872" t="str">
        <f>[1]Result_notebook_retravaill!F872</f>
        <v>NIMBY</v>
      </c>
      <c r="G872">
        <f>[1]Result_notebook_retravaill!G872</f>
        <v>2934.8364470711022</v>
      </c>
      <c r="H872" s="3">
        <f>IF([1]Result_notebook_retravaill!I872&gt;[1]Result_notebook_retravaill!G872,[1]Result_notebook_retravaill!I872/[1]Result_notebook_retravaill!N872,[1]Result_notebook_retravaill!H872)</f>
        <v>0</v>
      </c>
      <c r="I872" s="3">
        <f>[1]Result_notebook_retravaill!K872</f>
        <v>2934.8364470711022</v>
      </c>
      <c r="J872" s="3">
        <f>MIN(G872,[1]Result_notebook_retravaill!I872)</f>
        <v>0</v>
      </c>
      <c r="K872" s="3">
        <f>IF([1]Result_notebook_retravaill!I872&gt;[1]Result_notebook_retravaill!G872,0,IF([1]Result_notebook_retravaill!I872+[1]Result_notebook_retravaill!J872&gt;[1]Result_notebook_retravaill!G872,[1]Result_notebook_retravaill!G872-[1]Result_notebook_retravaill!I872,[1]Result_notebook_retravaill!J872))</f>
        <v>0</v>
      </c>
      <c r="L872" s="3">
        <f>IF([1]Result_notebook_retravaill!I872&gt;[1]Result_notebook_retravaill!G872,0,IF([1]Result_notebook_retravaill!I872+[1]Result_notebook_retravaill!J872&gt;[1]Result_notebook_retravaill!G872,0,[1]Result_notebook_retravaill!M872))</f>
        <v>2934.8364470711022</v>
      </c>
    </row>
    <row r="873" spans="1:12">
      <c r="A873">
        <f>[1]Result_notebook_retravaill!A873</f>
        <v>2034</v>
      </c>
      <c r="B873" t="str">
        <f>[1]Result_notebook_retravaill!B873</f>
        <v>Graphite</v>
      </c>
      <c r="C873" t="str">
        <f>[1]Result_notebook_retravaill!C873</f>
        <v>Canada Net-zero</v>
      </c>
      <c r="D873" t="str">
        <f>[1]Result_notebook_retravaill!D873</f>
        <v>Existing production</v>
      </c>
      <c r="E873" t="str">
        <f>[1]Result_notebook_retravaill!E873</f>
        <v>Current shares</v>
      </c>
      <c r="F873" t="str">
        <f>[1]Result_notebook_retravaill!F873</f>
        <v>Status Quo</v>
      </c>
      <c r="G873">
        <f>[1]Result_notebook_retravaill!G873</f>
        <v>2934.8364470711022</v>
      </c>
      <c r="H873" s="3">
        <f>IF([1]Result_notebook_retravaill!I873&gt;[1]Result_notebook_retravaill!G873,[1]Result_notebook_retravaill!I873/[1]Result_notebook_retravaill!N873,[1]Result_notebook_retravaill!H873)</f>
        <v>0</v>
      </c>
      <c r="I873" s="3">
        <f>[1]Result_notebook_retravaill!K873</f>
        <v>2934.8364470711022</v>
      </c>
      <c r="J873" s="3">
        <f>MIN(G873,[1]Result_notebook_retravaill!I873)</f>
        <v>0</v>
      </c>
      <c r="K873" s="3">
        <f>IF([1]Result_notebook_retravaill!I873&gt;[1]Result_notebook_retravaill!G873,0,IF([1]Result_notebook_retravaill!I873+[1]Result_notebook_retravaill!J873&gt;[1]Result_notebook_retravaill!G873,[1]Result_notebook_retravaill!G873-[1]Result_notebook_retravaill!I873,[1]Result_notebook_retravaill!J873))</f>
        <v>0</v>
      </c>
      <c r="L873" s="3">
        <f>IF([1]Result_notebook_retravaill!I873&gt;[1]Result_notebook_retravaill!G873,0,IF([1]Result_notebook_retravaill!I873+[1]Result_notebook_retravaill!J873&gt;[1]Result_notebook_retravaill!G873,0,[1]Result_notebook_retravaill!M873))</f>
        <v>2934.8364470711022</v>
      </c>
    </row>
    <row r="874" spans="1:12">
      <c r="A874">
        <f>[1]Result_notebook_retravaill!A874</f>
        <v>2034</v>
      </c>
      <c r="B874" t="str">
        <f>[1]Result_notebook_retravaill!B874</f>
        <v>Graphite</v>
      </c>
      <c r="C874" t="str">
        <f>[1]Result_notebook_retravaill!C874</f>
        <v>Canada Net-zero</v>
      </c>
      <c r="D874" t="str">
        <f>[1]Result_notebook_retravaill!D874</f>
        <v>Production potential</v>
      </c>
      <c r="E874" t="str">
        <f>[1]Result_notebook_retravaill!E874</f>
        <v>Current shares</v>
      </c>
      <c r="F874" t="str">
        <f>[1]Result_notebook_retravaill!F874</f>
        <v>Expansion Extractive</v>
      </c>
      <c r="G874">
        <f>[1]Result_notebook_retravaill!G874</f>
        <v>2934.8364470711022</v>
      </c>
      <c r="H874" s="3">
        <f>IF([1]Result_notebook_retravaill!I874&gt;[1]Result_notebook_retravaill!G874,[1]Result_notebook_retravaill!I874/[1]Result_notebook_retravaill!N874,[1]Result_notebook_retravaill!H874)</f>
        <v>71423.337734133369</v>
      </c>
      <c r="I874" s="3">
        <f>[1]Result_notebook_retravaill!K874</f>
        <v>0</v>
      </c>
      <c r="J874" s="3">
        <f>MIN(G874,[1]Result_notebook_retravaill!I874)</f>
        <v>2934.8364470711022</v>
      </c>
      <c r="K874" s="3">
        <f>IF([1]Result_notebook_retravaill!I874&gt;[1]Result_notebook_retravaill!G874,0,IF([1]Result_notebook_retravaill!I874+[1]Result_notebook_retravaill!J874&gt;[1]Result_notebook_retravaill!G874,[1]Result_notebook_retravaill!G874-[1]Result_notebook_retravaill!I874,[1]Result_notebook_retravaill!J874))</f>
        <v>0</v>
      </c>
      <c r="L874" s="3">
        <f>IF([1]Result_notebook_retravaill!I874&gt;[1]Result_notebook_retravaill!G874,0,IF([1]Result_notebook_retravaill!I874+[1]Result_notebook_retravaill!J874&gt;[1]Result_notebook_retravaill!G874,0,[1]Result_notebook_retravaill!M874))</f>
        <v>0</v>
      </c>
    </row>
    <row r="875" spans="1:12">
      <c r="A875">
        <f>[1]Result_notebook_retravaill!A875</f>
        <v>2034</v>
      </c>
      <c r="B875" t="str">
        <f>[1]Result_notebook_retravaill!B875</f>
        <v>Graphite</v>
      </c>
      <c r="C875" t="str">
        <f>[1]Result_notebook_retravaill!C875</f>
        <v>Canada Net-zero</v>
      </c>
      <c r="D875" t="str">
        <f>[1]Result_notebook_retravaill!D875</f>
        <v>Production potential</v>
      </c>
      <c r="E875" t="str">
        <f>[1]Result_notebook_retravaill!E875</f>
        <v>Current shares</v>
      </c>
      <c r="F875" t="str">
        <f>[1]Result_notebook_retravaill!F875</f>
        <v>Expansion Extractive+Circularity</v>
      </c>
      <c r="G875">
        <f>[1]Result_notebook_retravaill!G875</f>
        <v>2934.8364470711022</v>
      </c>
      <c r="H875" s="3">
        <f>IF([1]Result_notebook_retravaill!I875&gt;[1]Result_notebook_retravaill!G875,[1]Result_notebook_retravaill!I875/[1]Result_notebook_retravaill!N875,[1]Result_notebook_retravaill!H875)</f>
        <v>71423.337734133369</v>
      </c>
      <c r="I875" s="3">
        <f>[1]Result_notebook_retravaill!K875</f>
        <v>0</v>
      </c>
      <c r="J875" s="3">
        <f>MIN(G875,[1]Result_notebook_retravaill!I875)</f>
        <v>2934.8364470711022</v>
      </c>
      <c r="K875" s="3">
        <f>IF([1]Result_notebook_retravaill!I875&gt;[1]Result_notebook_retravaill!G875,0,IF([1]Result_notebook_retravaill!I875+[1]Result_notebook_retravaill!J875&gt;[1]Result_notebook_retravaill!G875,[1]Result_notebook_retravaill!G875-[1]Result_notebook_retravaill!I875,[1]Result_notebook_retravaill!J875))</f>
        <v>0</v>
      </c>
      <c r="L875" s="3">
        <f>IF([1]Result_notebook_retravaill!I875&gt;[1]Result_notebook_retravaill!G875,0,IF([1]Result_notebook_retravaill!I875+[1]Result_notebook_retravaill!J875&gt;[1]Result_notebook_retravaill!G875,0,[1]Result_notebook_retravaill!M875))</f>
        <v>0</v>
      </c>
    </row>
    <row r="876" spans="1:12">
      <c r="A876">
        <f>[1]Result_notebook_retravaill!A876</f>
        <v>2034</v>
      </c>
      <c r="B876" t="str">
        <f>[1]Result_notebook_retravaill!B876</f>
        <v>Graphite</v>
      </c>
      <c r="C876" t="str">
        <f>[1]Result_notebook_retravaill!C876</f>
        <v>Canada Net-zero</v>
      </c>
      <c r="D876" t="str">
        <f>[1]Result_notebook_retravaill!D876</f>
        <v>Production potential</v>
      </c>
      <c r="E876" t="str">
        <f>[1]Result_notebook_retravaill!E876</f>
        <v>100% CAN</v>
      </c>
      <c r="F876" t="str">
        <f>[1]Result_notebook_retravaill!F876</f>
        <v>Integrated</v>
      </c>
      <c r="G876">
        <f>[1]Result_notebook_retravaill!G876</f>
        <v>2934.8364470711022</v>
      </c>
      <c r="H876" s="3">
        <f>IF([1]Result_notebook_retravaill!I876&gt;[1]Result_notebook_retravaill!G876,[1]Result_notebook_retravaill!I876/[1]Result_notebook_retravaill!N876,[1]Result_notebook_retravaill!H876)</f>
        <v>71423.337734133369</v>
      </c>
      <c r="I876" s="3">
        <f>[1]Result_notebook_retravaill!K876</f>
        <v>0</v>
      </c>
      <c r="J876" s="3">
        <f>MIN(G876,[1]Result_notebook_retravaill!I876)</f>
        <v>2934.8364470711022</v>
      </c>
      <c r="K876" s="3">
        <f>IF([1]Result_notebook_retravaill!I876&gt;[1]Result_notebook_retravaill!G876,0,IF([1]Result_notebook_retravaill!I876+[1]Result_notebook_retravaill!J876&gt;[1]Result_notebook_retravaill!G876,[1]Result_notebook_retravaill!G876-[1]Result_notebook_retravaill!I876,[1]Result_notebook_retravaill!J876))</f>
        <v>0</v>
      </c>
      <c r="L876" s="3">
        <f>IF([1]Result_notebook_retravaill!I876&gt;[1]Result_notebook_retravaill!G876,0,IF([1]Result_notebook_retravaill!I876+[1]Result_notebook_retravaill!J876&gt;[1]Result_notebook_retravaill!G876,0,[1]Result_notebook_retravaill!M876))</f>
        <v>0</v>
      </c>
    </row>
    <row r="877" spans="1:12">
      <c r="A877">
        <f>[1]Result_notebook_retravaill!A877</f>
        <v>2034</v>
      </c>
      <c r="B877" t="str">
        <f>[1]Result_notebook_retravaill!B877</f>
        <v>Graphite</v>
      </c>
      <c r="C877" t="str">
        <f>[1]Result_notebook_retravaill!C877</f>
        <v>Current Measures</v>
      </c>
      <c r="D877" t="str">
        <f>[1]Result_notebook_retravaill!D877</f>
        <v>Existing production</v>
      </c>
      <c r="E877" t="str">
        <f>[1]Result_notebook_retravaill!E877</f>
        <v>Current shares</v>
      </c>
      <c r="F877" t="str">
        <f>[1]Result_notebook_retravaill!F877</f>
        <v>NIMBY</v>
      </c>
      <c r="G877">
        <f>[1]Result_notebook_retravaill!G877</f>
        <v>1114.482036875012</v>
      </c>
      <c r="H877" s="3">
        <f>IF([1]Result_notebook_retravaill!I877&gt;[1]Result_notebook_retravaill!G877,[1]Result_notebook_retravaill!I877/[1]Result_notebook_retravaill!N877,[1]Result_notebook_retravaill!H877)</f>
        <v>0</v>
      </c>
      <c r="I877" s="3">
        <f>[1]Result_notebook_retravaill!K877</f>
        <v>1114.482036875012</v>
      </c>
      <c r="J877" s="3">
        <f>MIN(G877,[1]Result_notebook_retravaill!I877)</f>
        <v>0</v>
      </c>
      <c r="K877" s="3">
        <f>IF([1]Result_notebook_retravaill!I877&gt;[1]Result_notebook_retravaill!G877,0,IF([1]Result_notebook_retravaill!I877+[1]Result_notebook_retravaill!J877&gt;[1]Result_notebook_retravaill!G877,[1]Result_notebook_retravaill!G877-[1]Result_notebook_retravaill!I877,[1]Result_notebook_retravaill!J877))</f>
        <v>0</v>
      </c>
      <c r="L877" s="3">
        <f>IF([1]Result_notebook_retravaill!I877&gt;[1]Result_notebook_retravaill!G877,0,IF([1]Result_notebook_retravaill!I877+[1]Result_notebook_retravaill!J877&gt;[1]Result_notebook_retravaill!G877,0,[1]Result_notebook_retravaill!M877))</f>
        <v>1114.482036875012</v>
      </c>
    </row>
    <row r="878" spans="1:12">
      <c r="A878">
        <f>[1]Result_notebook_retravaill!A878</f>
        <v>2034</v>
      </c>
      <c r="B878" t="str">
        <f>[1]Result_notebook_retravaill!B878</f>
        <v>Graphite</v>
      </c>
      <c r="C878" t="str">
        <f>[1]Result_notebook_retravaill!C878</f>
        <v>Current Measures</v>
      </c>
      <c r="D878" t="str">
        <f>[1]Result_notebook_retravaill!D878</f>
        <v>Existing production</v>
      </c>
      <c r="E878" t="str">
        <f>[1]Result_notebook_retravaill!E878</f>
        <v>Current shares</v>
      </c>
      <c r="F878" t="str">
        <f>[1]Result_notebook_retravaill!F878</f>
        <v>Status Quo</v>
      </c>
      <c r="G878">
        <f>[1]Result_notebook_retravaill!G878</f>
        <v>1114.482036875012</v>
      </c>
      <c r="H878" s="3">
        <f>IF([1]Result_notebook_retravaill!I878&gt;[1]Result_notebook_retravaill!G878,[1]Result_notebook_retravaill!I878/[1]Result_notebook_retravaill!N878,[1]Result_notebook_retravaill!H878)</f>
        <v>0</v>
      </c>
      <c r="I878" s="3">
        <f>[1]Result_notebook_retravaill!K878</f>
        <v>1114.482036875012</v>
      </c>
      <c r="J878" s="3">
        <f>MIN(G878,[1]Result_notebook_retravaill!I878)</f>
        <v>0</v>
      </c>
      <c r="K878" s="3">
        <f>IF([1]Result_notebook_retravaill!I878&gt;[1]Result_notebook_retravaill!G878,0,IF([1]Result_notebook_retravaill!I878+[1]Result_notebook_retravaill!J878&gt;[1]Result_notebook_retravaill!G878,[1]Result_notebook_retravaill!G878-[1]Result_notebook_retravaill!I878,[1]Result_notebook_retravaill!J878))</f>
        <v>0</v>
      </c>
      <c r="L878" s="3">
        <f>IF([1]Result_notebook_retravaill!I878&gt;[1]Result_notebook_retravaill!G878,0,IF([1]Result_notebook_retravaill!I878+[1]Result_notebook_retravaill!J878&gt;[1]Result_notebook_retravaill!G878,0,[1]Result_notebook_retravaill!M878))</f>
        <v>1114.482036875012</v>
      </c>
    </row>
    <row r="879" spans="1:12">
      <c r="A879">
        <f>[1]Result_notebook_retravaill!A879</f>
        <v>2034</v>
      </c>
      <c r="B879" t="str">
        <f>[1]Result_notebook_retravaill!B879</f>
        <v>Graphite</v>
      </c>
      <c r="C879" t="str">
        <f>[1]Result_notebook_retravaill!C879</f>
        <v>Current Measures</v>
      </c>
      <c r="D879" t="str">
        <f>[1]Result_notebook_retravaill!D879</f>
        <v>Production potential</v>
      </c>
      <c r="E879" t="str">
        <f>[1]Result_notebook_retravaill!E879</f>
        <v>Current shares</v>
      </c>
      <c r="F879" t="str">
        <f>[1]Result_notebook_retravaill!F879</f>
        <v>Expansion Extractive</v>
      </c>
      <c r="G879">
        <f>[1]Result_notebook_retravaill!G879</f>
        <v>1114.482036875012</v>
      </c>
      <c r="H879" s="3">
        <f>IF([1]Result_notebook_retravaill!I879&gt;[1]Result_notebook_retravaill!G879,[1]Result_notebook_retravaill!I879/[1]Result_notebook_retravaill!N879,[1]Result_notebook_retravaill!H879)</f>
        <v>71423.337734133369</v>
      </c>
      <c r="I879" s="3">
        <f>[1]Result_notebook_retravaill!K879</f>
        <v>0</v>
      </c>
      <c r="J879" s="3">
        <f>MIN(G879,[1]Result_notebook_retravaill!I879)</f>
        <v>1114.482036875012</v>
      </c>
      <c r="K879" s="3">
        <f>IF([1]Result_notebook_retravaill!I879&gt;[1]Result_notebook_retravaill!G879,0,IF([1]Result_notebook_retravaill!I879+[1]Result_notebook_retravaill!J879&gt;[1]Result_notebook_retravaill!G879,[1]Result_notebook_retravaill!G879-[1]Result_notebook_retravaill!I879,[1]Result_notebook_retravaill!J879))</f>
        <v>0</v>
      </c>
      <c r="L879" s="3">
        <f>IF([1]Result_notebook_retravaill!I879&gt;[1]Result_notebook_retravaill!G879,0,IF([1]Result_notebook_retravaill!I879+[1]Result_notebook_retravaill!J879&gt;[1]Result_notebook_retravaill!G879,0,[1]Result_notebook_retravaill!M879))</f>
        <v>0</v>
      </c>
    </row>
    <row r="880" spans="1:12">
      <c r="A880">
        <f>[1]Result_notebook_retravaill!A880</f>
        <v>2034</v>
      </c>
      <c r="B880" t="str">
        <f>[1]Result_notebook_retravaill!B880</f>
        <v>Graphite</v>
      </c>
      <c r="C880" t="str">
        <f>[1]Result_notebook_retravaill!C880</f>
        <v>Current Measures</v>
      </c>
      <c r="D880" t="str">
        <f>[1]Result_notebook_retravaill!D880</f>
        <v>Production potential</v>
      </c>
      <c r="E880" t="str">
        <f>[1]Result_notebook_retravaill!E880</f>
        <v>Current shares</v>
      </c>
      <c r="F880" t="str">
        <f>[1]Result_notebook_retravaill!F880</f>
        <v>Expansion Extractive+Circularity</v>
      </c>
      <c r="G880">
        <f>[1]Result_notebook_retravaill!G880</f>
        <v>1114.482036875012</v>
      </c>
      <c r="H880" s="3">
        <f>IF([1]Result_notebook_retravaill!I880&gt;[1]Result_notebook_retravaill!G880,[1]Result_notebook_retravaill!I880/[1]Result_notebook_retravaill!N880,[1]Result_notebook_retravaill!H880)</f>
        <v>71423.337734133369</v>
      </c>
      <c r="I880" s="3">
        <f>[1]Result_notebook_retravaill!K880</f>
        <v>0</v>
      </c>
      <c r="J880" s="3">
        <f>MIN(G880,[1]Result_notebook_retravaill!I880)</f>
        <v>1114.482036875012</v>
      </c>
      <c r="K880" s="3">
        <f>IF([1]Result_notebook_retravaill!I880&gt;[1]Result_notebook_retravaill!G880,0,IF([1]Result_notebook_retravaill!I880+[1]Result_notebook_retravaill!J880&gt;[1]Result_notebook_retravaill!G880,[1]Result_notebook_retravaill!G880-[1]Result_notebook_retravaill!I880,[1]Result_notebook_retravaill!J880))</f>
        <v>0</v>
      </c>
      <c r="L880" s="3">
        <f>IF([1]Result_notebook_retravaill!I880&gt;[1]Result_notebook_retravaill!G880,0,IF([1]Result_notebook_retravaill!I880+[1]Result_notebook_retravaill!J880&gt;[1]Result_notebook_retravaill!G880,0,[1]Result_notebook_retravaill!M880))</f>
        <v>0</v>
      </c>
    </row>
    <row r="881" spans="1:12">
      <c r="A881">
        <f>[1]Result_notebook_retravaill!A881</f>
        <v>2034</v>
      </c>
      <c r="B881" t="str">
        <f>[1]Result_notebook_retravaill!B881</f>
        <v>Graphite</v>
      </c>
      <c r="C881" t="str">
        <f>[1]Result_notebook_retravaill!C881</f>
        <v>Current Measures</v>
      </c>
      <c r="D881" t="str">
        <f>[1]Result_notebook_retravaill!D881</f>
        <v>Production potential</v>
      </c>
      <c r="E881" t="str">
        <f>[1]Result_notebook_retravaill!E881</f>
        <v>100% CAN</v>
      </c>
      <c r="F881" t="str">
        <f>[1]Result_notebook_retravaill!F881</f>
        <v>Integrated</v>
      </c>
      <c r="G881">
        <f>[1]Result_notebook_retravaill!G881</f>
        <v>1114.482036875012</v>
      </c>
      <c r="H881" s="3">
        <f>IF([1]Result_notebook_retravaill!I881&gt;[1]Result_notebook_retravaill!G881,[1]Result_notebook_retravaill!I881/[1]Result_notebook_retravaill!N881,[1]Result_notebook_retravaill!H881)</f>
        <v>71423.337734133369</v>
      </c>
      <c r="I881" s="3">
        <f>[1]Result_notebook_retravaill!K881</f>
        <v>0</v>
      </c>
      <c r="J881" s="3">
        <f>MIN(G881,[1]Result_notebook_retravaill!I881)</f>
        <v>1114.482036875012</v>
      </c>
      <c r="K881" s="3">
        <f>IF([1]Result_notebook_retravaill!I881&gt;[1]Result_notebook_retravaill!G881,0,IF([1]Result_notebook_retravaill!I881+[1]Result_notebook_retravaill!J881&gt;[1]Result_notebook_retravaill!G881,[1]Result_notebook_retravaill!G881-[1]Result_notebook_retravaill!I881,[1]Result_notebook_retravaill!J881))</f>
        <v>0</v>
      </c>
      <c r="L881" s="3">
        <f>IF([1]Result_notebook_retravaill!I881&gt;[1]Result_notebook_retravaill!G881,0,IF([1]Result_notebook_retravaill!I881+[1]Result_notebook_retravaill!J881&gt;[1]Result_notebook_retravaill!G881,0,[1]Result_notebook_retravaill!M881))</f>
        <v>0</v>
      </c>
    </row>
    <row r="882" spans="1:12">
      <c r="A882">
        <f>[1]Result_notebook_retravaill!A882</f>
        <v>2034</v>
      </c>
      <c r="B882" t="str">
        <f>[1]Result_notebook_retravaill!B882</f>
        <v>Graphite</v>
      </c>
      <c r="C882" t="str">
        <f>[1]Result_notebook_retravaill!C882</f>
        <v>Global Net-zero</v>
      </c>
      <c r="D882" t="str">
        <f>[1]Result_notebook_retravaill!D882</f>
        <v>Existing production</v>
      </c>
      <c r="E882" t="str">
        <f>[1]Result_notebook_retravaill!E882</f>
        <v>Current shares</v>
      </c>
      <c r="F882" t="str">
        <f>[1]Result_notebook_retravaill!F882</f>
        <v>NIMBY</v>
      </c>
      <c r="G882">
        <f>[1]Result_notebook_retravaill!G882</f>
        <v>2790.9424655241191</v>
      </c>
      <c r="H882" s="3">
        <f>IF([1]Result_notebook_retravaill!I882&gt;[1]Result_notebook_retravaill!G882,[1]Result_notebook_retravaill!I882/[1]Result_notebook_retravaill!N882,[1]Result_notebook_retravaill!H882)</f>
        <v>0</v>
      </c>
      <c r="I882" s="3">
        <f>[1]Result_notebook_retravaill!K882</f>
        <v>2790.9424655241191</v>
      </c>
      <c r="J882" s="3">
        <f>MIN(G882,[1]Result_notebook_retravaill!I882)</f>
        <v>0</v>
      </c>
      <c r="K882" s="3">
        <f>IF([1]Result_notebook_retravaill!I882&gt;[1]Result_notebook_retravaill!G882,0,IF([1]Result_notebook_retravaill!I882+[1]Result_notebook_retravaill!J882&gt;[1]Result_notebook_retravaill!G882,[1]Result_notebook_retravaill!G882-[1]Result_notebook_retravaill!I882,[1]Result_notebook_retravaill!J882))</f>
        <v>0</v>
      </c>
      <c r="L882" s="3">
        <f>IF([1]Result_notebook_retravaill!I882&gt;[1]Result_notebook_retravaill!G882,0,IF([1]Result_notebook_retravaill!I882+[1]Result_notebook_retravaill!J882&gt;[1]Result_notebook_retravaill!G882,0,[1]Result_notebook_retravaill!M882))</f>
        <v>2790.9424655241191</v>
      </c>
    </row>
    <row r="883" spans="1:12">
      <c r="A883">
        <f>[1]Result_notebook_retravaill!A883</f>
        <v>2034</v>
      </c>
      <c r="B883" t="str">
        <f>[1]Result_notebook_retravaill!B883</f>
        <v>Graphite</v>
      </c>
      <c r="C883" t="str">
        <f>[1]Result_notebook_retravaill!C883</f>
        <v>Global Net-zero</v>
      </c>
      <c r="D883" t="str">
        <f>[1]Result_notebook_retravaill!D883</f>
        <v>Existing production</v>
      </c>
      <c r="E883" t="str">
        <f>[1]Result_notebook_retravaill!E883</f>
        <v>Current shares</v>
      </c>
      <c r="F883" t="str">
        <f>[1]Result_notebook_retravaill!F883</f>
        <v>Status Quo</v>
      </c>
      <c r="G883">
        <f>[1]Result_notebook_retravaill!G883</f>
        <v>2790.9424655241191</v>
      </c>
      <c r="H883" s="3">
        <f>IF([1]Result_notebook_retravaill!I883&gt;[1]Result_notebook_retravaill!G883,[1]Result_notebook_retravaill!I883/[1]Result_notebook_retravaill!N883,[1]Result_notebook_retravaill!H883)</f>
        <v>0</v>
      </c>
      <c r="I883" s="3">
        <f>[1]Result_notebook_retravaill!K883</f>
        <v>2790.9424655241191</v>
      </c>
      <c r="J883" s="3">
        <f>MIN(G883,[1]Result_notebook_retravaill!I883)</f>
        <v>0</v>
      </c>
      <c r="K883" s="3">
        <f>IF([1]Result_notebook_retravaill!I883&gt;[1]Result_notebook_retravaill!G883,0,IF([1]Result_notebook_retravaill!I883+[1]Result_notebook_retravaill!J883&gt;[1]Result_notebook_retravaill!G883,[1]Result_notebook_retravaill!G883-[1]Result_notebook_retravaill!I883,[1]Result_notebook_retravaill!J883))</f>
        <v>0</v>
      </c>
      <c r="L883" s="3">
        <f>IF([1]Result_notebook_retravaill!I883&gt;[1]Result_notebook_retravaill!G883,0,IF([1]Result_notebook_retravaill!I883+[1]Result_notebook_retravaill!J883&gt;[1]Result_notebook_retravaill!G883,0,[1]Result_notebook_retravaill!M883))</f>
        <v>2790.9424655241191</v>
      </c>
    </row>
    <row r="884" spans="1:12">
      <c r="A884">
        <f>[1]Result_notebook_retravaill!A884</f>
        <v>2034</v>
      </c>
      <c r="B884" t="str">
        <f>[1]Result_notebook_retravaill!B884</f>
        <v>Graphite</v>
      </c>
      <c r="C884" t="str">
        <f>[1]Result_notebook_retravaill!C884</f>
        <v>Global Net-zero</v>
      </c>
      <c r="D884" t="str">
        <f>[1]Result_notebook_retravaill!D884</f>
        <v>Production potential</v>
      </c>
      <c r="E884" t="str">
        <f>[1]Result_notebook_retravaill!E884</f>
        <v>Current shares</v>
      </c>
      <c r="F884" t="str">
        <f>[1]Result_notebook_retravaill!F884</f>
        <v>Expansion Extractive</v>
      </c>
      <c r="G884">
        <f>[1]Result_notebook_retravaill!G884</f>
        <v>2790.9424655241191</v>
      </c>
      <c r="H884" s="3">
        <f>IF([1]Result_notebook_retravaill!I884&gt;[1]Result_notebook_retravaill!G884,[1]Result_notebook_retravaill!I884/[1]Result_notebook_retravaill!N884,[1]Result_notebook_retravaill!H884)</f>
        <v>71423.337734133369</v>
      </c>
      <c r="I884" s="3">
        <f>[1]Result_notebook_retravaill!K884</f>
        <v>0</v>
      </c>
      <c r="J884" s="3">
        <f>MIN(G884,[1]Result_notebook_retravaill!I884)</f>
        <v>2790.9424655241191</v>
      </c>
      <c r="K884" s="3">
        <f>IF([1]Result_notebook_retravaill!I884&gt;[1]Result_notebook_retravaill!G884,0,IF([1]Result_notebook_retravaill!I884+[1]Result_notebook_retravaill!J884&gt;[1]Result_notebook_retravaill!G884,[1]Result_notebook_retravaill!G884-[1]Result_notebook_retravaill!I884,[1]Result_notebook_retravaill!J884))</f>
        <v>0</v>
      </c>
      <c r="L884" s="3">
        <f>IF([1]Result_notebook_retravaill!I884&gt;[1]Result_notebook_retravaill!G884,0,IF([1]Result_notebook_retravaill!I884+[1]Result_notebook_retravaill!J884&gt;[1]Result_notebook_retravaill!G884,0,[1]Result_notebook_retravaill!M884))</f>
        <v>0</v>
      </c>
    </row>
    <row r="885" spans="1:12">
      <c r="A885">
        <f>[1]Result_notebook_retravaill!A885</f>
        <v>2034</v>
      </c>
      <c r="B885" t="str">
        <f>[1]Result_notebook_retravaill!B885</f>
        <v>Graphite</v>
      </c>
      <c r="C885" t="str">
        <f>[1]Result_notebook_retravaill!C885</f>
        <v>Global Net-zero</v>
      </c>
      <c r="D885" t="str">
        <f>[1]Result_notebook_retravaill!D885</f>
        <v>Production potential</v>
      </c>
      <c r="E885" t="str">
        <f>[1]Result_notebook_retravaill!E885</f>
        <v>Current shares</v>
      </c>
      <c r="F885" t="str">
        <f>[1]Result_notebook_retravaill!F885</f>
        <v>Expansion Extractive+Circularity</v>
      </c>
      <c r="G885">
        <f>[1]Result_notebook_retravaill!G885</f>
        <v>2790.9424655241191</v>
      </c>
      <c r="H885" s="3">
        <f>IF([1]Result_notebook_retravaill!I885&gt;[1]Result_notebook_retravaill!G885,[1]Result_notebook_retravaill!I885/[1]Result_notebook_retravaill!N885,[1]Result_notebook_retravaill!H885)</f>
        <v>71423.337734133369</v>
      </c>
      <c r="I885" s="3">
        <f>[1]Result_notebook_retravaill!K885</f>
        <v>0</v>
      </c>
      <c r="J885" s="3">
        <f>MIN(G885,[1]Result_notebook_retravaill!I885)</f>
        <v>2790.9424655241191</v>
      </c>
      <c r="K885" s="3">
        <f>IF([1]Result_notebook_retravaill!I885&gt;[1]Result_notebook_retravaill!G885,0,IF([1]Result_notebook_retravaill!I885+[1]Result_notebook_retravaill!J885&gt;[1]Result_notebook_retravaill!G885,[1]Result_notebook_retravaill!G885-[1]Result_notebook_retravaill!I885,[1]Result_notebook_retravaill!J885))</f>
        <v>0</v>
      </c>
      <c r="L885" s="3">
        <f>IF([1]Result_notebook_retravaill!I885&gt;[1]Result_notebook_retravaill!G885,0,IF([1]Result_notebook_retravaill!I885+[1]Result_notebook_retravaill!J885&gt;[1]Result_notebook_retravaill!G885,0,[1]Result_notebook_retravaill!M885))</f>
        <v>0</v>
      </c>
    </row>
    <row r="886" spans="1:12">
      <c r="A886">
        <f>[1]Result_notebook_retravaill!A886</f>
        <v>2034</v>
      </c>
      <c r="B886" t="str">
        <f>[1]Result_notebook_retravaill!B886</f>
        <v>Graphite</v>
      </c>
      <c r="C886" t="str">
        <f>[1]Result_notebook_retravaill!C886</f>
        <v>Global Net-zero</v>
      </c>
      <c r="D886" t="str">
        <f>[1]Result_notebook_retravaill!D886</f>
        <v>Production potential</v>
      </c>
      <c r="E886" t="str">
        <f>[1]Result_notebook_retravaill!E886</f>
        <v>100% CAN</v>
      </c>
      <c r="F886" t="str">
        <f>[1]Result_notebook_retravaill!F886</f>
        <v>Integrated</v>
      </c>
      <c r="G886">
        <f>[1]Result_notebook_retravaill!G886</f>
        <v>2790.9424655241191</v>
      </c>
      <c r="H886" s="3">
        <f>IF([1]Result_notebook_retravaill!I886&gt;[1]Result_notebook_retravaill!G886,[1]Result_notebook_retravaill!I886/[1]Result_notebook_retravaill!N886,[1]Result_notebook_retravaill!H886)</f>
        <v>71423.337734133369</v>
      </c>
      <c r="I886" s="3">
        <f>[1]Result_notebook_retravaill!K886</f>
        <v>0</v>
      </c>
      <c r="J886" s="3">
        <f>MIN(G886,[1]Result_notebook_retravaill!I886)</f>
        <v>2790.9424655241191</v>
      </c>
      <c r="K886" s="3">
        <f>IF([1]Result_notebook_retravaill!I886&gt;[1]Result_notebook_retravaill!G886,0,IF([1]Result_notebook_retravaill!I886+[1]Result_notebook_retravaill!J886&gt;[1]Result_notebook_retravaill!G886,[1]Result_notebook_retravaill!G886-[1]Result_notebook_retravaill!I886,[1]Result_notebook_retravaill!J886))</f>
        <v>0</v>
      </c>
      <c r="L886" s="3">
        <f>IF([1]Result_notebook_retravaill!I886&gt;[1]Result_notebook_retravaill!G886,0,IF([1]Result_notebook_retravaill!I886+[1]Result_notebook_retravaill!J886&gt;[1]Result_notebook_retravaill!G886,0,[1]Result_notebook_retravaill!M886))</f>
        <v>0</v>
      </c>
    </row>
    <row r="887" spans="1:12">
      <c r="A887">
        <f>[1]Result_notebook_retravaill!A887</f>
        <v>2034</v>
      </c>
      <c r="B887" t="str">
        <f>[1]Result_notebook_retravaill!B887</f>
        <v>Lithium</v>
      </c>
      <c r="C887" t="str">
        <f>[1]Result_notebook_retravaill!C887</f>
        <v>Canada Net-zero</v>
      </c>
      <c r="D887" t="str">
        <f>[1]Result_notebook_retravaill!D887</f>
        <v>Existing production</v>
      </c>
      <c r="E887" t="str">
        <f>[1]Result_notebook_retravaill!E887</f>
        <v>Current shares</v>
      </c>
      <c r="F887" t="str">
        <f>[1]Result_notebook_retravaill!F887</f>
        <v>NIMBY</v>
      </c>
      <c r="G887">
        <f>[1]Result_notebook_retravaill!G887</f>
        <v>56563.036479032307</v>
      </c>
      <c r="H887" s="3">
        <f>IF([1]Result_notebook_retravaill!I887&gt;[1]Result_notebook_retravaill!G887,[1]Result_notebook_retravaill!I887/[1]Result_notebook_retravaill!N887,[1]Result_notebook_retravaill!H887)</f>
        <v>0</v>
      </c>
      <c r="I887" s="3">
        <f>[1]Result_notebook_retravaill!K887</f>
        <v>80804.337827189011</v>
      </c>
      <c r="J887" s="3">
        <f>MIN(G887,[1]Result_notebook_retravaill!I887)</f>
        <v>0</v>
      </c>
      <c r="K887" s="3">
        <f>IF([1]Result_notebook_retravaill!I887&gt;[1]Result_notebook_retravaill!G887,0,IF([1]Result_notebook_retravaill!I887+[1]Result_notebook_retravaill!J887&gt;[1]Result_notebook_retravaill!G887,[1]Result_notebook_retravaill!G887-[1]Result_notebook_retravaill!I887,[1]Result_notebook_retravaill!J887))</f>
        <v>0</v>
      </c>
      <c r="L887" s="3">
        <f>IF([1]Result_notebook_retravaill!I887&gt;[1]Result_notebook_retravaill!G887,0,IF([1]Result_notebook_retravaill!I887+[1]Result_notebook_retravaill!J887&gt;[1]Result_notebook_retravaill!G887,0,[1]Result_notebook_retravaill!M887))</f>
        <v>56563.036479032307</v>
      </c>
    </row>
    <row r="888" spans="1:12">
      <c r="A888">
        <f>[1]Result_notebook_retravaill!A888</f>
        <v>2034</v>
      </c>
      <c r="B888" t="str">
        <f>[1]Result_notebook_retravaill!B888</f>
        <v>Lithium</v>
      </c>
      <c r="C888" t="str">
        <f>[1]Result_notebook_retravaill!C888</f>
        <v>Canada Net-zero</v>
      </c>
      <c r="D888" t="str">
        <f>[1]Result_notebook_retravaill!D888</f>
        <v>Existing production</v>
      </c>
      <c r="E888" t="str">
        <f>[1]Result_notebook_retravaill!E888</f>
        <v>Current shares</v>
      </c>
      <c r="F888" t="str">
        <f>[1]Result_notebook_retravaill!F888</f>
        <v>Status Quo</v>
      </c>
      <c r="G888">
        <f>[1]Result_notebook_retravaill!G888</f>
        <v>56563.036479032307</v>
      </c>
      <c r="H888" s="3">
        <f>IF([1]Result_notebook_retravaill!I888&gt;[1]Result_notebook_retravaill!G888,[1]Result_notebook_retravaill!I888/[1]Result_notebook_retravaill!N888,[1]Result_notebook_retravaill!H888)</f>
        <v>39773</v>
      </c>
      <c r="I888" s="3">
        <f>[1]Result_notebook_retravaill!K888</f>
        <v>41031.337827189011</v>
      </c>
      <c r="J888" s="3">
        <f>MIN(G888,[1]Result_notebook_retravaill!I888)</f>
        <v>27808.107139723728</v>
      </c>
      <c r="K888" s="3">
        <f>IF([1]Result_notebook_retravaill!I888&gt;[1]Result_notebook_retravaill!G888,0,IF([1]Result_notebook_retravaill!I888+[1]Result_notebook_retravaill!J888&gt;[1]Result_notebook_retravaill!G888,[1]Result_notebook_retravaill!G888-[1]Result_notebook_retravaill!I888,[1]Result_notebook_retravaill!J888))</f>
        <v>3515.3177502825383</v>
      </c>
      <c r="L888" s="3">
        <f>IF([1]Result_notebook_retravaill!I888&gt;[1]Result_notebook_retravaill!G888,0,IF([1]Result_notebook_retravaill!I888+[1]Result_notebook_retravaill!J888&gt;[1]Result_notebook_retravaill!G888,0,[1]Result_notebook_retravaill!M888))</f>
        <v>25239.611589026041</v>
      </c>
    </row>
    <row r="889" spans="1:12">
      <c r="A889">
        <f>[1]Result_notebook_retravaill!A889</f>
        <v>2034</v>
      </c>
      <c r="B889" t="str">
        <f>[1]Result_notebook_retravaill!B889</f>
        <v>Lithium</v>
      </c>
      <c r="C889" t="str">
        <f>[1]Result_notebook_retravaill!C889</f>
        <v>Canada Net-zero</v>
      </c>
      <c r="D889" t="str">
        <f>[1]Result_notebook_retravaill!D889</f>
        <v>Production potential</v>
      </c>
      <c r="E889" t="str">
        <f>[1]Result_notebook_retravaill!E889</f>
        <v>Current shares</v>
      </c>
      <c r="F889" t="str">
        <f>[1]Result_notebook_retravaill!F889</f>
        <v>Expansion Extractive</v>
      </c>
      <c r="G889">
        <f>[1]Result_notebook_retravaill!G889</f>
        <v>56563.036479032307</v>
      </c>
      <c r="H889" s="3">
        <f>IF([1]Result_notebook_retravaill!I889&gt;[1]Result_notebook_retravaill!G889,[1]Result_notebook_retravaill!I889/[1]Result_notebook_retravaill!N889,[1]Result_notebook_retravaill!H889)</f>
        <v>126826.43714165693</v>
      </c>
      <c r="I889" s="3">
        <f>[1]Result_notebook_retravaill!K889</f>
        <v>0</v>
      </c>
      <c r="J889" s="3">
        <f>MIN(G889,[1]Result_notebook_retravaill!I889)</f>
        <v>56563.036479032307</v>
      </c>
      <c r="K889" s="3">
        <f>IF([1]Result_notebook_retravaill!I889&gt;[1]Result_notebook_retravaill!G889,0,IF([1]Result_notebook_retravaill!I889+[1]Result_notebook_retravaill!J889&gt;[1]Result_notebook_retravaill!G889,[1]Result_notebook_retravaill!G889-[1]Result_notebook_retravaill!I889,[1]Result_notebook_retravaill!J889))</f>
        <v>0</v>
      </c>
      <c r="L889" s="3">
        <f>IF([1]Result_notebook_retravaill!I889&gt;[1]Result_notebook_retravaill!G889,0,IF([1]Result_notebook_retravaill!I889+[1]Result_notebook_retravaill!J889&gt;[1]Result_notebook_retravaill!G889,0,[1]Result_notebook_retravaill!M889))</f>
        <v>0</v>
      </c>
    </row>
    <row r="890" spans="1:12">
      <c r="A890">
        <f>[1]Result_notebook_retravaill!A890</f>
        <v>2034</v>
      </c>
      <c r="B890" t="str">
        <f>[1]Result_notebook_retravaill!B890</f>
        <v>Lithium</v>
      </c>
      <c r="C890" t="str">
        <f>[1]Result_notebook_retravaill!C890</f>
        <v>Canada Net-zero</v>
      </c>
      <c r="D890" t="str">
        <f>[1]Result_notebook_retravaill!D890</f>
        <v>Production potential</v>
      </c>
      <c r="E890" t="str">
        <f>[1]Result_notebook_retravaill!E890</f>
        <v>Current shares</v>
      </c>
      <c r="F890" t="str">
        <f>[1]Result_notebook_retravaill!F890</f>
        <v>Expansion Extractive+Circularity</v>
      </c>
      <c r="G890">
        <f>[1]Result_notebook_retravaill!G890</f>
        <v>56563.036479032307</v>
      </c>
      <c r="H890" s="3">
        <f>IF([1]Result_notebook_retravaill!I890&gt;[1]Result_notebook_retravaill!G890,[1]Result_notebook_retravaill!I890/[1]Result_notebook_retravaill!N890,[1]Result_notebook_retravaill!H890)</f>
        <v>126826.43714165693</v>
      </c>
      <c r="I890" s="3">
        <f>[1]Result_notebook_retravaill!K890</f>
        <v>0</v>
      </c>
      <c r="J890" s="3">
        <f>MIN(G890,[1]Result_notebook_retravaill!I890)</f>
        <v>56563.036479032307</v>
      </c>
      <c r="K890" s="3">
        <f>IF([1]Result_notebook_retravaill!I890&gt;[1]Result_notebook_retravaill!G890,0,IF([1]Result_notebook_retravaill!I890+[1]Result_notebook_retravaill!J890&gt;[1]Result_notebook_retravaill!G890,[1]Result_notebook_retravaill!G890-[1]Result_notebook_retravaill!I890,[1]Result_notebook_retravaill!J890))</f>
        <v>0</v>
      </c>
      <c r="L890" s="3">
        <f>IF([1]Result_notebook_retravaill!I890&gt;[1]Result_notebook_retravaill!G890,0,IF([1]Result_notebook_retravaill!I890+[1]Result_notebook_retravaill!J890&gt;[1]Result_notebook_retravaill!G890,0,[1]Result_notebook_retravaill!M890))</f>
        <v>0</v>
      </c>
    </row>
    <row r="891" spans="1:12">
      <c r="A891">
        <f>[1]Result_notebook_retravaill!A891</f>
        <v>2034</v>
      </c>
      <c r="B891" t="str">
        <f>[1]Result_notebook_retravaill!B891</f>
        <v>Lithium</v>
      </c>
      <c r="C891" t="str">
        <f>[1]Result_notebook_retravaill!C891</f>
        <v>Canada Net-zero</v>
      </c>
      <c r="D891" t="str">
        <f>[1]Result_notebook_retravaill!D891</f>
        <v>Production potential</v>
      </c>
      <c r="E891" t="str">
        <f>[1]Result_notebook_retravaill!E891</f>
        <v>100% CAN</v>
      </c>
      <c r="F891" t="str">
        <f>[1]Result_notebook_retravaill!F891</f>
        <v>Integrated</v>
      </c>
      <c r="G891">
        <f>[1]Result_notebook_retravaill!G891</f>
        <v>56563.036479032307</v>
      </c>
      <c r="H891" s="3">
        <f>IF([1]Result_notebook_retravaill!I891&gt;[1]Result_notebook_retravaill!G891,[1]Result_notebook_retravaill!I891/[1]Result_notebook_retravaill!N891,[1]Result_notebook_retravaill!H891)</f>
        <v>126826.43714165693</v>
      </c>
      <c r="I891" s="3">
        <f>[1]Result_notebook_retravaill!K891</f>
        <v>0</v>
      </c>
      <c r="J891" s="3">
        <f>MIN(G891,[1]Result_notebook_retravaill!I891)</f>
        <v>56563.036479032307</v>
      </c>
      <c r="K891" s="3">
        <f>IF([1]Result_notebook_retravaill!I891&gt;[1]Result_notebook_retravaill!G891,0,IF([1]Result_notebook_retravaill!I891+[1]Result_notebook_retravaill!J891&gt;[1]Result_notebook_retravaill!G891,[1]Result_notebook_retravaill!G891-[1]Result_notebook_retravaill!I891,[1]Result_notebook_retravaill!J891))</f>
        <v>0</v>
      </c>
      <c r="L891" s="3">
        <f>IF([1]Result_notebook_retravaill!I891&gt;[1]Result_notebook_retravaill!G891,0,IF([1]Result_notebook_retravaill!I891+[1]Result_notebook_retravaill!J891&gt;[1]Result_notebook_retravaill!G891,0,[1]Result_notebook_retravaill!M891))</f>
        <v>0</v>
      </c>
    </row>
    <row r="892" spans="1:12">
      <c r="A892">
        <f>[1]Result_notebook_retravaill!A892</f>
        <v>2034</v>
      </c>
      <c r="B892" t="str">
        <f>[1]Result_notebook_retravaill!B892</f>
        <v>Lithium</v>
      </c>
      <c r="C892" t="str">
        <f>[1]Result_notebook_retravaill!C892</f>
        <v>Current Measures</v>
      </c>
      <c r="D892" t="str">
        <f>[1]Result_notebook_retravaill!D892</f>
        <v>Existing production</v>
      </c>
      <c r="E892" t="str">
        <f>[1]Result_notebook_retravaill!E892</f>
        <v>Current shares</v>
      </c>
      <c r="F892" t="str">
        <f>[1]Result_notebook_retravaill!F892</f>
        <v>NIMBY</v>
      </c>
      <c r="G892">
        <f>[1]Result_notebook_retravaill!G892</f>
        <v>21479.387094942951</v>
      </c>
      <c r="H892" s="3">
        <f>IF([1]Result_notebook_retravaill!I892&gt;[1]Result_notebook_retravaill!G892,[1]Result_notebook_retravaill!I892/[1]Result_notebook_retravaill!N892,[1]Result_notebook_retravaill!H892)</f>
        <v>0</v>
      </c>
      <c r="I892" s="3">
        <f>[1]Result_notebook_retravaill!K892</f>
        <v>30684.838707061361</v>
      </c>
      <c r="J892" s="3">
        <f>MIN(G892,[1]Result_notebook_retravaill!I892)</f>
        <v>0</v>
      </c>
      <c r="K892" s="3">
        <f>IF([1]Result_notebook_retravaill!I892&gt;[1]Result_notebook_retravaill!G892,0,IF([1]Result_notebook_retravaill!I892+[1]Result_notebook_retravaill!J892&gt;[1]Result_notebook_retravaill!G892,[1]Result_notebook_retravaill!G892-[1]Result_notebook_retravaill!I892,[1]Result_notebook_retravaill!J892))</f>
        <v>0</v>
      </c>
      <c r="L892" s="3">
        <f>IF([1]Result_notebook_retravaill!I892&gt;[1]Result_notebook_retravaill!G892,0,IF([1]Result_notebook_retravaill!I892+[1]Result_notebook_retravaill!J892&gt;[1]Result_notebook_retravaill!G892,0,[1]Result_notebook_retravaill!M892))</f>
        <v>21479.387094942951</v>
      </c>
    </row>
    <row r="893" spans="1:12">
      <c r="A893">
        <f>[1]Result_notebook_retravaill!A893</f>
        <v>2034</v>
      </c>
      <c r="B893" t="str">
        <f>[1]Result_notebook_retravaill!B893</f>
        <v>Lithium</v>
      </c>
      <c r="C893" t="str">
        <f>[1]Result_notebook_retravaill!C893</f>
        <v>Current Measures</v>
      </c>
      <c r="D893" t="str">
        <f>[1]Result_notebook_retravaill!D893</f>
        <v>Existing production</v>
      </c>
      <c r="E893" t="str">
        <f>[1]Result_notebook_retravaill!E893</f>
        <v>Current shares</v>
      </c>
      <c r="F893" t="str">
        <f>[1]Result_notebook_retravaill!F893</f>
        <v>Status Quo</v>
      </c>
      <c r="G893">
        <f>[1]Result_notebook_retravaill!G893</f>
        <v>21479.387094942951</v>
      </c>
      <c r="H893" s="3">
        <f>IF([1]Result_notebook_retravaill!I893&gt;[1]Result_notebook_retravaill!G893,[1]Result_notebook_retravaill!I893/[1]Result_notebook_retravaill!N893,[1]Result_notebook_retravaill!H893)</f>
        <v>35309.416168635653</v>
      </c>
      <c r="I893" s="3">
        <f>[1]Result_notebook_retravaill!K893</f>
        <v>0</v>
      </c>
      <c r="J893" s="3">
        <f>MIN(G893,[1]Result_notebook_retravaill!I893)</f>
        <v>21479.387094942951</v>
      </c>
      <c r="K893" s="3">
        <f>IF([1]Result_notebook_retravaill!I893&gt;[1]Result_notebook_retravaill!G893,0,IF([1]Result_notebook_retravaill!I893+[1]Result_notebook_retravaill!J893&gt;[1]Result_notebook_retravaill!G893,[1]Result_notebook_retravaill!G893-[1]Result_notebook_retravaill!I893,[1]Result_notebook_retravaill!J893))</f>
        <v>0</v>
      </c>
      <c r="L893" s="3">
        <f>IF([1]Result_notebook_retravaill!I893&gt;[1]Result_notebook_retravaill!G893,0,IF([1]Result_notebook_retravaill!I893+[1]Result_notebook_retravaill!J893&gt;[1]Result_notebook_retravaill!G893,0,[1]Result_notebook_retravaill!M893))</f>
        <v>0</v>
      </c>
    </row>
    <row r="894" spans="1:12">
      <c r="A894">
        <f>[1]Result_notebook_retravaill!A894</f>
        <v>2034</v>
      </c>
      <c r="B894" t="str">
        <f>[1]Result_notebook_retravaill!B894</f>
        <v>Lithium</v>
      </c>
      <c r="C894" t="str">
        <f>[1]Result_notebook_retravaill!C894</f>
        <v>Current Measures</v>
      </c>
      <c r="D894" t="str">
        <f>[1]Result_notebook_retravaill!D894</f>
        <v>Production potential</v>
      </c>
      <c r="E894" t="str">
        <f>[1]Result_notebook_retravaill!E894</f>
        <v>Current shares</v>
      </c>
      <c r="F894" t="str">
        <f>[1]Result_notebook_retravaill!F894</f>
        <v>Expansion Extractive</v>
      </c>
      <c r="G894">
        <f>[1]Result_notebook_retravaill!G894</f>
        <v>21479.387094942951</v>
      </c>
      <c r="H894" s="3">
        <f>IF([1]Result_notebook_retravaill!I894&gt;[1]Result_notebook_retravaill!G894,[1]Result_notebook_retravaill!I894/[1]Result_notebook_retravaill!N894,[1]Result_notebook_retravaill!H894)</f>
        <v>126826.43714165693</v>
      </c>
      <c r="I894" s="3">
        <f>[1]Result_notebook_retravaill!K894</f>
        <v>0</v>
      </c>
      <c r="J894" s="3">
        <f>MIN(G894,[1]Result_notebook_retravaill!I894)</f>
        <v>21479.387094942951</v>
      </c>
      <c r="K894" s="3">
        <f>IF([1]Result_notebook_retravaill!I894&gt;[1]Result_notebook_retravaill!G894,0,IF([1]Result_notebook_retravaill!I894+[1]Result_notebook_retravaill!J894&gt;[1]Result_notebook_retravaill!G894,[1]Result_notebook_retravaill!G894-[1]Result_notebook_retravaill!I894,[1]Result_notebook_retravaill!J894))</f>
        <v>0</v>
      </c>
      <c r="L894" s="3">
        <f>IF([1]Result_notebook_retravaill!I894&gt;[1]Result_notebook_retravaill!G894,0,IF([1]Result_notebook_retravaill!I894+[1]Result_notebook_retravaill!J894&gt;[1]Result_notebook_retravaill!G894,0,[1]Result_notebook_retravaill!M894))</f>
        <v>0</v>
      </c>
    </row>
    <row r="895" spans="1:12">
      <c r="A895">
        <f>[1]Result_notebook_retravaill!A895</f>
        <v>2034</v>
      </c>
      <c r="B895" t="str">
        <f>[1]Result_notebook_retravaill!B895</f>
        <v>Lithium</v>
      </c>
      <c r="C895" t="str">
        <f>[1]Result_notebook_retravaill!C895</f>
        <v>Current Measures</v>
      </c>
      <c r="D895" t="str">
        <f>[1]Result_notebook_retravaill!D895</f>
        <v>Production potential</v>
      </c>
      <c r="E895" t="str">
        <f>[1]Result_notebook_retravaill!E895</f>
        <v>Current shares</v>
      </c>
      <c r="F895" t="str">
        <f>[1]Result_notebook_retravaill!F895</f>
        <v>Expansion Extractive+Circularity</v>
      </c>
      <c r="G895">
        <f>[1]Result_notebook_retravaill!G895</f>
        <v>21479.387094942951</v>
      </c>
      <c r="H895" s="3">
        <f>IF([1]Result_notebook_retravaill!I895&gt;[1]Result_notebook_retravaill!G895,[1]Result_notebook_retravaill!I895/[1]Result_notebook_retravaill!N895,[1]Result_notebook_retravaill!H895)</f>
        <v>126826.43714165693</v>
      </c>
      <c r="I895" s="3">
        <f>[1]Result_notebook_retravaill!K895</f>
        <v>0</v>
      </c>
      <c r="J895" s="3">
        <f>MIN(G895,[1]Result_notebook_retravaill!I895)</f>
        <v>21479.387094942951</v>
      </c>
      <c r="K895" s="3">
        <f>IF([1]Result_notebook_retravaill!I895&gt;[1]Result_notebook_retravaill!G895,0,IF([1]Result_notebook_retravaill!I895+[1]Result_notebook_retravaill!J895&gt;[1]Result_notebook_retravaill!G895,[1]Result_notebook_retravaill!G895-[1]Result_notebook_retravaill!I895,[1]Result_notebook_retravaill!J895))</f>
        <v>0</v>
      </c>
      <c r="L895" s="3">
        <f>IF([1]Result_notebook_retravaill!I895&gt;[1]Result_notebook_retravaill!G895,0,IF([1]Result_notebook_retravaill!I895+[1]Result_notebook_retravaill!J895&gt;[1]Result_notebook_retravaill!G895,0,[1]Result_notebook_retravaill!M895))</f>
        <v>0</v>
      </c>
    </row>
    <row r="896" spans="1:12">
      <c r="A896">
        <f>[1]Result_notebook_retravaill!A896</f>
        <v>2034</v>
      </c>
      <c r="B896" t="str">
        <f>[1]Result_notebook_retravaill!B896</f>
        <v>Lithium</v>
      </c>
      <c r="C896" t="str">
        <f>[1]Result_notebook_retravaill!C896</f>
        <v>Current Measures</v>
      </c>
      <c r="D896" t="str">
        <f>[1]Result_notebook_retravaill!D896</f>
        <v>Production potential</v>
      </c>
      <c r="E896" t="str">
        <f>[1]Result_notebook_retravaill!E896</f>
        <v>100% CAN</v>
      </c>
      <c r="F896" t="str">
        <f>[1]Result_notebook_retravaill!F896</f>
        <v>Integrated</v>
      </c>
      <c r="G896">
        <f>[1]Result_notebook_retravaill!G896</f>
        <v>21479.387094942951</v>
      </c>
      <c r="H896" s="3">
        <f>IF([1]Result_notebook_retravaill!I896&gt;[1]Result_notebook_retravaill!G896,[1]Result_notebook_retravaill!I896/[1]Result_notebook_retravaill!N896,[1]Result_notebook_retravaill!H896)</f>
        <v>126826.43714165693</v>
      </c>
      <c r="I896" s="3">
        <f>[1]Result_notebook_retravaill!K896</f>
        <v>0</v>
      </c>
      <c r="J896" s="3">
        <f>MIN(G896,[1]Result_notebook_retravaill!I896)</f>
        <v>21479.387094942951</v>
      </c>
      <c r="K896" s="3">
        <f>IF([1]Result_notebook_retravaill!I896&gt;[1]Result_notebook_retravaill!G896,0,IF([1]Result_notebook_retravaill!I896+[1]Result_notebook_retravaill!J896&gt;[1]Result_notebook_retravaill!G896,[1]Result_notebook_retravaill!G896-[1]Result_notebook_retravaill!I896,[1]Result_notebook_retravaill!J896))</f>
        <v>0</v>
      </c>
      <c r="L896" s="3">
        <f>IF([1]Result_notebook_retravaill!I896&gt;[1]Result_notebook_retravaill!G896,0,IF([1]Result_notebook_retravaill!I896+[1]Result_notebook_retravaill!J896&gt;[1]Result_notebook_retravaill!G896,0,[1]Result_notebook_retravaill!M896))</f>
        <v>0</v>
      </c>
    </row>
    <row r="897" spans="1:12">
      <c r="A897">
        <f>[1]Result_notebook_retravaill!A897</f>
        <v>2034</v>
      </c>
      <c r="B897" t="str">
        <f>[1]Result_notebook_retravaill!B897</f>
        <v>Lithium</v>
      </c>
      <c r="C897" t="str">
        <f>[1]Result_notebook_retravaill!C897</f>
        <v>Global Net-zero</v>
      </c>
      <c r="D897" t="str">
        <f>[1]Result_notebook_retravaill!D897</f>
        <v>Existing production</v>
      </c>
      <c r="E897" t="str">
        <f>[1]Result_notebook_retravaill!E897</f>
        <v>Current shares</v>
      </c>
      <c r="F897" t="str">
        <f>[1]Result_notebook_retravaill!F897</f>
        <v>NIMBY</v>
      </c>
      <c r="G897">
        <f>[1]Result_notebook_retravaill!G897</f>
        <v>53789.771026547613</v>
      </c>
      <c r="H897" s="3">
        <f>IF([1]Result_notebook_retravaill!I897&gt;[1]Result_notebook_retravaill!G897,[1]Result_notebook_retravaill!I897/[1]Result_notebook_retravaill!N897,[1]Result_notebook_retravaill!H897)</f>
        <v>0</v>
      </c>
      <c r="I897" s="3">
        <f>[1]Result_notebook_retravaill!K897</f>
        <v>76842.530037925171</v>
      </c>
      <c r="J897" s="3">
        <f>MIN(G897,[1]Result_notebook_retravaill!I897)</f>
        <v>0</v>
      </c>
      <c r="K897" s="3">
        <f>IF([1]Result_notebook_retravaill!I897&gt;[1]Result_notebook_retravaill!G897,0,IF([1]Result_notebook_retravaill!I897+[1]Result_notebook_retravaill!J897&gt;[1]Result_notebook_retravaill!G897,[1]Result_notebook_retravaill!G897-[1]Result_notebook_retravaill!I897,[1]Result_notebook_retravaill!J897))</f>
        <v>0</v>
      </c>
      <c r="L897" s="3">
        <f>IF([1]Result_notebook_retravaill!I897&gt;[1]Result_notebook_retravaill!G897,0,IF([1]Result_notebook_retravaill!I897+[1]Result_notebook_retravaill!J897&gt;[1]Result_notebook_retravaill!G897,0,[1]Result_notebook_retravaill!M897))</f>
        <v>53789.771026547613</v>
      </c>
    </row>
    <row r="898" spans="1:12">
      <c r="A898">
        <f>[1]Result_notebook_retravaill!A898</f>
        <v>2034</v>
      </c>
      <c r="B898" t="str">
        <f>[1]Result_notebook_retravaill!B898</f>
        <v>Lithium</v>
      </c>
      <c r="C898" t="str">
        <f>[1]Result_notebook_retravaill!C898</f>
        <v>Global Net-zero</v>
      </c>
      <c r="D898" t="str">
        <f>[1]Result_notebook_retravaill!D898</f>
        <v>Existing production</v>
      </c>
      <c r="E898" t="str">
        <f>[1]Result_notebook_retravaill!E898</f>
        <v>Current shares</v>
      </c>
      <c r="F898" t="str">
        <f>[1]Result_notebook_retravaill!F898</f>
        <v>Status Quo</v>
      </c>
      <c r="G898">
        <f>[1]Result_notebook_retravaill!G898</f>
        <v>53789.771026547613</v>
      </c>
      <c r="H898" s="3">
        <f>IF([1]Result_notebook_retravaill!I898&gt;[1]Result_notebook_retravaill!G898,[1]Result_notebook_retravaill!I898/[1]Result_notebook_retravaill!N898,[1]Result_notebook_retravaill!H898)</f>
        <v>39773</v>
      </c>
      <c r="I898" s="3">
        <f>[1]Result_notebook_retravaill!K898</f>
        <v>37069.530037925171</v>
      </c>
      <c r="J898" s="3">
        <f>MIN(G898,[1]Result_notebook_retravaill!I898)</f>
        <v>27808.107139723728</v>
      </c>
      <c r="K898" s="3">
        <f>IF([1]Result_notebook_retravaill!I898&gt;[1]Result_notebook_retravaill!G898,0,IF([1]Result_notebook_retravaill!I898+[1]Result_notebook_retravaill!J898&gt;[1]Result_notebook_retravaill!G898,[1]Result_notebook_retravaill!G898-[1]Result_notebook_retravaill!I898,[1]Result_notebook_retravaill!J898))</f>
        <v>3515.3177502825383</v>
      </c>
      <c r="L898" s="3">
        <f>IF([1]Result_notebook_retravaill!I898&gt;[1]Result_notebook_retravaill!G898,0,IF([1]Result_notebook_retravaill!I898+[1]Result_notebook_retravaill!J898&gt;[1]Result_notebook_retravaill!G898,0,[1]Result_notebook_retravaill!M898))</f>
        <v>22466.346136541342</v>
      </c>
    </row>
    <row r="899" spans="1:12">
      <c r="A899">
        <f>[1]Result_notebook_retravaill!A899</f>
        <v>2034</v>
      </c>
      <c r="B899" t="str">
        <f>[1]Result_notebook_retravaill!B899</f>
        <v>Lithium</v>
      </c>
      <c r="C899" t="str">
        <f>[1]Result_notebook_retravaill!C899</f>
        <v>Global Net-zero</v>
      </c>
      <c r="D899" t="str">
        <f>[1]Result_notebook_retravaill!D899</f>
        <v>Production potential</v>
      </c>
      <c r="E899" t="str">
        <f>[1]Result_notebook_retravaill!E899</f>
        <v>Current shares</v>
      </c>
      <c r="F899" t="str">
        <f>[1]Result_notebook_retravaill!F899</f>
        <v>Expansion Extractive</v>
      </c>
      <c r="G899">
        <f>[1]Result_notebook_retravaill!G899</f>
        <v>53789.771026547613</v>
      </c>
      <c r="H899" s="3">
        <f>IF([1]Result_notebook_retravaill!I899&gt;[1]Result_notebook_retravaill!G899,[1]Result_notebook_retravaill!I899/[1]Result_notebook_retravaill!N899,[1]Result_notebook_retravaill!H899)</f>
        <v>126826.43714165693</v>
      </c>
      <c r="I899" s="3">
        <f>[1]Result_notebook_retravaill!K899</f>
        <v>0</v>
      </c>
      <c r="J899" s="3">
        <f>MIN(G899,[1]Result_notebook_retravaill!I899)</f>
        <v>53789.771026547613</v>
      </c>
      <c r="K899" s="3">
        <f>IF([1]Result_notebook_retravaill!I899&gt;[1]Result_notebook_retravaill!G899,0,IF([1]Result_notebook_retravaill!I899+[1]Result_notebook_retravaill!J899&gt;[1]Result_notebook_retravaill!G899,[1]Result_notebook_retravaill!G899-[1]Result_notebook_retravaill!I899,[1]Result_notebook_retravaill!J899))</f>
        <v>0</v>
      </c>
      <c r="L899" s="3">
        <f>IF([1]Result_notebook_retravaill!I899&gt;[1]Result_notebook_retravaill!G899,0,IF([1]Result_notebook_retravaill!I899+[1]Result_notebook_retravaill!J899&gt;[1]Result_notebook_retravaill!G899,0,[1]Result_notebook_retravaill!M899))</f>
        <v>0</v>
      </c>
    </row>
    <row r="900" spans="1:12">
      <c r="A900">
        <f>[1]Result_notebook_retravaill!A900</f>
        <v>2034</v>
      </c>
      <c r="B900" t="str">
        <f>[1]Result_notebook_retravaill!B900</f>
        <v>Lithium</v>
      </c>
      <c r="C900" t="str">
        <f>[1]Result_notebook_retravaill!C900</f>
        <v>Global Net-zero</v>
      </c>
      <c r="D900" t="str">
        <f>[1]Result_notebook_retravaill!D900</f>
        <v>Production potential</v>
      </c>
      <c r="E900" t="str">
        <f>[1]Result_notebook_retravaill!E900</f>
        <v>Current shares</v>
      </c>
      <c r="F900" t="str">
        <f>[1]Result_notebook_retravaill!F900</f>
        <v>Expansion Extractive+Circularity</v>
      </c>
      <c r="G900">
        <f>[1]Result_notebook_retravaill!G900</f>
        <v>53789.771026547613</v>
      </c>
      <c r="H900" s="3">
        <f>IF([1]Result_notebook_retravaill!I900&gt;[1]Result_notebook_retravaill!G900,[1]Result_notebook_retravaill!I900/[1]Result_notebook_retravaill!N900,[1]Result_notebook_retravaill!H900)</f>
        <v>126826.43714165693</v>
      </c>
      <c r="I900" s="3">
        <f>[1]Result_notebook_retravaill!K900</f>
        <v>0</v>
      </c>
      <c r="J900" s="3">
        <f>MIN(G900,[1]Result_notebook_retravaill!I900)</f>
        <v>53789.771026547613</v>
      </c>
      <c r="K900" s="3">
        <f>IF([1]Result_notebook_retravaill!I900&gt;[1]Result_notebook_retravaill!G900,0,IF([1]Result_notebook_retravaill!I900+[1]Result_notebook_retravaill!J900&gt;[1]Result_notebook_retravaill!G900,[1]Result_notebook_retravaill!G900-[1]Result_notebook_retravaill!I900,[1]Result_notebook_retravaill!J900))</f>
        <v>0</v>
      </c>
      <c r="L900" s="3">
        <f>IF([1]Result_notebook_retravaill!I900&gt;[1]Result_notebook_retravaill!G900,0,IF([1]Result_notebook_retravaill!I900+[1]Result_notebook_retravaill!J900&gt;[1]Result_notebook_retravaill!G900,0,[1]Result_notebook_retravaill!M900))</f>
        <v>0</v>
      </c>
    </row>
    <row r="901" spans="1:12">
      <c r="A901">
        <f>[1]Result_notebook_retravaill!A901</f>
        <v>2034</v>
      </c>
      <c r="B901" t="str">
        <f>[1]Result_notebook_retravaill!B901</f>
        <v>Lithium</v>
      </c>
      <c r="C901" t="str">
        <f>[1]Result_notebook_retravaill!C901</f>
        <v>Global Net-zero</v>
      </c>
      <c r="D901" t="str">
        <f>[1]Result_notebook_retravaill!D901</f>
        <v>Production potential</v>
      </c>
      <c r="E901" t="str">
        <f>[1]Result_notebook_retravaill!E901</f>
        <v>100% CAN</v>
      </c>
      <c r="F901" t="str">
        <f>[1]Result_notebook_retravaill!F901</f>
        <v>Integrated</v>
      </c>
      <c r="G901">
        <f>[1]Result_notebook_retravaill!G901</f>
        <v>53789.771026547613</v>
      </c>
      <c r="H901" s="3">
        <f>IF([1]Result_notebook_retravaill!I901&gt;[1]Result_notebook_retravaill!G901,[1]Result_notebook_retravaill!I901/[1]Result_notebook_retravaill!N901,[1]Result_notebook_retravaill!H901)</f>
        <v>126826.43714165693</v>
      </c>
      <c r="I901" s="3">
        <f>[1]Result_notebook_retravaill!K901</f>
        <v>0</v>
      </c>
      <c r="J901" s="3">
        <f>MIN(G901,[1]Result_notebook_retravaill!I901)</f>
        <v>53789.771026547613</v>
      </c>
      <c r="K901" s="3">
        <f>IF([1]Result_notebook_retravaill!I901&gt;[1]Result_notebook_retravaill!G901,0,IF([1]Result_notebook_retravaill!I901+[1]Result_notebook_retravaill!J901&gt;[1]Result_notebook_retravaill!G901,[1]Result_notebook_retravaill!G901-[1]Result_notebook_retravaill!I901,[1]Result_notebook_retravaill!J901))</f>
        <v>0</v>
      </c>
      <c r="L901" s="3">
        <f>IF([1]Result_notebook_retravaill!I901&gt;[1]Result_notebook_retravaill!G901,0,IF([1]Result_notebook_retravaill!I901+[1]Result_notebook_retravaill!J901&gt;[1]Result_notebook_retravaill!G901,0,[1]Result_notebook_retravaill!M901))</f>
        <v>0</v>
      </c>
    </row>
    <row r="902" spans="1:12">
      <c r="A902">
        <f>[1]Result_notebook_retravaill!A902</f>
        <v>2035</v>
      </c>
      <c r="B902" t="str">
        <f>[1]Result_notebook_retravaill!B902</f>
        <v>Cobalt</v>
      </c>
      <c r="C902" t="str">
        <f>[1]Result_notebook_retravaill!C902</f>
        <v>Canada Net-zero</v>
      </c>
      <c r="D902" t="str">
        <f>[1]Result_notebook_retravaill!D902</f>
        <v>Existing production</v>
      </c>
      <c r="E902" t="str">
        <f>[1]Result_notebook_retravaill!E902</f>
        <v>Current shares</v>
      </c>
      <c r="F902" t="str">
        <f>[1]Result_notebook_retravaill!F902</f>
        <v>NIMBY</v>
      </c>
      <c r="G902">
        <f>[1]Result_notebook_retravaill!G902</f>
        <v>152437.6873521794</v>
      </c>
      <c r="H902" s="3">
        <f>IF([1]Result_notebook_retravaill!I902&gt;[1]Result_notebook_retravaill!G902,[1]Result_notebook_retravaill!I902/[1]Result_notebook_retravaill!N902,[1]Result_notebook_retravaill!H902)</f>
        <v>0</v>
      </c>
      <c r="I902" s="3">
        <f>[1]Result_notebook_retravaill!K902</f>
        <v>346449.28943677142</v>
      </c>
      <c r="J902" s="3">
        <f>MIN(G902,[1]Result_notebook_retravaill!I902)</f>
        <v>0</v>
      </c>
      <c r="K902" s="3">
        <f>IF([1]Result_notebook_retravaill!I902&gt;[1]Result_notebook_retravaill!G902,0,IF([1]Result_notebook_retravaill!I902+[1]Result_notebook_retravaill!J902&gt;[1]Result_notebook_retravaill!G902,[1]Result_notebook_retravaill!G902-[1]Result_notebook_retravaill!I902,[1]Result_notebook_retravaill!J902))</f>
        <v>0</v>
      </c>
      <c r="L902" s="3">
        <f>IF([1]Result_notebook_retravaill!I902&gt;[1]Result_notebook_retravaill!G902,0,IF([1]Result_notebook_retravaill!I902+[1]Result_notebook_retravaill!J902&gt;[1]Result_notebook_retravaill!G902,0,[1]Result_notebook_retravaill!M902))</f>
        <v>152437.6873521794</v>
      </c>
    </row>
    <row r="903" spans="1:12">
      <c r="A903">
        <f>[1]Result_notebook_retravaill!A903</f>
        <v>2035</v>
      </c>
      <c r="B903" t="str">
        <f>[1]Result_notebook_retravaill!B903</f>
        <v>Cobalt</v>
      </c>
      <c r="C903" t="str">
        <f>[1]Result_notebook_retravaill!C903</f>
        <v>Canada Net-zero</v>
      </c>
      <c r="D903" t="str">
        <f>[1]Result_notebook_retravaill!D903</f>
        <v>Existing production</v>
      </c>
      <c r="E903" t="str">
        <f>[1]Result_notebook_retravaill!E903</f>
        <v>Current shares</v>
      </c>
      <c r="F903" t="str">
        <f>[1]Result_notebook_retravaill!F903</f>
        <v>Status Quo</v>
      </c>
      <c r="G903">
        <f>[1]Result_notebook_retravaill!G903</f>
        <v>152437.6873521794</v>
      </c>
      <c r="H903" s="3">
        <f>IF([1]Result_notebook_retravaill!I903&gt;[1]Result_notebook_retravaill!G903,[1]Result_notebook_retravaill!I903/[1]Result_notebook_retravaill!N903,[1]Result_notebook_retravaill!H903)</f>
        <v>3079</v>
      </c>
      <c r="I903" s="3">
        <f>[1]Result_notebook_retravaill!K903</f>
        <v>343370.28943677142</v>
      </c>
      <c r="J903" s="3">
        <f>MIN(G903,[1]Result_notebook_retravaill!I903)</f>
        <v>1306.05584956232</v>
      </c>
      <c r="K903" s="3">
        <f>IF([1]Result_notebook_retravaill!I903&gt;[1]Result_notebook_retravaill!G903,0,IF([1]Result_notebook_retravaill!I903+[1]Result_notebook_retravaill!J903&gt;[1]Result_notebook_retravaill!G903,[1]Result_notebook_retravaill!G903-[1]Result_notebook_retravaill!I903,[1]Result_notebook_retravaill!J903))</f>
        <v>46.692226187885353</v>
      </c>
      <c r="L903" s="3">
        <f>IF([1]Result_notebook_retravaill!I903&gt;[1]Result_notebook_retravaill!G903,0,IF([1]Result_notebook_retravaill!I903+[1]Result_notebook_retravaill!J903&gt;[1]Result_notebook_retravaill!G903,0,[1]Result_notebook_retravaill!M903))</f>
        <v>151084.93927642921</v>
      </c>
    </row>
    <row r="904" spans="1:12">
      <c r="A904">
        <f>[1]Result_notebook_retravaill!A904</f>
        <v>2035</v>
      </c>
      <c r="B904" t="str">
        <f>[1]Result_notebook_retravaill!B904</f>
        <v>Cobalt</v>
      </c>
      <c r="C904" t="str">
        <f>[1]Result_notebook_retravaill!C904</f>
        <v>Canada Net-zero</v>
      </c>
      <c r="D904" t="str">
        <f>[1]Result_notebook_retravaill!D904</f>
        <v>Production potential</v>
      </c>
      <c r="E904" t="str">
        <f>[1]Result_notebook_retravaill!E904</f>
        <v>Current shares</v>
      </c>
      <c r="F904" t="str">
        <f>[1]Result_notebook_retravaill!F904</f>
        <v>Expansion Extractive</v>
      </c>
      <c r="G904">
        <f>[1]Result_notebook_retravaill!G904</f>
        <v>152437.6873521794</v>
      </c>
      <c r="H904" s="3">
        <f>IF([1]Result_notebook_retravaill!I904&gt;[1]Result_notebook_retravaill!G904,[1]Result_notebook_retravaill!I904/[1]Result_notebook_retravaill!N904,[1]Result_notebook_retravaill!H904)</f>
        <v>15489.26488622676</v>
      </c>
      <c r="I904" s="3">
        <f>[1]Result_notebook_retravaill!K904</f>
        <v>330960.02455054462</v>
      </c>
      <c r="J904" s="3">
        <f>MIN(G904,[1]Result_notebook_retravaill!I904)</f>
        <v>6570.2646996026942</v>
      </c>
      <c r="K904" s="3">
        <f>IF([1]Result_notebook_retravaill!I904&gt;[1]Result_notebook_retravaill!G904,0,IF([1]Result_notebook_retravaill!I904+[1]Result_notebook_retravaill!J904&gt;[1]Result_notebook_retravaill!G904,[1]Result_notebook_retravaill!G904-[1]Result_notebook_retravaill!I904,[1]Result_notebook_retravaill!J904))</f>
        <v>234.89063317693217</v>
      </c>
      <c r="L904" s="3">
        <f>IF([1]Result_notebook_retravaill!I904&gt;[1]Result_notebook_retravaill!G904,0,IF([1]Result_notebook_retravaill!I904+[1]Result_notebook_retravaill!J904&gt;[1]Result_notebook_retravaill!G904,0,[1]Result_notebook_retravaill!M904))</f>
        <v>145632.53201939978</v>
      </c>
    </row>
    <row r="905" spans="1:12">
      <c r="A905">
        <f>[1]Result_notebook_retravaill!A905</f>
        <v>2035</v>
      </c>
      <c r="B905" t="str">
        <f>[1]Result_notebook_retravaill!B905</f>
        <v>Cobalt</v>
      </c>
      <c r="C905" t="str">
        <f>[1]Result_notebook_retravaill!C905</f>
        <v>Canada Net-zero</v>
      </c>
      <c r="D905" t="str">
        <f>[1]Result_notebook_retravaill!D905</f>
        <v>Production potential</v>
      </c>
      <c r="E905" t="str">
        <f>[1]Result_notebook_retravaill!E905</f>
        <v>Current shares</v>
      </c>
      <c r="F905" t="str">
        <f>[1]Result_notebook_retravaill!F905</f>
        <v>Expansion Extractive+Circularity</v>
      </c>
      <c r="G905">
        <f>[1]Result_notebook_retravaill!G905</f>
        <v>152437.6873521794</v>
      </c>
      <c r="H905" s="3">
        <f>IF([1]Result_notebook_retravaill!I905&gt;[1]Result_notebook_retravaill!G905,[1]Result_notebook_retravaill!I905/[1]Result_notebook_retravaill!N905,[1]Result_notebook_retravaill!H905)</f>
        <v>15489.26488622676</v>
      </c>
      <c r="I905" s="3">
        <f>[1]Result_notebook_retravaill!K905</f>
        <v>330960.02455054462</v>
      </c>
      <c r="J905" s="3">
        <f>MIN(G905,[1]Result_notebook_retravaill!I905)</f>
        <v>6570.2646996026942</v>
      </c>
      <c r="K905" s="3">
        <f>IF([1]Result_notebook_retravaill!I905&gt;[1]Result_notebook_retravaill!G905,0,IF([1]Result_notebook_retravaill!I905+[1]Result_notebook_retravaill!J905&gt;[1]Result_notebook_retravaill!G905,[1]Result_notebook_retravaill!G905-[1]Result_notebook_retravaill!I905,[1]Result_notebook_retravaill!J905))</f>
        <v>234.89063317693217</v>
      </c>
      <c r="L905" s="3">
        <f>IF([1]Result_notebook_retravaill!I905&gt;[1]Result_notebook_retravaill!G905,0,IF([1]Result_notebook_retravaill!I905+[1]Result_notebook_retravaill!J905&gt;[1]Result_notebook_retravaill!G905,0,[1]Result_notebook_retravaill!M905))</f>
        <v>145632.53201939978</v>
      </c>
    </row>
    <row r="906" spans="1:12">
      <c r="A906">
        <f>[1]Result_notebook_retravaill!A906</f>
        <v>2035</v>
      </c>
      <c r="B906" t="str">
        <f>[1]Result_notebook_retravaill!B906</f>
        <v>Cobalt</v>
      </c>
      <c r="C906" t="str">
        <f>[1]Result_notebook_retravaill!C906</f>
        <v>Canada Net-zero</v>
      </c>
      <c r="D906" t="str">
        <f>[1]Result_notebook_retravaill!D906</f>
        <v>Production potential</v>
      </c>
      <c r="E906" t="str">
        <f>[1]Result_notebook_retravaill!E906</f>
        <v>100% CAN</v>
      </c>
      <c r="F906" t="str">
        <f>[1]Result_notebook_retravaill!F906</f>
        <v>Integrated</v>
      </c>
      <c r="G906">
        <f>[1]Result_notebook_retravaill!G906</f>
        <v>152437.6873521794</v>
      </c>
      <c r="H906" s="3">
        <f>IF([1]Result_notebook_retravaill!I906&gt;[1]Result_notebook_retravaill!G906,[1]Result_notebook_retravaill!I906/[1]Result_notebook_retravaill!N906,[1]Result_notebook_retravaill!H906)</f>
        <v>15489.26488622676</v>
      </c>
      <c r="I906" s="3">
        <f>[1]Result_notebook_retravaill!K906</f>
        <v>330960.02455054462</v>
      </c>
      <c r="J906" s="3">
        <f>MIN(G906,[1]Result_notebook_retravaill!I906)</f>
        <v>6805.1553327796337</v>
      </c>
      <c r="K906" s="3">
        <f>IF([1]Result_notebook_retravaill!I906&gt;[1]Result_notebook_retravaill!G906,0,IF([1]Result_notebook_retravaill!I906+[1]Result_notebook_retravaill!J906&gt;[1]Result_notebook_retravaill!G906,[1]Result_notebook_retravaill!G906-[1]Result_notebook_retravaill!I906,[1]Result_notebook_retravaill!J906))</f>
        <v>-7.2759576141834259E-12</v>
      </c>
      <c r="L906" s="3">
        <f>IF([1]Result_notebook_retravaill!I906&gt;[1]Result_notebook_retravaill!G906,0,IF([1]Result_notebook_retravaill!I906+[1]Result_notebook_retravaill!J906&gt;[1]Result_notebook_retravaill!G906,0,[1]Result_notebook_retravaill!M906))</f>
        <v>145632.5320193998</v>
      </c>
    </row>
    <row r="907" spans="1:12">
      <c r="A907">
        <f>[1]Result_notebook_retravaill!A907</f>
        <v>2035</v>
      </c>
      <c r="B907" t="str">
        <f>[1]Result_notebook_retravaill!B907</f>
        <v>Cobalt</v>
      </c>
      <c r="C907" t="str">
        <f>[1]Result_notebook_retravaill!C907</f>
        <v>Current Measures</v>
      </c>
      <c r="D907" t="str">
        <f>[1]Result_notebook_retravaill!D907</f>
        <v>Existing production</v>
      </c>
      <c r="E907" t="str">
        <f>[1]Result_notebook_retravaill!E907</f>
        <v>Current shares</v>
      </c>
      <c r="F907" t="str">
        <f>[1]Result_notebook_retravaill!F907</f>
        <v>NIMBY</v>
      </c>
      <c r="G907">
        <f>[1]Result_notebook_retravaill!G907</f>
        <v>58674.162846282037</v>
      </c>
      <c r="H907" s="3">
        <f>IF([1]Result_notebook_retravaill!I907&gt;[1]Result_notebook_retravaill!G907,[1]Result_notebook_retravaill!I907/[1]Result_notebook_retravaill!N907,[1]Result_notebook_retravaill!H907)</f>
        <v>0</v>
      </c>
      <c r="I907" s="3">
        <f>[1]Result_notebook_retravaill!K907</f>
        <v>133350.37010518639</v>
      </c>
      <c r="J907" s="3">
        <f>MIN(G907,[1]Result_notebook_retravaill!I907)</f>
        <v>0</v>
      </c>
      <c r="K907" s="3">
        <f>IF([1]Result_notebook_retravaill!I907&gt;[1]Result_notebook_retravaill!G907,0,IF([1]Result_notebook_retravaill!I907+[1]Result_notebook_retravaill!J907&gt;[1]Result_notebook_retravaill!G907,[1]Result_notebook_retravaill!G907-[1]Result_notebook_retravaill!I907,[1]Result_notebook_retravaill!J907))</f>
        <v>0</v>
      </c>
      <c r="L907" s="3">
        <f>IF([1]Result_notebook_retravaill!I907&gt;[1]Result_notebook_retravaill!G907,0,IF([1]Result_notebook_retravaill!I907+[1]Result_notebook_retravaill!J907&gt;[1]Result_notebook_retravaill!G907,0,[1]Result_notebook_retravaill!M907))</f>
        <v>58674.162846282037</v>
      </c>
    </row>
    <row r="908" spans="1:12">
      <c r="A908">
        <f>[1]Result_notebook_retravaill!A908</f>
        <v>2035</v>
      </c>
      <c r="B908" t="str">
        <f>[1]Result_notebook_retravaill!B908</f>
        <v>Cobalt</v>
      </c>
      <c r="C908" t="str">
        <f>[1]Result_notebook_retravaill!C908</f>
        <v>Current Measures</v>
      </c>
      <c r="D908" t="str">
        <f>[1]Result_notebook_retravaill!D908</f>
        <v>Existing production</v>
      </c>
      <c r="E908" t="str">
        <f>[1]Result_notebook_retravaill!E908</f>
        <v>Current shares</v>
      </c>
      <c r="F908" t="str">
        <f>[1]Result_notebook_retravaill!F908</f>
        <v>Status Quo</v>
      </c>
      <c r="G908">
        <f>[1]Result_notebook_retravaill!G908</f>
        <v>58674.162846282037</v>
      </c>
      <c r="H908" s="3">
        <f>IF([1]Result_notebook_retravaill!I908&gt;[1]Result_notebook_retravaill!G908,[1]Result_notebook_retravaill!I908/[1]Result_notebook_retravaill!N908,[1]Result_notebook_retravaill!H908)</f>
        <v>3079</v>
      </c>
      <c r="I908" s="3">
        <f>[1]Result_notebook_retravaill!K908</f>
        <v>130271.3701051864</v>
      </c>
      <c r="J908" s="3">
        <f>MIN(G908,[1]Result_notebook_retravaill!I908)</f>
        <v>1306.05584956232</v>
      </c>
      <c r="K908" s="3">
        <f>IF([1]Result_notebook_retravaill!I908&gt;[1]Result_notebook_retravaill!G908,0,IF([1]Result_notebook_retravaill!I908+[1]Result_notebook_retravaill!J908&gt;[1]Result_notebook_retravaill!G908,[1]Result_notebook_retravaill!G908-[1]Result_notebook_retravaill!I908,[1]Result_notebook_retravaill!J908))</f>
        <v>46.692226187885353</v>
      </c>
      <c r="L908" s="3">
        <f>IF([1]Result_notebook_retravaill!I908&gt;[1]Result_notebook_retravaill!G908,0,IF([1]Result_notebook_retravaill!I908+[1]Result_notebook_retravaill!J908&gt;[1]Result_notebook_retravaill!G908,0,[1]Result_notebook_retravaill!M908))</f>
        <v>57321.414770531832</v>
      </c>
    </row>
    <row r="909" spans="1:12">
      <c r="A909">
        <f>[1]Result_notebook_retravaill!A909</f>
        <v>2035</v>
      </c>
      <c r="B909" t="str">
        <f>[1]Result_notebook_retravaill!B909</f>
        <v>Cobalt</v>
      </c>
      <c r="C909" t="str">
        <f>[1]Result_notebook_retravaill!C909</f>
        <v>Current Measures</v>
      </c>
      <c r="D909" t="str">
        <f>[1]Result_notebook_retravaill!D909</f>
        <v>Production potential</v>
      </c>
      <c r="E909" t="str">
        <f>[1]Result_notebook_retravaill!E909</f>
        <v>Current shares</v>
      </c>
      <c r="F909" t="str">
        <f>[1]Result_notebook_retravaill!F909</f>
        <v>Expansion Extractive</v>
      </c>
      <c r="G909">
        <f>[1]Result_notebook_retravaill!G909</f>
        <v>58674.162846282037</v>
      </c>
      <c r="H909" s="3">
        <f>IF([1]Result_notebook_retravaill!I909&gt;[1]Result_notebook_retravaill!G909,[1]Result_notebook_retravaill!I909/[1]Result_notebook_retravaill!N909,[1]Result_notebook_retravaill!H909)</f>
        <v>15489.26488622676</v>
      </c>
      <c r="I909" s="3">
        <f>[1]Result_notebook_retravaill!K909</f>
        <v>117861.1052189597</v>
      </c>
      <c r="J909" s="3">
        <f>MIN(G909,[1]Result_notebook_retravaill!I909)</f>
        <v>6570.2646996026942</v>
      </c>
      <c r="K909" s="3">
        <f>IF([1]Result_notebook_retravaill!I909&gt;[1]Result_notebook_retravaill!G909,0,IF([1]Result_notebook_retravaill!I909+[1]Result_notebook_retravaill!J909&gt;[1]Result_notebook_retravaill!G909,[1]Result_notebook_retravaill!G909-[1]Result_notebook_retravaill!I909,[1]Result_notebook_retravaill!J909))</f>
        <v>234.89063317693217</v>
      </c>
      <c r="L909" s="3">
        <f>IF([1]Result_notebook_retravaill!I909&gt;[1]Result_notebook_retravaill!G909,0,IF([1]Result_notebook_retravaill!I909+[1]Result_notebook_retravaill!J909&gt;[1]Result_notebook_retravaill!G909,0,[1]Result_notebook_retravaill!M909))</f>
        <v>51869.007513502409</v>
      </c>
    </row>
    <row r="910" spans="1:12">
      <c r="A910">
        <f>[1]Result_notebook_retravaill!A910</f>
        <v>2035</v>
      </c>
      <c r="B910" t="str">
        <f>[1]Result_notebook_retravaill!B910</f>
        <v>Cobalt</v>
      </c>
      <c r="C910" t="str">
        <f>[1]Result_notebook_retravaill!C910</f>
        <v>Current Measures</v>
      </c>
      <c r="D910" t="str">
        <f>[1]Result_notebook_retravaill!D910</f>
        <v>Production potential</v>
      </c>
      <c r="E910" t="str">
        <f>[1]Result_notebook_retravaill!E910</f>
        <v>Current shares</v>
      </c>
      <c r="F910" t="str">
        <f>[1]Result_notebook_retravaill!F910</f>
        <v>Expansion Extractive+Circularity</v>
      </c>
      <c r="G910">
        <f>[1]Result_notebook_retravaill!G910</f>
        <v>58674.162846282037</v>
      </c>
      <c r="H910" s="3">
        <f>IF([1]Result_notebook_retravaill!I910&gt;[1]Result_notebook_retravaill!G910,[1]Result_notebook_retravaill!I910/[1]Result_notebook_retravaill!N910,[1]Result_notebook_retravaill!H910)</f>
        <v>15489.26488622676</v>
      </c>
      <c r="I910" s="3">
        <f>[1]Result_notebook_retravaill!K910</f>
        <v>117861.1052189597</v>
      </c>
      <c r="J910" s="3">
        <f>MIN(G910,[1]Result_notebook_retravaill!I910)</f>
        <v>6570.2646996026942</v>
      </c>
      <c r="K910" s="3">
        <f>IF([1]Result_notebook_retravaill!I910&gt;[1]Result_notebook_retravaill!G910,0,IF([1]Result_notebook_retravaill!I910+[1]Result_notebook_retravaill!J910&gt;[1]Result_notebook_retravaill!G910,[1]Result_notebook_retravaill!G910-[1]Result_notebook_retravaill!I910,[1]Result_notebook_retravaill!J910))</f>
        <v>234.89063317693217</v>
      </c>
      <c r="L910" s="3">
        <f>IF([1]Result_notebook_retravaill!I910&gt;[1]Result_notebook_retravaill!G910,0,IF([1]Result_notebook_retravaill!I910+[1]Result_notebook_retravaill!J910&gt;[1]Result_notebook_retravaill!G910,0,[1]Result_notebook_retravaill!M910))</f>
        <v>51869.007513502409</v>
      </c>
    </row>
    <row r="911" spans="1:12">
      <c r="A911">
        <f>[1]Result_notebook_retravaill!A911</f>
        <v>2035</v>
      </c>
      <c r="B911" t="str">
        <f>[1]Result_notebook_retravaill!B911</f>
        <v>Cobalt</v>
      </c>
      <c r="C911" t="str">
        <f>[1]Result_notebook_retravaill!C911</f>
        <v>Current Measures</v>
      </c>
      <c r="D911" t="str">
        <f>[1]Result_notebook_retravaill!D911</f>
        <v>Production potential</v>
      </c>
      <c r="E911" t="str">
        <f>[1]Result_notebook_retravaill!E911</f>
        <v>100% CAN</v>
      </c>
      <c r="F911" t="str">
        <f>[1]Result_notebook_retravaill!F911</f>
        <v>Integrated</v>
      </c>
      <c r="G911">
        <f>[1]Result_notebook_retravaill!G911</f>
        <v>58674.162846282037</v>
      </c>
      <c r="H911" s="3">
        <f>IF([1]Result_notebook_retravaill!I911&gt;[1]Result_notebook_retravaill!G911,[1]Result_notebook_retravaill!I911/[1]Result_notebook_retravaill!N911,[1]Result_notebook_retravaill!H911)</f>
        <v>15489.26488622676</v>
      </c>
      <c r="I911" s="3">
        <f>[1]Result_notebook_retravaill!K911</f>
        <v>117861.1052189597</v>
      </c>
      <c r="J911" s="3">
        <f>MIN(G911,[1]Result_notebook_retravaill!I911)</f>
        <v>6805.1553327796337</v>
      </c>
      <c r="K911" s="3">
        <f>IF([1]Result_notebook_retravaill!I911&gt;[1]Result_notebook_retravaill!G911,0,IF([1]Result_notebook_retravaill!I911+[1]Result_notebook_retravaill!J911&gt;[1]Result_notebook_retravaill!G911,[1]Result_notebook_retravaill!G911-[1]Result_notebook_retravaill!I911,[1]Result_notebook_retravaill!J911))</f>
        <v>-7.2759576141834259E-12</v>
      </c>
      <c r="L911" s="3">
        <f>IF([1]Result_notebook_retravaill!I911&gt;[1]Result_notebook_retravaill!G911,0,IF([1]Result_notebook_retravaill!I911+[1]Result_notebook_retravaill!J911&gt;[1]Result_notebook_retravaill!G911,0,[1]Result_notebook_retravaill!M911))</f>
        <v>51869.007513502409</v>
      </c>
    </row>
    <row r="912" spans="1:12">
      <c r="A912">
        <f>[1]Result_notebook_retravaill!A912</f>
        <v>2035</v>
      </c>
      <c r="B912" t="str">
        <f>[1]Result_notebook_retravaill!B912</f>
        <v>Cobalt</v>
      </c>
      <c r="C912" t="str">
        <f>[1]Result_notebook_retravaill!C912</f>
        <v>Global Net-zero</v>
      </c>
      <c r="D912" t="str">
        <f>[1]Result_notebook_retravaill!D912</f>
        <v>Existing production</v>
      </c>
      <c r="E912" t="str">
        <f>[1]Result_notebook_retravaill!E912</f>
        <v>Current shares</v>
      </c>
      <c r="F912" t="str">
        <f>[1]Result_notebook_retravaill!F912</f>
        <v>NIMBY</v>
      </c>
      <c r="G912">
        <f>[1]Result_notebook_retravaill!G912</f>
        <v>144963.80013112261</v>
      </c>
      <c r="H912" s="3">
        <f>IF([1]Result_notebook_retravaill!I912&gt;[1]Result_notebook_retravaill!G912,[1]Result_notebook_retravaill!I912/[1]Result_notebook_retravaill!N912,[1]Result_notebook_retravaill!H912)</f>
        <v>0</v>
      </c>
      <c r="I912" s="3">
        <f>[1]Result_notebook_retravaill!K912</f>
        <v>329463.18211618782</v>
      </c>
      <c r="J912" s="3">
        <f>MIN(G912,[1]Result_notebook_retravaill!I912)</f>
        <v>0</v>
      </c>
      <c r="K912" s="3">
        <f>IF([1]Result_notebook_retravaill!I912&gt;[1]Result_notebook_retravaill!G912,0,IF([1]Result_notebook_retravaill!I912+[1]Result_notebook_retravaill!J912&gt;[1]Result_notebook_retravaill!G912,[1]Result_notebook_retravaill!G912-[1]Result_notebook_retravaill!I912,[1]Result_notebook_retravaill!J912))</f>
        <v>0</v>
      </c>
      <c r="L912" s="3">
        <f>IF([1]Result_notebook_retravaill!I912&gt;[1]Result_notebook_retravaill!G912,0,IF([1]Result_notebook_retravaill!I912+[1]Result_notebook_retravaill!J912&gt;[1]Result_notebook_retravaill!G912,0,[1]Result_notebook_retravaill!M912))</f>
        <v>144963.80013112261</v>
      </c>
    </row>
    <row r="913" spans="1:12">
      <c r="A913">
        <f>[1]Result_notebook_retravaill!A913</f>
        <v>2035</v>
      </c>
      <c r="B913" t="str">
        <f>[1]Result_notebook_retravaill!B913</f>
        <v>Cobalt</v>
      </c>
      <c r="C913" t="str">
        <f>[1]Result_notebook_retravaill!C913</f>
        <v>Global Net-zero</v>
      </c>
      <c r="D913" t="str">
        <f>[1]Result_notebook_retravaill!D913</f>
        <v>Existing production</v>
      </c>
      <c r="E913" t="str">
        <f>[1]Result_notebook_retravaill!E913</f>
        <v>Current shares</v>
      </c>
      <c r="F913" t="str">
        <f>[1]Result_notebook_retravaill!F913</f>
        <v>Status Quo</v>
      </c>
      <c r="G913">
        <f>[1]Result_notebook_retravaill!G913</f>
        <v>144963.80013112261</v>
      </c>
      <c r="H913" s="3">
        <f>IF([1]Result_notebook_retravaill!I913&gt;[1]Result_notebook_retravaill!G913,[1]Result_notebook_retravaill!I913/[1]Result_notebook_retravaill!N913,[1]Result_notebook_retravaill!H913)</f>
        <v>3079</v>
      </c>
      <c r="I913" s="3">
        <f>[1]Result_notebook_retravaill!K913</f>
        <v>326384.18211618782</v>
      </c>
      <c r="J913" s="3">
        <f>MIN(G913,[1]Result_notebook_retravaill!I913)</f>
        <v>1306.05584956232</v>
      </c>
      <c r="K913" s="3">
        <f>IF([1]Result_notebook_retravaill!I913&gt;[1]Result_notebook_retravaill!G913,0,IF([1]Result_notebook_retravaill!I913+[1]Result_notebook_retravaill!J913&gt;[1]Result_notebook_retravaill!G913,[1]Result_notebook_retravaill!G913-[1]Result_notebook_retravaill!I913,[1]Result_notebook_retravaill!J913))</f>
        <v>46.692226187885353</v>
      </c>
      <c r="L913" s="3">
        <f>IF([1]Result_notebook_retravaill!I913&gt;[1]Result_notebook_retravaill!G913,0,IF([1]Result_notebook_retravaill!I913+[1]Result_notebook_retravaill!J913&gt;[1]Result_notebook_retravaill!G913,0,[1]Result_notebook_retravaill!M913))</f>
        <v>143611.05205537242</v>
      </c>
    </row>
    <row r="914" spans="1:12">
      <c r="A914">
        <f>[1]Result_notebook_retravaill!A914</f>
        <v>2035</v>
      </c>
      <c r="B914" t="str">
        <f>[1]Result_notebook_retravaill!B914</f>
        <v>Cobalt</v>
      </c>
      <c r="C914" t="str">
        <f>[1]Result_notebook_retravaill!C914</f>
        <v>Global Net-zero</v>
      </c>
      <c r="D914" t="str">
        <f>[1]Result_notebook_retravaill!D914</f>
        <v>Production potential</v>
      </c>
      <c r="E914" t="str">
        <f>[1]Result_notebook_retravaill!E914</f>
        <v>Current shares</v>
      </c>
      <c r="F914" t="str">
        <f>[1]Result_notebook_retravaill!F914</f>
        <v>Expansion Extractive</v>
      </c>
      <c r="G914">
        <f>[1]Result_notebook_retravaill!G914</f>
        <v>144963.80013112261</v>
      </c>
      <c r="H914" s="3">
        <f>IF([1]Result_notebook_retravaill!I914&gt;[1]Result_notebook_retravaill!G914,[1]Result_notebook_retravaill!I914/[1]Result_notebook_retravaill!N914,[1]Result_notebook_retravaill!H914)</f>
        <v>15489.26488622676</v>
      </c>
      <c r="I914" s="3">
        <f>[1]Result_notebook_retravaill!K914</f>
        <v>313973.91722996102</v>
      </c>
      <c r="J914" s="3">
        <f>MIN(G914,[1]Result_notebook_retravaill!I914)</f>
        <v>6570.2646996026942</v>
      </c>
      <c r="K914" s="3">
        <f>IF([1]Result_notebook_retravaill!I914&gt;[1]Result_notebook_retravaill!G914,0,IF([1]Result_notebook_retravaill!I914+[1]Result_notebook_retravaill!J914&gt;[1]Result_notebook_retravaill!G914,[1]Result_notebook_retravaill!G914-[1]Result_notebook_retravaill!I914,[1]Result_notebook_retravaill!J914))</f>
        <v>234.89063317693217</v>
      </c>
      <c r="L914" s="3">
        <f>IF([1]Result_notebook_retravaill!I914&gt;[1]Result_notebook_retravaill!G914,0,IF([1]Result_notebook_retravaill!I914+[1]Result_notebook_retravaill!J914&gt;[1]Result_notebook_retravaill!G914,0,[1]Result_notebook_retravaill!M914))</f>
        <v>138158.64479834298</v>
      </c>
    </row>
    <row r="915" spans="1:12">
      <c r="A915">
        <f>[1]Result_notebook_retravaill!A915</f>
        <v>2035</v>
      </c>
      <c r="B915" t="str">
        <f>[1]Result_notebook_retravaill!B915</f>
        <v>Cobalt</v>
      </c>
      <c r="C915" t="str">
        <f>[1]Result_notebook_retravaill!C915</f>
        <v>Global Net-zero</v>
      </c>
      <c r="D915" t="str">
        <f>[1]Result_notebook_retravaill!D915</f>
        <v>Production potential</v>
      </c>
      <c r="E915" t="str">
        <f>[1]Result_notebook_retravaill!E915</f>
        <v>Current shares</v>
      </c>
      <c r="F915" t="str">
        <f>[1]Result_notebook_retravaill!F915</f>
        <v>Expansion Extractive+Circularity</v>
      </c>
      <c r="G915">
        <f>[1]Result_notebook_retravaill!G915</f>
        <v>144963.80013112261</v>
      </c>
      <c r="H915" s="3">
        <f>IF([1]Result_notebook_retravaill!I915&gt;[1]Result_notebook_retravaill!G915,[1]Result_notebook_retravaill!I915/[1]Result_notebook_retravaill!N915,[1]Result_notebook_retravaill!H915)</f>
        <v>15489.26488622676</v>
      </c>
      <c r="I915" s="3">
        <f>[1]Result_notebook_retravaill!K915</f>
        <v>313973.91722996102</v>
      </c>
      <c r="J915" s="3">
        <f>MIN(G915,[1]Result_notebook_retravaill!I915)</f>
        <v>6570.2646996026942</v>
      </c>
      <c r="K915" s="3">
        <f>IF([1]Result_notebook_retravaill!I915&gt;[1]Result_notebook_retravaill!G915,0,IF([1]Result_notebook_retravaill!I915+[1]Result_notebook_retravaill!J915&gt;[1]Result_notebook_retravaill!G915,[1]Result_notebook_retravaill!G915-[1]Result_notebook_retravaill!I915,[1]Result_notebook_retravaill!J915))</f>
        <v>234.89063317693217</v>
      </c>
      <c r="L915" s="3">
        <f>IF([1]Result_notebook_retravaill!I915&gt;[1]Result_notebook_retravaill!G915,0,IF([1]Result_notebook_retravaill!I915+[1]Result_notebook_retravaill!J915&gt;[1]Result_notebook_retravaill!G915,0,[1]Result_notebook_retravaill!M915))</f>
        <v>138158.64479834298</v>
      </c>
    </row>
    <row r="916" spans="1:12">
      <c r="A916">
        <f>[1]Result_notebook_retravaill!A916</f>
        <v>2035</v>
      </c>
      <c r="B916" t="str">
        <f>[1]Result_notebook_retravaill!B916</f>
        <v>Cobalt</v>
      </c>
      <c r="C916" t="str">
        <f>[1]Result_notebook_retravaill!C916</f>
        <v>Global Net-zero</v>
      </c>
      <c r="D916" t="str">
        <f>[1]Result_notebook_retravaill!D916</f>
        <v>Production potential</v>
      </c>
      <c r="E916" t="str">
        <f>[1]Result_notebook_retravaill!E916</f>
        <v>100% CAN</v>
      </c>
      <c r="F916" t="str">
        <f>[1]Result_notebook_retravaill!F916</f>
        <v>Integrated</v>
      </c>
      <c r="G916">
        <f>[1]Result_notebook_retravaill!G916</f>
        <v>144963.80013112261</v>
      </c>
      <c r="H916" s="3">
        <f>IF([1]Result_notebook_retravaill!I916&gt;[1]Result_notebook_retravaill!G916,[1]Result_notebook_retravaill!I916/[1]Result_notebook_retravaill!N916,[1]Result_notebook_retravaill!H916)</f>
        <v>15489.26488622676</v>
      </c>
      <c r="I916" s="3">
        <f>[1]Result_notebook_retravaill!K916</f>
        <v>313973.91722996102</v>
      </c>
      <c r="J916" s="3">
        <f>MIN(G916,[1]Result_notebook_retravaill!I916)</f>
        <v>6805.1553327796337</v>
      </c>
      <c r="K916" s="3">
        <f>IF([1]Result_notebook_retravaill!I916&gt;[1]Result_notebook_retravaill!G916,0,IF([1]Result_notebook_retravaill!I916+[1]Result_notebook_retravaill!J916&gt;[1]Result_notebook_retravaill!G916,[1]Result_notebook_retravaill!G916-[1]Result_notebook_retravaill!I916,[1]Result_notebook_retravaill!J916))</f>
        <v>-7.2759576141834259E-12</v>
      </c>
      <c r="L916" s="3">
        <f>IF([1]Result_notebook_retravaill!I916&gt;[1]Result_notebook_retravaill!G916,0,IF([1]Result_notebook_retravaill!I916+[1]Result_notebook_retravaill!J916&gt;[1]Result_notebook_retravaill!G916,0,[1]Result_notebook_retravaill!M916))</f>
        <v>138158.64479834301</v>
      </c>
    </row>
    <row r="917" spans="1:12">
      <c r="A917">
        <f>[1]Result_notebook_retravaill!A917</f>
        <v>2035</v>
      </c>
      <c r="B917" t="str">
        <f>[1]Result_notebook_retravaill!B917</f>
        <v>Copper</v>
      </c>
      <c r="C917" t="str">
        <f>[1]Result_notebook_retravaill!C917</f>
        <v>Canada Net-zero</v>
      </c>
      <c r="D917" t="str">
        <f>[1]Result_notebook_retravaill!D917</f>
        <v>Existing production</v>
      </c>
      <c r="E917" t="str">
        <f>[1]Result_notebook_retravaill!E917</f>
        <v>Current shares</v>
      </c>
      <c r="F917" t="str">
        <f>[1]Result_notebook_retravaill!F917</f>
        <v>NIMBY</v>
      </c>
      <c r="G917">
        <f>[1]Result_notebook_retravaill!G917</f>
        <v>1380748.71092915</v>
      </c>
      <c r="H917" s="3">
        <f>IF([1]Result_notebook_retravaill!I917&gt;[1]Result_notebook_retravaill!G917,[1]Result_notebook_retravaill!I917/[1]Result_notebook_retravaill!N917,[1]Result_notebook_retravaill!H917)</f>
        <v>0</v>
      </c>
      <c r="I917" s="3">
        <f>[1]Result_notebook_retravaill!K917</f>
        <v>1663552.6637700601</v>
      </c>
      <c r="J917" s="3">
        <f>MIN(G917,[1]Result_notebook_retravaill!I917)</f>
        <v>0</v>
      </c>
      <c r="K917" s="3">
        <f>IF([1]Result_notebook_retravaill!I917&gt;[1]Result_notebook_retravaill!G917,0,IF([1]Result_notebook_retravaill!I917+[1]Result_notebook_retravaill!J917&gt;[1]Result_notebook_retravaill!G917,[1]Result_notebook_retravaill!G917-[1]Result_notebook_retravaill!I917,[1]Result_notebook_retravaill!J917))</f>
        <v>0</v>
      </c>
      <c r="L917" s="3">
        <f>IF([1]Result_notebook_retravaill!I917&gt;[1]Result_notebook_retravaill!G917,0,IF([1]Result_notebook_retravaill!I917+[1]Result_notebook_retravaill!J917&gt;[1]Result_notebook_retravaill!G917,0,[1]Result_notebook_retravaill!M917))</f>
        <v>1380748.71092915</v>
      </c>
    </row>
    <row r="918" spans="1:12">
      <c r="A918">
        <f>[1]Result_notebook_retravaill!A918</f>
        <v>2035</v>
      </c>
      <c r="B918" t="str">
        <f>[1]Result_notebook_retravaill!B918</f>
        <v>Copper</v>
      </c>
      <c r="C918" t="str">
        <f>[1]Result_notebook_retravaill!C918</f>
        <v>Canada Net-zero</v>
      </c>
      <c r="D918" t="str">
        <f>[1]Result_notebook_retravaill!D918</f>
        <v>Existing production</v>
      </c>
      <c r="E918" t="str">
        <f>[1]Result_notebook_retravaill!E918</f>
        <v>Current shares</v>
      </c>
      <c r="F918" t="str">
        <f>[1]Result_notebook_retravaill!F918</f>
        <v>Status Quo</v>
      </c>
      <c r="G918">
        <f>[1]Result_notebook_retravaill!G918</f>
        <v>1380748.71092915</v>
      </c>
      <c r="H918" s="3">
        <f>IF([1]Result_notebook_retravaill!I918&gt;[1]Result_notebook_retravaill!G918,[1]Result_notebook_retravaill!I918/[1]Result_notebook_retravaill!N918,[1]Result_notebook_retravaill!H918)</f>
        <v>268899</v>
      </c>
      <c r="I918" s="3">
        <f>[1]Result_notebook_retravaill!K918</f>
        <v>1394653.6637700601</v>
      </c>
      <c r="J918" s="3">
        <f>MIN(G918,[1]Result_notebook_retravaill!I918)</f>
        <v>141335.65045528009</v>
      </c>
      <c r="K918" s="3">
        <f>IF([1]Result_notebook_retravaill!I918&gt;[1]Result_notebook_retravaill!G918,0,IF([1]Result_notebook_retravaill!I918+[1]Result_notebook_retravaill!J918&gt;[1]Result_notebook_retravaill!G918,[1]Result_notebook_retravaill!G918-[1]Result_notebook_retravaill!I918,[1]Result_notebook_retravaill!J918))</f>
        <v>83126.650392177427</v>
      </c>
      <c r="L918" s="3">
        <f>IF([1]Result_notebook_retravaill!I918&gt;[1]Result_notebook_retravaill!G918,0,IF([1]Result_notebook_retravaill!I918+[1]Result_notebook_retravaill!J918&gt;[1]Result_notebook_retravaill!G918,0,[1]Result_notebook_retravaill!M918))</f>
        <v>1156286.4100816925</v>
      </c>
    </row>
    <row r="919" spans="1:12">
      <c r="A919">
        <f>[1]Result_notebook_retravaill!A919</f>
        <v>2035</v>
      </c>
      <c r="B919" t="str">
        <f>[1]Result_notebook_retravaill!B919</f>
        <v>Copper</v>
      </c>
      <c r="C919" t="str">
        <f>[1]Result_notebook_retravaill!C919</f>
        <v>Canada Net-zero</v>
      </c>
      <c r="D919" t="str">
        <f>[1]Result_notebook_retravaill!D919</f>
        <v>Production potential</v>
      </c>
      <c r="E919" t="str">
        <f>[1]Result_notebook_retravaill!E919</f>
        <v>Current shares</v>
      </c>
      <c r="F919" t="str">
        <f>[1]Result_notebook_retravaill!F919</f>
        <v>Expansion Extractive</v>
      </c>
      <c r="G919">
        <f>[1]Result_notebook_retravaill!G919</f>
        <v>1380748.71092915</v>
      </c>
      <c r="H919" s="3">
        <f>IF([1]Result_notebook_retravaill!I919&gt;[1]Result_notebook_retravaill!G919,[1]Result_notebook_retravaill!I919/[1]Result_notebook_retravaill!N919,[1]Result_notebook_retravaill!H919)</f>
        <v>880689.46172873862</v>
      </c>
      <c r="I919" s="3">
        <f>[1]Result_notebook_retravaill!K919</f>
        <v>782863.20204132167</v>
      </c>
      <c r="J919" s="3">
        <f>MIN(G919,[1]Result_notebook_retravaill!I919)</f>
        <v>462898.03205866081</v>
      </c>
      <c r="K919" s="3">
        <f>IF([1]Result_notebook_retravaill!I919&gt;[1]Result_notebook_retravaill!G919,0,IF([1]Result_notebook_retravaill!I919+[1]Result_notebook_retravaill!J919&gt;[1]Result_notebook_retravaill!G919,[1]Result_notebook_retravaill!G919-[1]Result_notebook_retravaill!I919,[1]Result_notebook_retravaill!J919))</f>
        <v>272253.76438439608</v>
      </c>
      <c r="L919" s="3">
        <f>IF([1]Result_notebook_retravaill!I919&gt;[1]Result_notebook_retravaill!G919,0,IF([1]Result_notebook_retravaill!I919+[1]Result_notebook_retravaill!J919&gt;[1]Result_notebook_retravaill!G919,0,[1]Result_notebook_retravaill!M919))</f>
        <v>645596.91448609298</v>
      </c>
    </row>
    <row r="920" spans="1:12">
      <c r="A920">
        <f>[1]Result_notebook_retravaill!A920</f>
        <v>2035</v>
      </c>
      <c r="B920" t="str">
        <f>[1]Result_notebook_retravaill!B920</f>
        <v>Copper</v>
      </c>
      <c r="C920" t="str">
        <f>[1]Result_notebook_retravaill!C920</f>
        <v>Canada Net-zero</v>
      </c>
      <c r="D920" t="str">
        <f>[1]Result_notebook_retravaill!D920</f>
        <v>Production potential</v>
      </c>
      <c r="E920" t="str">
        <f>[1]Result_notebook_retravaill!E920</f>
        <v>Current shares</v>
      </c>
      <c r="F920" t="str">
        <f>[1]Result_notebook_retravaill!F920</f>
        <v>Expansion Extractive+Circularity</v>
      </c>
      <c r="G920">
        <f>[1]Result_notebook_retravaill!G920</f>
        <v>1380748.71092915</v>
      </c>
      <c r="H920" s="3">
        <f>IF([1]Result_notebook_retravaill!I920&gt;[1]Result_notebook_retravaill!G920,[1]Result_notebook_retravaill!I920/[1]Result_notebook_retravaill!N920,[1]Result_notebook_retravaill!H920)</f>
        <v>880689.46172873862</v>
      </c>
      <c r="I920" s="3">
        <f>[1]Result_notebook_retravaill!K920</f>
        <v>782863.20204132167</v>
      </c>
      <c r="J920" s="3">
        <f>MIN(G920,[1]Result_notebook_retravaill!I920)</f>
        <v>462898.03205866081</v>
      </c>
      <c r="K920" s="3">
        <f>IF([1]Result_notebook_retravaill!I920&gt;[1]Result_notebook_retravaill!G920,0,IF([1]Result_notebook_retravaill!I920+[1]Result_notebook_retravaill!J920&gt;[1]Result_notebook_retravaill!G920,[1]Result_notebook_retravaill!G920-[1]Result_notebook_retravaill!I920,[1]Result_notebook_retravaill!J920))</f>
        <v>272253.76438439608</v>
      </c>
      <c r="L920" s="3">
        <f>IF([1]Result_notebook_retravaill!I920&gt;[1]Result_notebook_retravaill!G920,0,IF([1]Result_notebook_retravaill!I920+[1]Result_notebook_retravaill!J920&gt;[1]Result_notebook_retravaill!G920,0,[1]Result_notebook_retravaill!M920))</f>
        <v>645596.91448609298</v>
      </c>
    </row>
    <row r="921" spans="1:12">
      <c r="A921">
        <f>[1]Result_notebook_retravaill!A921</f>
        <v>2035</v>
      </c>
      <c r="B921" t="str">
        <f>[1]Result_notebook_retravaill!B921</f>
        <v>Copper</v>
      </c>
      <c r="C921" t="str">
        <f>[1]Result_notebook_retravaill!C921</f>
        <v>Canada Net-zero</v>
      </c>
      <c r="D921" t="str">
        <f>[1]Result_notebook_retravaill!D921</f>
        <v>Production potential</v>
      </c>
      <c r="E921" t="str">
        <f>[1]Result_notebook_retravaill!E921</f>
        <v>100% CAN</v>
      </c>
      <c r="F921" t="str">
        <f>[1]Result_notebook_retravaill!F921</f>
        <v>Integrated</v>
      </c>
      <c r="G921">
        <f>[1]Result_notebook_retravaill!G921</f>
        <v>1380748.71092915</v>
      </c>
      <c r="H921" s="3">
        <f>IF([1]Result_notebook_retravaill!I921&gt;[1]Result_notebook_retravaill!G921,[1]Result_notebook_retravaill!I921/[1]Result_notebook_retravaill!N921,[1]Result_notebook_retravaill!H921)</f>
        <v>880689.46172873862</v>
      </c>
      <c r="I921" s="3">
        <f>[1]Result_notebook_retravaill!K921</f>
        <v>782863.20204132167</v>
      </c>
      <c r="J921" s="3">
        <f>MIN(G921,[1]Result_notebook_retravaill!I921)</f>
        <v>735151.79644305725</v>
      </c>
      <c r="K921" s="3">
        <f>IF([1]Result_notebook_retravaill!I921&gt;[1]Result_notebook_retravaill!G921,0,IF([1]Result_notebook_retravaill!I921+[1]Result_notebook_retravaill!J921&gt;[1]Result_notebook_retravaill!G921,[1]Result_notebook_retravaill!G921-[1]Result_notebook_retravaill!I921,[1]Result_notebook_retravaill!J921))</f>
        <v>0</v>
      </c>
      <c r="L921" s="3">
        <f>IF([1]Result_notebook_retravaill!I921&gt;[1]Result_notebook_retravaill!G921,0,IF([1]Result_notebook_retravaill!I921+[1]Result_notebook_retravaill!J921&gt;[1]Result_notebook_retravaill!G921,0,[1]Result_notebook_retravaill!M921))</f>
        <v>645596.91448609275</v>
      </c>
    </row>
    <row r="922" spans="1:12">
      <c r="A922">
        <f>[1]Result_notebook_retravaill!A922</f>
        <v>2035</v>
      </c>
      <c r="B922" t="str">
        <f>[1]Result_notebook_retravaill!B922</f>
        <v>Copper</v>
      </c>
      <c r="C922" t="str">
        <f>[1]Result_notebook_retravaill!C922</f>
        <v>Current Measures</v>
      </c>
      <c r="D922" t="str">
        <f>[1]Result_notebook_retravaill!D922</f>
        <v>Existing production</v>
      </c>
      <c r="E922" t="str">
        <f>[1]Result_notebook_retravaill!E922</f>
        <v>Current shares</v>
      </c>
      <c r="F922" t="str">
        <f>[1]Result_notebook_retravaill!F922</f>
        <v>NIMBY</v>
      </c>
      <c r="G922">
        <f>[1]Result_notebook_retravaill!G922</f>
        <v>1076342.608390369</v>
      </c>
      <c r="H922" s="3">
        <f>IF([1]Result_notebook_retravaill!I922&gt;[1]Result_notebook_retravaill!G922,[1]Result_notebook_retravaill!I922/[1]Result_notebook_retravaill!N922,[1]Result_notebook_retravaill!H922)</f>
        <v>0</v>
      </c>
      <c r="I922" s="3">
        <f>[1]Result_notebook_retravaill!K922</f>
        <v>1296798.3233618899</v>
      </c>
      <c r="J922" s="3">
        <f>MIN(G922,[1]Result_notebook_retravaill!I922)</f>
        <v>0</v>
      </c>
      <c r="K922" s="3">
        <f>IF([1]Result_notebook_retravaill!I922&gt;[1]Result_notebook_retravaill!G922,0,IF([1]Result_notebook_retravaill!I922+[1]Result_notebook_retravaill!J922&gt;[1]Result_notebook_retravaill!G922,[1]Result_notebook_retravaill!G922-[1]Result_notebook_retravaill!I922,[1]Result_notebook_retravaill!J922))</f>
        <v>0</v>
      </c>
      <c r="L922" s="3">
        <f>IF([1]Result_notebook_retravaill!I922&gt;[1]Result_notebook_retravaill!G922,0,IF([1]Result_notebook_retravaill!I922+[1]Result_notebook_retravaill!J922&gt;[1]Result_notebook_retravaill!G922,0,[1]Result_notebook_retravaill!M922))</f>
        <v>1076342.608390369</v>
      </c>
    </row>
    <row r="923" spans="1:12">
      <c r="A923">
        <f>[1]Result_notebook_retravaill!A923</f>
        <v>2035</v>
      </c>
      <c r="B923" t="str">
        <f>[1]Result_notebook_retravaill!B923</f>
        <v>Copper</v>
      </c>
      <c r="C923" t="str">
        <f>[1]Result_notebook_retravaill!C923</f>
        <v>Current Measures</v>
      </c>
      <c r="D923" t="str">
        <f>[1]Result_notebook_retravaill!D923</f>
        <v>Existing production</v>
      </c>
      <c r="E923" t="str">
        <f>[1]Result_notebook_retravaill!E923</f>
        <v>Current shares</v>
      </c>
      <c r="F923" t="str">
        <f>[1]Result_notebook_retravaill!F923</f>
        <v>Status Quo</v>
      </c>
      <c r="G923">
        <f>[1]Result_notebook_retravaill!G923</f>
        <v>1076342.608390369</v>
      </c>
      <c r="H923" s="3">
        <f>IF([1]Result_notebook_retravaill!I923&gt;[1]Result_notebook_retravaill!G923,[1]Result_notebook_retravaill!I923/[1]Result_notebook_retravaill!N923,[1]Result_notebook_retravaill!H923)</f>
        <v>268899</v>
      </c>
      <c r="I923" s="3">
        <f>[1]Result_notebook_retravaill!K923</f>
        <v>1027899.32336189</v>
      </c>
      <c r="J923" s="3">
        <f>MIN(G923,[1]Result_notebook_retravaill!I923)</f>
        <v>141335.65045528009</v>
      </c>
      <c r="K923" s="3">
        <f>IF([1]Result_notebook_retravaill!I923&gt;[1]Result_notebook_retravaill!G923,0,IF([1]Result_notebook_retravaill!I923+[1]Result_notebook_retravaill!J923&gt;[1]Result_notebook_retravaill!G923,[1]Result_notebook_retravaill!G923-[1]Result_notebook_retravaill!I923,[1]Result_notebook_retravaill!J923))</f>
        <v>83126.650392177427</v>
      </c>
      <c r="L923" s="3">
        <f>IF([1]Result_notebook_retravaill!I923&gt;[1]Result_notebook_retravaill!G923,0,IF([1]Result_notebook_retravaill!I923+[1]Result_notebook_retravaill!J923&gt;[1]Result_notebook_retravaill!G923,0,[1]Result_notebook_retravaill!M923))</f>
        <v>851880.30754291138</v>
      </c>
    </row>
    <row r="924" spans="1:12">
      <c r="A924">
        <f>[1]Result_notebook_retravaill!A924</f>
        <v>2035</v>
      </c>
      <c r="B924" t="str">
        <f>[1]Result_notebook_retravaill!B924</f>
        <v>Copper</v>
      </c>
      <c r="C924" t="str">
        <f>[1]Result_notebook_retravaill!C924</f>
        <v>Current Measures</v>
      </c>
      <c r="D924" t="str">
        <f>[1]Result_notebook_retravaill!D924</f>
        <v>Production potential</v>
      </c>
      <c r="E924" t="str">
        <f>[1]Result_notebook_retravaill!E924</f>
        <v>Current shares</v>
      </c>
      <c r="F924" t="str">
        <f>[1]Result_notebook_retravaill!F924</f>
        <v>Expansion Extractive</v>
      </c>
      <c r="G924">
        <f>[1]Result_notebook_retravaill!G924</f>
        <v>1076342.608390369</v>
      </c>
      <c r="H924" s="3">
        <f>IF([1]Result_notebook_retravaill!I924&gt;[1]Result_notebook_retravaill!G924,[1]Result_notebook_retravaill!I924/[1]Result_notebook_retravaill!N924,[1]Result_notebook_retravaill!H924)</f>
        <v>880689.46172873862</v>
      </c>
      <c r="I924" s="3">
        <f>[1]Result_notebook_retravaill!K924</f>
        <v>416108.86163315183</v>
      </c>
      <c r="J924" s="3">
        <f>MIN(G924,[1]Result_notebook_retravaill!I924)</f>
        <v>462898.03205866081</v>
      </c>
      <c r="K924" s="3">
        <f>IF([1]Result_notebook_retravaill!I924&gt;[1]Result_notebook_retravaill!G924,0,IF([1]Result_notebook_retravaill!I924+[1]Result_notebook_retravaill!J924&gt;[1]Result_notebook_retravaill!G924,[1]Result_notebook_retravaill!G924-[1]Result_notebook_retravaill!I924,[1]Result_notebook_retravaill!J924))</f>
        <v>272253.76438439608</v>
      </c>
      <c r="L924" s="3">
        <f>IF([1]Result_notebook_retravaill!I924&gt;[1]Result_notebook_retravaill!G924,0,IF([1]Result_notebook_retravaill!I924+[1]Result_notebook_retravaill!J924&gt;[1]Result_notebook_retravaill!G924,0,[1]Result_notebook_retravaill!M924))</f>
        <v>341190.81194731203</v>
      </c>
    </row>
    <row r="925" spans="1:12">
      <c r="A925">
        <f>[1]Result_notebook_retravaill!A925</f>
        <v>2035</v>
      </c>
      <c r="B925" t="str">
        <f>[1]Result_notebook_retravaill!B925</f>
        <v>Copper</v>
      </c>
      <c r="C925" t="str">
        <f>[1]Result_notebook_retravaill!C925</f>
        <v>Current Measures</v>
      </c>
      <c r="D925" t="str">
        <f>[1]Result_notebook_retravaill!D925</f>
        <v>Production potential</v>
      </c>
      <c r="E925" t="str">
        <f>[1]Result_notebook_retravaill!E925</f>
        <v>Current shares</v>
      </c>
      <c r="F925" t="str">
        <f>[1]Result_notebook_retravaill!F925</f>
        <v>Expansion Extractive+Circularity</v>
      </c>
      <c r="G925">
        <f>[1]Result_notebook_retravaill!G925</f>
        <v>1076342.608390369</v>
      </c>
      <c r="H925" s="3">
        <f>IF([1]Result_notebook_retravaill!I925&gt;[1]Result_notebook_retravaill!G925,[1]Result_notebook_retravaill!I925/[1]Result_notebook_retravaill!N925,[1]Result_notebook_retravaill!H925)</f>
        <v>880689.46172873862</v>
      </c>
      <c r="I925" s="3">
        <f>[1]Result_notebook_retravaill!K925</f>
        <v>416108.86163315183</v>
      </c>
      <c r="J925" s="3">
        <f>MIN(G925,[1]Result_notebook_retravaill!I925)</f>
        <v>462898.03205866081</v>
      </c>
      <c r="K925" s="3">
        <f>IF([1]Result_notebook_retravaill!I925&gt;[1]Result_notebook_retravaill!G925,0,IF([1]Result_notebook_retravaill!I925+[1]Result_notebook_retravaill!J925&gt;[1]Result_notebook_retravaill!G925,[1]Result_notebook_retravaill!G925-[1]Result_notebook_retravaill!I925,[1]Result_notebook_retravaill!J925))</f>
        <v>272253.76438439608</v>
      </c>
      <c r="L925" s="3">
        <f>IF([1]Result_notebook_retravaill!I925&gt;[1]Result_notebook_retravaill!G925,0,IF([1]Result_notebook_retravaill!I925+[1]Result_notebook_retravaill!J925&gt;[1]Result_notebook_retravaill!G925,0,[1]Result_notebook_retravaill!M925))</f>
        <v>341190.81194731203</v>
      </c>
    </row>
    <row r="926" spans="1:12">
      <c r="A926">
        <f>[1]Result_notebook_retravaill!A926</f>
        <v>2035</v>
      </c>
      <c r="B926" t="str">
        <f>[1]Result_notebook_retravaill!B926</f>
        <v>Copper</v>
      </c>
      <c r="C926" t="str">
        <f>[1]Result_notebook_retravaill!C926</f>
        <v>Current Measures</v>
      </c>
      <c r="D926" t="str">
        <f>[1]Result_notebook_retravaill!D926</f>
        <v>Production potential</v>
      </c>
      <c r="E926" t="str">
        <f>[1]Result_notebook_retravaill!E926</f>
        <v>100% CAN</v>
      </c>
      <c r="F926" t="str">
        <f>[1]Result_notebook_retravaill!F926</f>
        <v>Integrated</v>
      </c>
      <c r="G926">
        <f>[1]Result_notebook_retravaill!G926</f>
        <v>1076342.608390369</v>
      </c>
      <c r="H926" s="3">
        <f>IF([1]Result_notebook_retravaill!I926&gt;[1]Result_notebook_retravaill!G926,[1]Result_notebook_retravaill!I926/[1]Result_notebook_retravaill!N926,[1]Result_notebook_retravaill!H926)</f>
        <v>880689.46172873862</v>
      </c>
      <c r="I926" s="3">
        <f>[1]Result_notebook_retravaill!K926</f>
        <v>416108.86163315183</v>
      </c>
      <c r="J926" s="3">
        <f>MIN(G926,[1]Result_notebook_retravaill!I926)</f>
        <v>735151.79644305725</v>
      </c>
      <c r="K926" s="3">
        <f>IF([1]Result_notebook_retravaill!I926&gt;[1]Result_notebook_retravaill!G926,0,IF([1]Result_notebook_retravaill!I926+[1]Result_notebook_retravaill!J926&gt;[1]Result_notebook_retravaill!G926,[1]Result_notebook_retravaill!G926-[1]Result_notebook_retravaill!I926,[1]Result_notebook_retravaill!J926))</f>
        <v>0</v>
      </c>
      <c r="L926" s="3">
        <f>IF([1]Result_notebook_retravaill!I926&gt;[1]Result_notebook_retravaill!G926,0,IF([1]Result_notebook_retravaill!I926+[1]Result_notebook_retravaill!J926&gt;[1]Result_notebook_retravaill!G926,0,[1]Result_notebook_retravaill!M926))</f>
        <v>341190.81194731168</v>
      </c>
    </row>
    <row r="927" spans="1:12">
      <c r="A927">
        <f>[1]Result_notebook_retravaill!A927</f>
        <v>2035</v>
      </c>
      <c r="B927" t="str">
        <f>[1]Result_notebook_retravaill!B927</f>
        <v>Copper</v>
      </c>
      <c r="C927" t="str">
        <f>[1]Result_notebook_retravaill!C927</f>
        <v>Global Net-zero</v>
      </c>
      <c r="D927" t="str">
        <f>[1]Result_notebook_retravaill!D927</f>
        <v>Existing production</v>
      </c>
      <c r="E927" t="str">
        <f>[1]Result_notebook_retravaill!E927</f>
        <v>Current shares</v>
      </c>
      <c r="F927" t="str">
        <f>[1]Result_notebook_retravaill!F927</f>
        <v>NIMBY</v>
      </c>
      <c r="G927">
        <f>[1]Result_notebook_retravaill!G927</f>
        <v>1323110.8219487551</v>
      </c>
      <c r="H927" s="3">
        <f>IF([1]Result_notebook_retravaill!I927&gt;[1]Result_notebook_retravaill!G927,[1]Result_notebook_retravaill!I927/[1]Result_notebook_retravaill!N927,[1]Result_notebook_retravaill!H927)</f>
        <v>0</v>
      </c>
      <c r="I927" s="3">
        <f>[1]Result_notebook_retravaill!K927</f>
        <v>1594109.4240346451</v>
      </c>
      <c r="J927" s="3">
        <f>MIN(G927,[1]Result_notebook_retravaill!I927)</f>
        <v>0</v>
      </c>
      <c r="K927" s="3">
        <f>IF([1]Result_notebook_retravaill!I927&gt;[1]Result_notebook_retravaill!G927,0,IF([1]Result_notebook_retravaill!I927+[1]Result_notebook_retravaill!J927&gt;[1]Result_notebook_retravaill!G927,[1]Result_notebook_retravaill!G927-[1]Result_notebook_retravaill!I927,[1]Result_notebook_retravaill!J927))</f>
        <v>0</v>
      </c>
      <c r="L927" s="3">
        <f>IF([1]Result_notebook_retravaill!I927&gt;[1]Result_notebook_retravaill!G927,0,IF([1]Result_notebook_retravaill!I927+[1]Result_notebook_retravaill!J927&gt;[1]Result_notebook_retravaill!G927,0,[1]Result_notebook_retravaill!M927))</f>
        <v>1323110.8219487551</v>
      </c>
    </row>
    <row r="928" spans="1:12">
      <c r="A928">
        <f>[1]Result_notebook_retravaill!A928</f>
        <v>2035</v>
      </c>
      <c r="B928" t="str">
        <f>[1]Result_notebook_retravaill!B928</f>
        <v>Copper</v>
      </c>
      <c r="C928" t="str">
        <f>[1]Result_notebook_retravaill!C928</f>
        <v>Global Net-zero</v>
      </c>
      <c r="D928" t="str">
        <f>[1]Result_notebook_retravaill!D928</f>
        <v>Existing production</v>
      </c>
      <c r="E928" t="str">
        <f>[1]Result_notebook_retravaill!E928</f>
        <v>Current shares</v>
      </c>
      <c r="F928" t="str">
        <f>[1]Result_notebook_retravaill!F928</f>
        <v>Status Quo</v>
      </c>
      <c r="G928">
        <f>[1]Result_notebook_retravaill!G928</f>
        <v>1323110.8219487551</v>
      </c>
      <c r="H928" s="3">
        <f>IF([1]Result_notebook_retravaill!I928&gt;[1]Result_notebook_retravaill!G928,[1]Result_notebook_retravaill!I928/[1]Result_notebook_retravaill!N928,[1]Result_notebook_retravaill!H928)</f>
        <v>268899</v>
      </c>
      <c r="I928" s="3">
        <f>[1]Result_notebook_retravaill!K928</f>
        <v>1325210.4240346451</v>
      </c>
      <c r="J928" s="3">
        <f>MIN(G928,[1]Result_notebook_retravaill!I928)</f>
        <v>141335.65045528009</v>
      </c>
      <c r="K928" s="3">
        <f>IF([1]Result_notebook_retravaill!I928&gt;[1]Result_notebook_retravaill!G928,0,IF([1]Result_notebook_retravaill!I928+[1]Result_notebook_retravaill!J928&gt;[1]Result_notebook_retravaill!G928,[1]Result_notebook_retravaill!G928-[1]Result_notebook_retravaill!I928,[1]Result_notebook_retravaill!J928))</f>
        <v>83126.650392177427</v>
      </c>
      <c r="L928" s="3">
        <f>IF([1]Result_notebook_retravaill!I928&gt;[1]Result_notebook_retravaill!G928,0,IF([1]Result_notebook_retravaill!I928+[1]Result_notebook_retravaill!J928&gt;[1]Result_notebook_retravaill!G928,0,[1]Result_notebook_retravaill!M928))</f>
        <v>1098648.5211012976</v>
      </c>
    </row>
    <row r="929" spans="1:12">
      <c r="A929">
        <f>[1]Result_notebook_retravaill!A929</f>
        <v>2035</v>
      </c>
      <c r="B929" t="str">
        <f>[1]Result_notebook_retravaill!B929</f>
        <v>Copper</v>
      </c>
      <c r="C929" t="str">
        <f>[1]Result_notebook_retravaill!C929</f>
        <v>Global Net-zero</v>
      </c>
      <c r="D929" t="str">
        <f>[1]Result_notebook_retravaill!D929</f>
        <v>Production potential</v>
      </c>
      <c r="E929" t="str">
        <f>[1]Result_notebook_retravaill!E929</f>
        <v>Current shares</v>
      </c>
      <c r="F929" t="str">
        <f>[1]Result_notebook_retravaill!F929</f>
        <v>Expansion Extractive</v>
      </c>
      <c r="G929">
        <f>[1]Result_notebook_retravaill!G929</f>
        <v>1323110.8219487551</v>
      </c>
      <c r="H929" s="3">
        <f>IF([1]Result_notebook_retravaill!I929&gt;[1]Result_notebook_retravaill!G929,[1]Result_notebook_retravaill!I929/[1]Result_notebook_retravaill!N929,[1]Result_notebook_retravaill!H929)</f>
        <v>880689.46172873862</v>
      </c>
      <c r="I929" s="3">
        <f>[1]Result_notebook_retravaill!K929</f>
        <v>713419.96230590623</v>
      </c>
      <c r="J929" s="3">
        <f>MIN(G929,[1]Result_notebook_retravaill!I929)</f>
        <v>462898.03205866081</v>
      </c>
      <c r="K929" s="3">
        <f>IF([1]Result_notebook_retravaill!I929&gt;[1]Result_notebook_retravaill!G929,0,IF([1]Result_notebook_retravaill!I929+[1]Result_notebook_retravaill!J929&gt;[1]Result_notebook_retravaill!G929,[1]Result_notebook_retravaill!G929-[1]Result_notebook_retravaill!I929,[1]Result_notebook_retravaill!J929))</f>
        <v>272253.76438439608</v>
      </c>
      <c r="L929" s="3">
        <f>IF([1]Result_notebook_retravaill!I929&gt;[1]Result_notebook_retravaill!G929,0,IF([1]Result_notebook_retravaill!I929+[1]Result_notebook_retravaill!J929&gt;[1]Result_notebook_retravaill!G929,0,[1]Result_notebook_retravaill!M929))</f>
        <v>587959.02550569805</v>
      </c>
    </row>
    <row r="930" spans="1:12">
      <c r="A930">
        <f>[1]Result_notebook_retravaill!A930</f>
        <v>2035</v>
      </c>
      <c r="B930" t="str">
        <f>[1]Result_notebook_retravaill!B930</f>
        <v>Copper</v>
      </c>
      <c r="C930" t="str">
        <f>[1]Result_notebook_retravaill!C930</f>
        <v>Global Net-zero</v>
      </c>
      <c r="D930" t="str">
        <f>[1]Result_notebook_retravaill!D930</f>
        <v>Production potential</v>
      </c>
      <c r="E930" t="str">
        <f>[1]Result_notebook_retravaill!E930</f>
        <v>Current shares</v>
      </c>
      <c r="F930" t="str">
        <f>[1]Result_notebook_retravaill!F930</f>
        <v>Expansion Extractive+Circularity</v>
      </c>
      <c r="G930">
        <f>[1]Result_notebook_retravaill!G930</f>
        <v>1323110.8219487551</v>
      </c>
      <c r="H930" s="3">
        <f>IF([1]Result_notebook_retravaill!I930&gt;[1]Result_notebook_retravaill!G930,[1]Result_notebook_retravaill!I930/[1]Result_notebook_retravaill!N930,[1]Result_notebook_retravaill!H930)</f>
        <v>880689.46172873862</v>
      </c>
      <c r="I930" s="3">
        <f>[1]Result_notebook_retravaill!K930</f>
        <v>713419.96230590623</v>
      </c>
      <c r="J930" s="3">
        <f>MIN(G930,[1]Result_notebook_retravaill!I930)</f>
        <v>462898.03205866081</v>
      </c>
      <c r="K930" s="3">
        <f>IF([1]Result_notebook_retravaill!I930&gt;[1]Result_notebook_retravaill!G930,0,IF([1]Result_notebook_retravaill!I930+[1]Result_notebook_retravaill!J930&gt;[1]Result_notebook_retravaill!G930,[1]Result_notebook_retravaill!G930-[1]Result_notebook_retravaill!I930,[1]Result_notebook_retravaill!J930))</f>
        <v>272253.76438439608</v>
      </c>
      <c r="L930" s="3">
        <f>IF([1]Result_notebook_retravaill!I930&gt;[1]Result_notebook_retravaill!G930,0,IF([1]Result_notebook_retravaill!I930+[1]Result_notebook_retravaill!J930&gt;[1]Result_notebook_retravaill!G930,0,[1]Result_notebook_retravaill!M930))</f>
        <v>587959.02550569805</v>
      </c>
    </row>
    <row r="931" spans="1:12">
      <c r="A931">
        <f>[1]Result_notebook_retravaill!A931</f>
        <v>2035</v>
      </c>
      <c r="B931" t="str">
        <f>[1]Result_notebook_retravaill!B931</f>
        <v>Copper</v>
      </c>
      <c r="C931" t="str">
        <f>[1]Result_notebook_retravaill!C931</f>
        <v>Global Net-zero</v>
      </c>
      <c r="D931" t="str">
        <f>[1]Result_notebook_retravaill!D931</f>
        <v>Production potential</v>
      </c>
      <c r="E931" t="str">
        <f>[1]Result_notebook_retravaill!E931</f>
        <v>100% CAN</v>
      </c>
      <c r="F931" t="str">
        <f>[1]Result_notebook_retravaill!F931</f>
        <v>Integrated</v>
      </c>
      <c r="G931">
        <f>[1]Result_notebook_retravaill!G931</f>
        <v>1323110.8219487551</v>
      </c>
      <c r="H931" s="3">
        <f>IF([1]Result_notebook_retravaill!I931&gt;[1]Result_notebook_retravaill!G931,[1]Result_notebook_retravaill!I931/[1]Result_notebook_retravaill!N931,[1]Result_notebook_retravaill!H931)</f>
        <v>880689.46172873862</v>
      </c>
      <c r="I931" s="3">
        <f>[1]Result_notebook_retravaill!K931</f>
        <v>713419.96230590623</v>
      </c>
      <c r="J931" s="3">
        <f>MIN(G931,[1]Result_notebook_retravaill!I931)</f>
        <v>735151.79644305725</v>
      </c>
      <c r="K931" s="3">
        <f>IF([1]Result_notebook_retravaill!I931&gt;[1]Result_notebook_retravaill!G931,0,IF([1]Result_notebook_retravaill!I931+[1]Result_notebook_retravaill!J931&gt;[1]Result_notebook_retravaill!G931,[1]Result_notebook_retravaill!G931-[1]Result_notebook_retravaill!I931,[1]Result_notebook_retravaill!J931))</f>
        <v>0</v>
      </c>
      <c r="L931" s="3">
        <f>IF([1]Result_notebook_retravaill!I931&gt;[1]Result_notebook_retravaill!G931,0,IF([1]Result_notebook_retravaill!I931+[1]Result_notebook_retravaill!J931&gt;[1]Result_notebook_retravaill!G931,0,[1]Result_notebook_retravaill!M931))</f>
        <v>587959.02550569782</v>
      </c>
    </row>
    <row r="932" spans="1:12">
      <c r="A932">
        <f>[1]Result_notebook_retravaill!A932</f>
        <v>2035</v>
      </c>
      <c r="B932" t="str">
        <f>[1]Result_notebook_retravaill!B932</f>
        <v>Neodymium</v>
      </c>
      <c r="C932" t="str">
        <f>[1]Result_notebook_retravaill!C932</f>
        <v>Canada Net-zero</v>
      </c>
      <c r="D932" t="str">
        <f>[1]Result_notebook_retravaill!D932</f>
        <v>Existing production</v>
      </c>
      <c r="E932" t="str">
        <f>[1]Result_notebook_retravaill!E932</f>
        <v>Current shares</v>
      </c>
      <c r="F932" t="str">
        <f>[1]Result_notebook_retravaill!F932</f>
        <v>NIMBY</v>
      </c>
      <c r="G932">
        <f>[1]Result_notebook_retravaill!G932</f>
        <v>4963.692314413418</v>
      </c>
      <c r="H932" s="3">
        <f>IF([1]Result_notebook_retravaill!I932&gt;[1]Result_notebook_retravaill!G932,[1]Result_notebook_retravaill!I932/[1]Result_notebook_retravaill!N932,[1]Result_notebook_retravaill!H932)</f>
        <v>0</v>
      </c>
      <c r="I932" s="3">
        <f>[1]Result_notebook_retravaill!K932</f>
        <v>8272.8205240223633</v>
      </c>
      <c r="J932" s="3">
        <f>MIN(G932,[1]Result_notebook_retravaill!I932)</f>
        <v>0</v>
      </c>
      <c r="K932" s="3">
        <f>IF([1]Result_notebook_retravaill!I932&gt;[1]Result_notebook_retravaill!G932,0,IF([1]Result_notebook_retravaill!I932+[1]Result_notebook_retravaill!J932&gt;[1]Result_notebook_retravaill!G932,[1]Result_notebook_retravaill!G932-[1]Result_notebook_retravaill!I932,[1]Result_notebook_retravaill!J932))</f>
        <v>0</v>
      </c>
      <c r="L932" s="3">
        <f>IF([1]Result_notebook_retravaill!I932&gt;[1]Result_notebook_retravaill!G932,0,IF([1]Result_notebook_retravaill!I932+[1]Result_notebook_retravaill!J932&gt;[1]Result_notebook_retravaill!G932,0,[1]Result_notebook_retravaill!M932))</f>
        <v>4963.692314413418</v>
      </c>
    </row>
    <row r="933" spans="1:12">
      <c r="A933">
        <f>[1]Result_notebook_retravaill!A933</f>
        <v>2035</v>
      </c>
      <c r="B933" t="str">
        <f>[1]Result_notebook_retravaill!B933</f>
        <v>Neodymium</v>
      </c>
      <c r="C933" t="str">
        <f>[1]Result_notebook_retravaill!C933</f>
        <v>Canada Net-zero</v>
      </c>
      <c r="D933" t="str">
        <f>[1]Result_notebook_retravaill!D933</f>
        <v>Existing production</v>
      </c>
      <c r="E933" t="str">
        <f>[1]Result_notebook_retravaill!E933</f>
        <v>Current shares</v>
      </c>
      <c r="F933" t="str">
        <f>[1]Result_notebook_retravaill!F933</f>
        <v>Status Quo</v>
      </c>
      <c r="G933">
        <f>[1]Result_notebook_retravaill!G933</f>
        <v>4963.692314413418</v>
      </c>
      <c r="H933" s="3">
        <f>IF([1]Result_notebook_retravaill!I933&gt;[1]Result_notebook_retravaill!G933,[1]Result_notebook_retravaill!I933/[1]Result_notebook_retravaill!N933,[1]Result_notebook_retravaill!H933)</f>
        <v>0</v>
      </c>
      <c r="I933" s="3">
        <f>[1]Result_notebook_retravaill!K933</f>
        <v>8272.8205240223633</v>
      </c>
      <c r="J933" s="3">
        <f>MIN(G933,[1]Result_notebook_retravaill!I933)</f>
        <v>0</v>
      </c>
      <c r="K933" s="3">
        <f>IF([1]Result_notebook_retravaill!I933&gt;[1]Result_notebook_retravaill!G933,0,IF([1]Result_notebook_retravaill!I933+[1]Result_notebook_retravaill!J933&gt;[1]Result_notebook_retravaill!G933,[1]Result_notebook_retravaill!G933-[1]Result_notebook_retravaill!I933,[1]Result_notebook_retravaill!J933))</f>
        <v>0</v>
      </c>
      <c r="L933" s="3">
        <f>IF([1]Result_notebook_retravaill!I933&gt;[1]Result_notebook_retravaill!G933,0,IF([1]Result_notebook_retravaill!I933+[1]Result_notebook_retravaill!J933&gt;[1]Result_notebook_retravaill!G933,0,[1]Result_notebook_retravaill!M933))</f>
        <v>4963.692314413418</v>
      </c>
    </row>
    <row r="934" spans="1:12">
      <c r="A934">
        <f>[1]Result_notebook_retravaill!A934</f>
        <v>2035</v>
      </c>
      <c r="B934" t="str">
        <f>[1]Result_notebook_retravaill!B934</f>
        <v>Neodymium</v>
      </c>
      <c r="C934" t="str">
        <f>[1]Result_notebook_retravaill!C934</f>
        <v>Canada Net-zero</v>
      </c>
      <c r="D934" t="str">
        <f>[1]Result_notebook_retravaill!D934</f>
        <v>Production potential</v>
      </c>
      <c r="E934" t="str">
        <f>[1]Result_notebook_retravaill!E934</f>
        <v>Current shares</v>
      </c>
      <c r="F934" t="str">
        <f>[1]Result_notebook_retravaill!F934</f>
        <v>Expansion Extractive</v>
      </c>
      <c r="G934">
        <f>[1]Result_notebook_retravaill!G934</f>
        <v>4963.692314413418</v>
      </c>
      <c r="H934" s="3">
        <f>IF([1]Result_notebook_retravaill!I934&gt;[1]Result_notebook_retravaill!G934,[1]Result_notebook_retravaill!I934/[1]Result_notebook_retravaill!N934,[1]Result_notebook_retravaill!H934)</f>
        <v>80.029175596616852</v>
      </c>
      <c r="I934" s="3">
        <f>[1]Result_notebook_retravaill!K934</f>
        <v>8192.791348425746</v>
      </c>
      <c r="J934" s="3">
        <f>MIN(G934,[1]Result_notebook_retravaill!I934)</f>
        <v>47.900975994989473</v>
      </c>
      <c r="K934" s="3">
        <f>IF([1]Result_notebook_retravaill!I934&gt;[1]Result_notebook_retravaill!G934,0,IF([1]Result_notebook_retravaill!I934+[1]Result_notebook_retravaill!J934&gt;[1]Result_notebook_retravaill!G934,[1]Result_notebook_retravaill!G934-[1]Result_notebook_retravaill!I934,[1]Result_notebook_retravaill!J934))</f>
        <v>32.128199601627379</v>
      </c>
      <c r="L934" s="3">
        <f>IF([1]Result_notebook_retravaill!I934&gt;[1]Result_notebook_retravaill!G934,0,IF([1]Result_notebook_retravaill!I934+[1]Result_notebook_retravaill!J934&gt;[1]Result_notebook_retravaill!G934,0,[1]Result_notebook_retravaill!M934))</f>
        <v>4883.6631388167998</v>
      </c>
    </row>
    <row r="935" spans="1:12">
      <c r="A935">
        <f>[1]Result_notebook_retravaill!A935</f>
        <v>2035</v>
      </c>
      <c r="B935" t="str">
        <f>[1]Result_notebook_retravaill!B935</f>
        <v>Neodymium</v>
      </c>
      <c r="C935" t="str">
        <f>[1]Result_notebook_retravaill!C935</f>
        <v>Canada Net-zero</v>
      </c>
      <c r="D935" t="str">
        <f>[1]Result_notebook_retravaill!D935</f>
        <v>Production potential</v>
      </c>
      <c r="E935" t="str">
        <f>[1]Result_notebook_retravaill!E935</f>
        <v>Current shares</v>
      </c>
      <c r="F935" t="str">
        <f>[1]Result_notebook_retravaill!F935</f>
        <v>Expansion Extractive+Circularity</v>
      </c>
      <c r="G935">
        <f>[1]Result_notebook_retravaill!G935</f>
        <v>4963.692314413418</v>
      </c>
      <c r="H935" s="3">
        <f>IF([1]Result_notebook_retravaill!I935&gt;[1]Result_notebook_retravaill!G935,[1]Result_notebook_retravaill!I935/[1]Result_notebook_retravaill!N935,[1]Result_notebook_retravaill!H935)</f>
        <v>80.029175596616852</v>
      </c>
      <c r="I935" s="3">
        <f>[1]Result_notebook_retravaill!K935</f>
        <v>8192.791348425746</v>
      </c>
      <c r="J935" s="3">
        <f>MIN(G935,[1]Result_notebook_retravaill!I935)</f>
        <v>47.900975994989473</v>
      </c>
      <c r="K935" s="3">
        <f>IF([1]Result_notebook_retravaill!I935&gt;[1]Result_notebook_retravaill!G935,0,IF([1]Result_notebook_retravaill!I935+[1]Result_notebook_retravaill!J935&gt;[1]Result_notebook_retravaill!G935,[1]Result_notebook_retravaill!G935-[1]Result_notebook_retravaill!I935,[1]Result_notebook_retravaill!J935))</f>
        <v>32.128199601627379</v>
      </c>
      <c r="L935" s="3">
        <f>IF([1]Result_notebook_retravaill!I935&gt;[1]Result_notebook_retravaill!G935,0,IF([1]Result_notebook_retravaill!I935+[1]Result_notebook_retravaill!J935&gt;[1]Result_notebook_retravaill!G935,0,[1]Result_notebook_retravaill!M935))</f>
        <v>4883.6631388167998</v>
      </c>
    </row>
    <row r="936" spans="1:12">
      <c r="A936">
        <f>[1]Result_notebook_retravaill!A936</f>
        <v>2035</v>
      </c>
      <c r="B936" t="str">
        <f>[1]Result_notebook_retravaill!B936</f>
        <v>Neodymium</v>
      </c>
      <c r="C936" t="str">
        <f>[1]Result_notebook_retravaill!C936</f>
        <v>Canada Net-zero</v>
      </c>
      <c r="D936" t="str">
        <f>[1]Result_notebook_retravaill!D936</f>
        <v>Production potential</v>
      </c>
      <c r="E936" t="str">
        <f>[1]Result_notebook_retravaill!E936</f>
        <v>100% CAN</v>
      </c>
      <c r="F936" t="str">
        <f>[1]Result_notebook_retravaill!F936</f>
        <v>Integrated</v>
      </c>
      <c r="G936">
        <f>[1]Result_notebook_retravaill!G936</f>
        <v>4963.692314413418</v>
      </c>
      <c r="H936" s="3">
        <f>IF([1]Result_notebook_retravaill!I936&gt;[1]Result_notebook_retravaill!G936,[1]Result_notebook_retravaill!I936/[1]Result_notebook_retravaill!N936,[1]Result_notebook_retravaill!H936)</f>
        <v>80.029175596616852</v>
      </c>
      <c r="I936" s="3">
        <f>[1]Result_notebook_retravaill!K936</f>
        <v>8192.791348425746</v>
      </c>
      <c r="J936" s="3">
        <f>MIN(G936,[1]Result_notebook_retravaill!I936)</f>
        <v>47.900975994989473</v>
      </c>
      <c r="K936" s="3">
        <f>IF([1]Result_notebook_retravaill!I936&gt;[1]Result_notebook_retravaill!G936,0,IF([1]Result_notebook_retravaill!I936+[1]Result_notebook_retravaill!J936&gt;[1]Result_notebook_retravaill!G936,[1]Result_notebook_retravaill!G936-[1]Result_notebook_retravaill!I936,[1]Result_notebook_retravaill!J936))</f>
        <v>32.128199601627379</v>
      </c>
      <c r="L936" s="3">
        <f>IF([1]Result_notebook_retravaill!I936&gt;[1]Result_notebook_retravaill!G936,0,IF([1]Result_notebook_retravaill!I936+[1]Result_notebook_retravaill!J936&gt;[1]Result_notebook_retravaill!G936,0,[1]Result_notebook_retravaill!M936))</f>
        <v>4883.6631388167998</v>
      </c>
    </row>
    <row r="937" spans="1:12">
      <c r="A937">
        <f>[1]Result_notebook_retravaill!A937</f>
        <v>2035</v>
      </c>
      <c r="B937" t="str">
        <f>[1]Result_notebook_retravaill!B937</f>
        <v>Neodymium</v>
      </c>
      <c r="C937" t="str">
        <f>[1]Result_notebook_retravaill!C937</f>
        <v>Current Measures</v>
      </c>
      <c r="D937" t="str">
        <f>[1]Result_notebook_retravaill!D937</f>
        <v>Existing production</v>
      </c>
      <c r="E937" t="str">
        <f>[1]Result_notebook_retravaill!E937</f>
        <v>Current shares</v>
      </c>
      <c r="F937" t="str">
        <f>[1]Result_notebook_retravaill!F937</f>
        <v>NIMBY</v>
      </c>
      <c r="G937">
        <f>[1]Result_notebook_retravaill!G937</f>
        <v>1591.879620066579</v>
      </c>
      <c r="H937" s="3">
        <f>IF([1]Result_notebook_retravaill!I937&gt;[1]Result_notebook_retravaill!G937,[1]Result_notebook_retravaill!I937/[1]Result_notebook_retravaill!N937,[1]Result_notebook_retravaill!H937)</f>
        <v>0</v>
      </c>
      <c r="I937" s="3">
        <f>[1]Result_notebook_retravaill!K937</f>
        <v>2653.1327001109648</v>
      </c>
      <c r="J937" s="3">
        <f>MIN(G937,[1]Result_notebook_retravaill!I937)</f>
        <v>0</v>
      </c>
      <c r="K937" s="3">
        <f>IF([1]Result_notebook_retravaill!I937&gt;[1]Result_notebook_retravaill!G937,0,IF([1]Result_notebook_retravaill!I937+[1]Result_notebook_retravaill!J937&gt;[1]Result_notebook_retravaill!G937,[1]Result_notebook_retravaill!G937-[1]Result_notebook_retravaill!I937,[1]Result_notebook_retravaill!J937))</f>
        <v>0</v>
      </c>
      <c r="L937" s="3">
        <f>IF([1]Result_notebook_retravaill!I937&gt;[1]Result_notebook_retravaill!G937,0,IF([1]Result_notebook_retravaill!I937+[1]Result_notebook_retravaill!J937&gt;[1]Result_notebook_retravaill!G937,0,[1]Result_notebook_retravaill!M937))</f>
        <v>1591.879620066579</v>
      </c>
    </row>
    <row r="938" spans="1:12">
      <c r="A938">
        <f>[1]Result_notebook_retravaill!A938</f>
        <v>2035</v>
      </c>
      <c r="B938" t="str">
        <f>[1]Result_notebook_retravaill!B938</f>
        <v>Neodymium</v>
      </c>
      <c r="C938" t="str">
        <f>[1]Result_notebook_retravaill!C938</f>
        <v>Current Measures</v>
      </c>
      <c r="D938" t="str">
        <f>[1]Result_notebook_retravaill!D938</f>
        <v>Existing production</v>
      </c>
      <c r="E938" t="str">
        <f>[1]Result_notebook_retravaill!E938</f>
        <v>Current shares</v>
      </c>
      <c r="F938" t="str">
        <f>[1]Result_notebook_retravaill!F938</f>
        <v>Status Quo</v>
      </c>
      <c r="G938">
        <f>[1]Result_notebook_retravaill!G938</f>
        <v>1591.879620066579</v>
      </c>
      <c r="H938" s="3">
        <f>IF([1]Result_notebook_retravaill!I938&gt;[1]Result_notebook_retravaill!G938,[1]Result_notebook_retravaill!I938/[1]Result_notebook_retravaill!N938,[1]Result_notebook_retravaill!H938)</f>
        <v>0</v>
      </c>
      <c r="I938" s="3">
        <f>[1]Result_notebook_retravaill!K938</f>
        <v>2653.1327001109648</v>
      </c>
      <c r="J938" s="3">
        <f>MIN(G938,[1]Result_notebook_retravaill!I938)</f>
        <v>0</v>
      </c>
      <c r="K938" s="3">
        <f>IF([1]Result_notebook_retravaill!I938&gt;[1]Result_notebook_retravaill!G938,0,IF([1]Result_notebook_retravaill!I938+[1]Result_notebook_retravaill!J938&gt;[1]Result_notebook_retravaill!G938,[1]Result_notebook_retravaill!G938-[1]Result_notebook_retravaill!I938,[1]Result_notebook_retravaill!J938))</f>
        <v>0</v>
      </c>
      <c r="L938" s="3">
        <f>IF([1]Result_notebook_retravaill!I938&gt;[1]Result_notebook_retravaill!G938,0,IF([1]Result_notebook_retravaill!I938+[1]Result_notebook_retravaill!J938&gt;[1]Result_notebook_retravaill!G938,0,[1]Result_notebook_retravaill!M938))</f>
        <v>1591.879620066579</v>
      </c>
    </row>
    <row r="939" spans="1:12">
      <c r="A939">
        <f>[1]Result_notebook_retravaill!A939</f>
        <v>2035</v>
      </c>
      <c r="B939" t="str">
        <f>[1]Result_notebook_retravaill!B939</f>
        <v>Neodymium</v>
      </c>
      <c r="C939" t="str">
        <f>[1]Result_notebook_retravaill!C939</f>
        <v>Current Measures</v>
      </c>
      <c r="D939" t="str">
        <f>[1]Result_notebook_retravaill!D939</f>
        <v>Production potential</v>
      </c>
      <c r="E939" t="str">
        <f>[1]Result_notebook_retravaill!E939</f>
        <v>Current shares</v>
      </c>
      <c r="F939" t="str">
        <f>[1]Result_notebook_retravaill!F939</f>
        <v>Expansion Extractive</v>
      </c>
      <c r="G939">
        <f>[1]Result_notebook_retravaill!G939</f>
        <v>1591.879620066579</v>
      </c>
      <c r="H939" s="3">
        <f>IF([1]Result_notebook_retravaill!I939&gt;[1]Result_notebook_retravaill!G939,[1]Result_notebook_retravaill!I939/[1]Result_notebook_retravaill!N939,[1]Result_notebook_retravaill!H939)</f>
        <v>80.029175596616852</v>
      </c>
      <c r="I939" s="3">
        <f>[1]Result_notebook_retravaill!K939</f>
        <v>2573.103524514348</v>
      </c>
      <c r="J939" s="3">
        <f>MIN(G939,[1]Result_notebook_retravaill!I939)</f>
        <v>47.900975994989473</v>
      </c>
      <c r="K939" s="3">
        <f>IF([1]Result_notebook_retravaill!I939&gt;[1]Result_notebook_retravaill!G939,0,IF([1]Result_notebook_retravaill!I939+[1]Result_notebook_retravaill!J939&gt;[1]Result_notebook_retravaill!G939,[1]Result_notebook_retravaill!G939-[1]Result_notebook_retravaill!I939,[1]Result_notebook_retravaill!J939))</f>
        <v>32.128199601627379</v>
      </c>
      <c r="L939" s="3">
        <f>IF([1]Result_notebook_retravaill!I939&gt;[1]Result_notebook_retravaill!G939,0,IF([1]Result_notebook_retravaill!I939+[1]Result_notebook_retravaill!J939&gt;[1]Result_notebook_retravaill!G939,0,[1]Result_notebook_retravaill!M939))</f>
        <v>1511.8504444699627</v>
      </c>
    </row>
    <row r="940" spans="1:12">
      <c r="A940">
        <f>[1]Result_notebook_retravaill!A940</f>
        <v>2035</v>
      </c>
      <c r="B940" t="str">
        <f>[1]Result_notebook_retravaill!B940</f>
        <v>Neodymium</v>
      </c>
      <c r="C940" t="str">
        <f>[1]Result_notebook_retravaill!C940</f>
        <v>Current Measures</v>
      </c>
      <c r="D940" t="str">
        <f>[1]Result_notebook_retravaill!D940</f>
        <v>Production potential</v>
      </c>
      <c r="E940" t="str">
        <f>[1]Result_notebook_retravaill!E940</f>
        <v>Current shares</v>
      </c>
      <c r="F940" t="str">
        <f>[1]Result_notebook_retravaill!F940</f>
        <v>Expansion Extractive+Circularity</v>
      </c>
      <c r="G940">
        <f>[1]Result_notebook_retravaill!G940</f>
        <v>1591.879620066579</v>
      </c>
      <c r="H940" s="3">
        <f>IF([1]Result_notebook_retravaill!I940&gt;[1]Result_notebook_retravaill!G940,[1]Result_notebook_retravaill!I940/[1]Result_notebook_retravaill!N940,[1]Result_notebook_retravaill!H940)</f>
        <v>80.029175596616852</v>
      </c>
      <c r="I940" s="3">
        <f>[1]Result_notebook_retravaill!K940</f>
        <v>2573.103524514348</v>
      </c>
      <c r="J940" s="3">
        <f>MIN(G940,[1]Result_notebook_retravaill!I940)</f>
        <v>47.900975994989473</v>
      </c>
      <c r="K940" s="3">
        <f>IF([1]Result_notebook_retravaill!I940&gt;[1]Result_notebook_retravaill!G940,0,IF([1]Result_notebook_retravaill!I940+[1]Result_notebook_retravaill!J940&gt;[1]Result_notebook_retravaill!G940,[1]Result_notebook_retravaill!G940-[1]Result_notebook_retravaill!I940,[1]Result_notebook_retravaill!J940))</f>
        <v>32.128199601627379</v>
      </c>
      <c r="L940" s="3">
        <f>IF([1]Result_notebook_retravaill!I940&gt;[1]Result_notebook_retravaill!G940,0,IF([1]Result_notebook_retravaill!I940+[1]Result_notebook_retravaill!J940&gt;[1]Result_notebook_retravaill!G940,0,[1]Result_notebook_retravaill!M940))</f>
        <v>1511.8504444699627</v>
      </c>
    </row>
    <row r="941" spans="1:12">
      <c r="A941">
        <f>[1]Result_notebook_retravaill!A941</f>
        <v>2035</v>
      </c>
      <c r="B941" t="str">
        <f>[1]Result_notebook_retravaill!B941</f>
        <v>Neodymium</v>
      </c>
      <c r="C941" t="str">
        <f>[1]Result_notebook_retravaill!C941</f>
        <v>Current Measures</v>
      </c>
      <c r="D941" t="str">
        <f>[1]Result_notebook_retravaill!D941</f>
        <v>Production potential</v>
      </c>
      <c r="E941" t="str">
        <f>[1]Result_notebook_retravaill!E941</f>
        <v>100% CAN</v>
      </c>
      <c r="F941" t="str">
        <f>[1]Result_notebook_retravaill!F941</f>
        <v>Integrated</v>
      </c>
      <c r="G941">
        <f>[1]Result_notebook_retravaill!G941</f>
        <v>1591.879620066579</v>
      </c>
      <c r="H941" s="3">
        <f>IF([1]Result_notebook_retravaill!I941&gt;[1]Result_notebook_retravaill!G941,[1]Result_notebook_retravaill!I941/[1]Result_notebook_retravaill!N941,[1]Result_notebook_retravaill!H941)</f>
        <v>80.029175596616852</v>
      </c>
      <c r="I941" s="3">
        <f>[1]Result_notebook_retravaill!K941</f>
        <v>2573.103524514348</v>
      </c>
      <c r="J941" s="3">
        <f>MIN(G941,[1]Result_notebook_retravaill!I941)</f>
        <v>47.900975994989473</v>
      </c>
      <c r="K941" s="3">
        <f>IF([1]Result_notebook_retravaill!I941&gt;[1]Result_notebook_retravaill!G941,0,IF([1]Result_notebook_retravaill!I941+[1]Result_notebook_retravaill!J941&gt;[1]Result_notebook_retravaill!G941,[1]Result_notebook_retravaill!G941-[1]Result_notebook_retravaill!I941,[1]Result_notebook_retravaill!J941))</f>
        <v>32.128199601627379</v>
      </c>
      <c r="L941" s="3">
        <f>IF([1]Result_notebook_retravaill!I941&gt;[1]Result_notebook_retravaill!G941,0,IF([1]Result_notebook_retravaill!I941+[1]Result_notebook_retravaill!J941&gt;[1]Result_notebook_retravaill!G941,0,[1]Result_notebook_retravaill!M941))</f>
        <v>1511.8504444699627</v>
      </c>
    </row>
    <row r="942" spans="1:12">
      <c r="A942">
        <f>[1]Result_notebook_retravaill!A942</f>
        <v>2035</v>
      </c>
      <c r="B942" t="str">
        <f>[1]Result_notebook_retravaill!B942</f>
        <v>Neodymium</v>
      </c>
      <c r="C942" t="str">
        <f>[1]Result_notebook_retravaill!C942</f>
        <v>Global Net-zero</v>
      </c>
      <c r="D942" t="str">
        <f>[1]Result_notebook_retravaill!D942</f>
        <v>Existing production</v>
      </c>
      <c r="E942" t="str">
        <f>[1]Result_notebook_retravaill!E942</f>
        <v>Current shares</v>
      </c>
      <c r="F942" t="str">
        <f>[1]Result_notebook_retravaill!F942</f>
        <v>NIMBY</v>
      </c>
      <c r="G942">
        <f>[1]Result_notebook_retravaill!G942</f>
        <v>4759.1210340430353</v>
      </c>
      <c r="H942" s="3">
        <f>IF([1]Result_notebook_retravaill!I942&gt;[1]Result_notebook_retravaill!G942,[1]Result_notebook_retravaill!I942/[1]Result_notebook_retravaill!N942,[1]Result_notebook_retravaill!H942)</f>
        <v>0</v>
      </c>
      <c r="I942" s="3">
        <f>[1]Result_notebook_retravaill!K942</f>
        <v>7931.868390071726</v>
      </c>
      <c r="J942" s="3">
        <f>MIN(G942,[1]Result_notebook_retravaill!I942)</f>
        <v>0</v>
      </c>
      <c r="K942" s="3">
        <f>IF([1]Result_notebook_retravaill!I942&gt;[1]Result_notebook_retravaill!G942,0,IF([1]Result_notebook_retravaill!I942+[1]Result_notebook_retravaill!J942&gt;[1]Result_notebook_retravaill!G942,[1]Result_notebook_retravaill!G942-[1]Result_notebook_retravaill!I942,[1]Result_notebook_retravaill!J942))</f>
        <v>0</v>
      </c>
      <c r="L942" s="3">
        <f>IF([1]Result_notebook_retravaill!I942&gt;[1]Result_notebook_retravaill!G942,0,IF([1]Result_notebook_retravaill!I942+[1]Result_notebook_retravaill!J942&gt;[1]Result_notebook_retravaill!G942,0,[1]Result_notebook_retravaill!M942))</f>
        <v>4759.1210340430353</v>
      </c>
    </row>
    <row r="943" spans="1:12">
      <c r="A943">
        <f>[1]Result_notebook_retravaill!A943</f>
        <v>2035</v>
      </c>
      <c r="B943" t="str">
        <f>[1]Result_notebook_retravaill!B943</f>
        <v>Neodymium</v>
      </c>
      <c r="C943" t="str">
        <f>[1]Result_notebook_retravaill!C943</f>
        <v>Global Net-zero</v>
      </c>
      <c r="D943" t="str">
        <f>[1]Result_notebook_retravaill!D943</f>
        <v>Existing production</v>
      </c>
      <c r="E943" t="str">
        <f>[1]Result_notebook_retravaill!E943</f>
        <v>Current shares</v>
      </c>
      <c r="F943" t="str">
        <f>[1]Result_notebook_retravaill!F943</f>
        <v>Status Quo</v>
      </c>
      <c r="G943">
        <f>[1]Result_notebook_retravaill!G943</f>
        <v>4759.1210340430353</v>
      </c>
      <c r="H943" s="3">
        <f>IF([1]Result_notebook_retravaill!I943&gt;[1]Result_notebook_retravaill!G943,[1]Result_notebook_retravaill!I943/[1]Result_notebook_retravaill!N943,[1]Result_notebook_retravaill!H943)</f>
        <v>0</v>
      </c>
      <c r="I943" s="3">
        <f>[1]Result_notebook_retravaill!K943</f>
        <v>7931.868390071726</v>
      </c>
      <c r="J943" s="3">
        <f>MIN(G943,[1]Result_notebook_retravaill!I943)</f>
        <v>0</v>
      </c>
      <c r="K943" s="3">
        <f>IF([1]Result_notebook_retravaill!I943&gt;[1]Result_notebook_retravaill!G943,0,IF([1]Result_notebook_retravaill!I943+[1]Result_notebook_retravaill!J943&gt;[1]Result_notebook_retravaill!G943,[1]Result_notebook_retravaill!G943-[1]Result_notebook_retravaill!I943,[1]Result_notebook_retravaill!J943))</f>
        <v>0</v>
      </c>
      <c r="L943" s="3">
        <f>IF([1]Result_notebook_retravaill!I943&gt;[1]Result_notebook_retravaill!G943,0,IF([1]Result_notebook_retravaill!I943+[1]Result_notebook_retravaill!J943&gt;[1]Result_notebook_retravaill!G943,0,[1]Result_notebook_retravaill!M943))</f>
        <v>4759.1210340430353</v>
      </c>
    </row>
    <row r="944" spans="1:12">
      <c r="A944">
        <f>[1]Result_notebook_retravaill!A944</f>
        <v>2035</v>
      </c>
      <c r="B944" t="str">
        <f>[1]Result_notebook_retravaill!B944</f>
        <v>Neodymium</v>
      </c>
      <c r="C944" t="str">
        <f>[1]Result_notebook_retravaill!C944</f>
        <v>Global Net-zero</v>
      </c>
      <c r="D944" t="str">
        <f>[1]Result_notebook_retravaill!D944</f>
        <v>Production potential</v>
      </c>
      <c r="E944" t="str">
        <f>[1]Result_notebook_retravaill!E944</f>
        <v>Current shares</v>
      </c>
      <c r="F944" t="str">
        <f>[1]Result_notebook_retravaill!F944</f>
        <v>Expansion Extractive</v>
      </c>
      <c r="G944">
        <f>[1]Result_notebook_retravaill!G944</f>
        <v>4759.1210340430353</v>
      </c>
      <c r="H944" s="3">
        <f>IF([1]Result_notebook_retravaill!I944&gt;[1]Result_notebook_retravaill!G944,[1]Result_notebook_retravaill!I944/[1]Result_notebook_retravaill!N944,[1]Result_notebook_retravaill!H944)</f>
        <v>80.029175596616852</v>
      </c>
      <c r="I944" s="3">
        <f>[1]Result_notebook_retravaill!K944</f>
        <v>7851.8392144751087</v>
      </c>
      <c r="J944" s="3">
        <f>MIN(G944,[1]Result_notebook_retravaill!I944)</f>
        <v>47.900975994989473</v>
      </c>
      <c r="K944" s="3">
        <f>IF([1]Result_notebook_retravaill!I944&gt;[1]Result_notebook_retravaill!G944,0,IF([1]Result_notebook_retravaill!I944+[1]Result_notebook_retravaill!J944&gt;[1]Result_notebook_retravaill!G944,[1]Result_notebook_retravaill!G944-[1]Result_notebook_retravaill!I944,[1]Result_notebook_retravaill!J944))</f>
        <v>32.128199601627379</v>
      </c>
      <c r="L944" s="3">
        <f>IF([1]Result_notebook_retravaill!I944&gt;[1]Result_notebook_retravaill!G944,0,IF([1]Result_notebook_retravaill!I944+[1]Result_notebook_retravaill!J944&gt;[1]Result_notebook_retravaill!G944,0,[1]Result_notebook_retravaill!M944))</f>
        <v>4679.091858446418</v>
      </c>
    </row>
    <row r="945" spans="1:12">
      <c r="A945">
        <f>[1]Result_notebook_retravaill!A945</f>
        <v>2035</v>
      </c>
      <c r="B945" t="str">
        <f>[1]Result_notebook_retravaill!B945</f>
        <v>Neodymium</v>
      </c>
      <c r="C945" t="str">
        <f>[1]Result_notebook_retravaill!C945</f>
        <v>Global Net-zero</v>
      </c>
      <c r="D945" t="str">
        <f>[1]Result_notebook_retravaill!D945</f>
        <v>Production potential</v>
      </c>
      <c r="E945" t="str">
        <f>[1]Result_notebook_retravaill!E945</f>
        <v>Current shares</v>
      </c>
      <c r="F945" t="str">
        <f>[1]Result_notebook_retravaill!F945</f>
        <v>Expansion Extractive+Circularity</v>
      </c>
      <c r="G945">
        <f>[1]Result_notebook_retravaill!G945</f>
        <v>4759.1210340430353</v>
      </c>
      <c r="H945" s="3">
        <f>IF([1]Result_notebook_retravaill!I945&gt;[1]Result_notebook_retravaill!G945,[1]Result_notebook_retravaill!I945/[1]Result_notebook_retravaill!N945,[1]Result_notebook_retravaill!H945)</f>
        <v>80.029175596616852</v>
      </c>
      <c r="I945" s="3">
        <f>[1]Result_notebook_retravaill!K945</f>
        <v>7851.8392144751087</v>
      </c>
      <c r="J945" s="3">
        <f>MIN(G945,[1]Result_notebook_retravaill!I945)</f>
        <v>47.900975994989473</v>
      </c>
      <c r="K945" s="3">
        <f>IF([1]Result_notebook_retravaill!I945&gt;[1]Result_notebook_retravaill!G945,0,IF([1]Result_notebook_retravaill!I945+[1]Result_notebook_retravaill!J945&gt;[1]Result_notebook_retravaill!G945,[1]Result_notebook_retravaill!G945-[1]Result_notebook_retravaill!I945,[1]Result_notebook_retravaill!J945))</f>
        <v>32.128199601627379</v>
      </c>
      <c r="L945" s="3">
        <f>IF([1]Result_notebook_retravaill!I945&gt;[1]Result_notebook_retravaill!G945,0,IF([1]Result_notebook_retravaill!I945+[1]Result_notebook_retravaill!J945&gt;[1]Result_notebook_retravaill!G945,0,[1]Result_notebook_retravaill!M945))</f>
        <v>4679.091858446418</v>
      </c>
    </row>
    <row r="946" spans="1:12">
      <c r="A946">
        <f>[1]Result_notebook_retravaill!A946</f>
        <v>2035</v>
      </c>
      <c r="B946" t="str">
        <f>[1]Result_notebook_retravaill!B946</f>
        <v>Neodymium</v>
      </c>
      <c r="C946" t="str">
        <f>[1]Result_notebook_retravaill!C946</f>
        <v>Global Net-zero</v>
      </c>
      <c r="D946" t="str">
        <f>[1]Result_notebook_retravaill!D946</f>
        <v>Production potential</v>
      </c>
      <c r="E946" t="str">
        <f>[1]Result_notebook_retravaill!E946</f>
        <v>100% CAN</v>
      </c>
      <c r="F946" t="str">
        <f>[1]Result_notebook_retravaill!F946</f>
        <v>Integrated</v>
      </c>
      <c r="G946">
        <f>[1]Result_notebook_retravaill!G946</f>
        <v>4759.1210340430353</v>
      </c>
      <c r="H946" s="3">
        <f>IF([1]Result_notebook_retravaill!I946&gt;[1]Result_notebook_retravaill!G946,[1]Result_notebook_retravaill!I946/[1]Result_notebook_retravaill!N946,[1]Result_notebook_retravaill!H946)</f>
        <v>80.029175596616852</v>
      </c>
      <c r="I946" s="3">
        <f>[1]Result_notebook_retravaill!K946</f>
        <v>7851.8392144751087</v>
      </c>
      <c r="J946" s="3">
        <f>MIN(G946,[1]Result_notebook_retravaill!I946)</f>
        <v>47.900975994989473</v>
      </c>
      <c r="K946" s="3">
        <f>IF([1]Result_notebook_retravaill!I946&gt;[1]Result_notebook_retravaill!G946,0,IF([1]Result_notebook_retravaill!I946+[1]Result_notebook_retravaill!J946&gt;[1]Result_notebook_retravaill!G946,[1]Result_notebook_retravaill!G946-[1]Result_notebook_retravaill!I946,[1]Result_notebook_retravaill!J946))</f>
        <v>32.128199601627379</v>
      </c>
      <c r="L946" s="3">
        <f>IF([1]Result_notebook_retravaill!I946&gt;[1]Result_notebook_retravaill!G946,0,IF([1]Result_notebook_retravaill!I946+[1]Result_notebook_retravaill!J946&gt;[1]Result_notebook_retravaill!G946,0,[1]Result_notebook_retravaill!M946))</f>
        <v>4679.091858446418</v>
      </c>
    </row>
    <row r="947" spans="1:12">
      <c r="A947">
        <f>[1]Result_notebook_retravaill!A947</f>
        <v>2035</v>
      </c>
      <c r="B947" t="str">
        <f>[1]Result_notebook_retravaill!B947</f>
        <v>Nickel</v>
      </c>
      <c r="C947" t="str">
        <f>[1]Result_notebook_retravaill!C947</f>
        <v>Canada Net-zero</v>
      </c>
      <c r="D947" t="str">
        <f>[1]Result_notebook_retravaill!D947</f>
        <v>Existing production</v>
      </c>
      <c r="E947" t="str">
        <f>[1]Result_notebook_retravaill!E947</f>
        <v>Current shares</v>
      </c>
      <c r="F947" t="str">
        <f>[1]Result_notebook_retravaill!F947</f>
        <v>NIMBY</v>
      </c>
      <c r="G947">
        <f>[1]Result_notebook_retravaill!G947</f>
        <v>152962.0504872179</v>
      </c>
      <c r="H947" s="3">
        <f>IF([1]Result_notebook_retravaill!I947&gt;[1]Result_notebook_retravaill!G947,[1]Result_notebook_retravaill!I947/[1]Result_notebook_retravaill!N947,[1]Result_notebook_retravaill!H947)</f>
        <v>0</v>
      </c>
      <c r="I947" s="3">
        <f>[1]Result_notebook_retravaill!K947</f>
        <v>193622.84871799729</v>
      </c>
      <c r="J947" s="3">
        <f>MIN(G947,[1]Result_notebook_retravaill!I947)</f>
        <v>0</v>
      </c>
      <c r="K947" s="3">
        <f>IF([1]Result_notebook_retravaill!I947&gt;[1]Result_notebook_retravaill!G947,0,IF([1]Result_notebook_retravaill!I947+[1]Result_notebook_retravaill!J947&gt;[1]Result_notebook_retravaill!G947,[1]Result_notebook_retravaill!G947-[1]Result_notebook_retravaill!I947,[1]Result_notebook_retravaill!J947))</f>
        <v>0</v>
      </c>
      <c r="L947" s="3">
        <f>IF([1]Result_notebook_retravaill!I947&gt;[1]Result_notebook_retravaill!G947,0,IF([1]Result_notebook_retravaill!I947+[1]Result_notebook_retravaill!J947&gt;[1]Result_notebook_retravaill!G947,0,[1]Result_notebook_retravaill!M947))</f>
        <v>152962.0504872179</v>
      </c>
    </row>
    <row r="948" spans="1:12">
      <c r="A948">
        <f>[1]Result_notebook_retravaill!A948</f>
        <v>2035</v>
      </c>
      <c r="B948" t="str">
        <f>[1]Result_notebook_retravaill!B948</f>
        <v>Nickel</v>
      </c>
      <c r="C948" t="str">
        <f>[1]Result_notebook_retravaill!C948</f>
        <v>Canada Net-zero</v>
      </c>
      <c r="D948" t="str">
        <f>[1]Result_notebook_retravaill!D948</f>
        <v>Existing production</v>
      </c>
      <c r="E948" t="str">
        <f>[1]Result_notebook_retravaill!E948</f>
        <v>Current shares</v>
      </c>
      <c r="F948" t="str">
        <f>[1]Result_notebook_retravaill!F948</f>
        <v>Status Quo</v>
      </c>
      <c r="G948">
        <f>[1]Result_notebook_retravaill!G948</f>
        <v>152962.0504872179</v>
      </c>
      <c r="H948" s="3">
        <f>IF([1]Result_notebook_retravaill!I948&gt;[1]Result_notebook_retravaill!G948,[1]Result_notebook_retravaill!I948/[1]Result_notebook_retravaill!N948,[1]Result_notebook_retravaill!H948)</f>
        <v>118000</v>
      </c>
      <c r="I948" s="3">
        <f>[1]Result_notebook_retravaill!K948</f>
        <v>75622.848717997345</v>
      </c>
      <c r="J948" s="3">
        <f>MIN(G948,[1]Result_notebook_retravaill!I948)</f>
        <v>66183.845060727675</v>
      </c>
      <c r="K948" s="3">
        <f>IF([1]Result_notebook_retravaill!I948&gt;[1]Result_notebook_retravaill!G948,0,IF([1]Result_notebook_retravaill!I948+[1]Result_notebook_retravaill!J948&gt;[1]Result_notebook_retravaill!G948,[1]Result_notebook_retravaill!G948-[1]Result_notebook_retravaill!I948,[1]Result_notebook_retravaill!J948))</f>
        <v>16318.270507305919</v>
      </c>
      <c r="L948" s="3">
        <f>IF([1]Result_notebook_retravaill!I948&gt;[1]Result_notebook_retravaill!G948,0,IF([1]Result_notebook_retravaill!I948+[1]Result_notebook_retravaill!J948&gt;[1]Result_notebook_retravaill!G948,0,[1]Result_notebook_retravaill!M948))</f>
        <v>70459.934919184307</v>
      </c>
    </row>
    <row r="949" spans="1:12">
      <c r="A949">
        <f>[1]Result_notebook_retravaill!A949</f>
        <v>2035</v>
      </c>
      <c r="B949" t="str">
        <f>[1]Result_notebook_retravaill!B949</f>
        <v>Nickel</v>
      </c>
      <c r="C949" t="str">
        <f>[1]Result_notebook_retravaill!C949</f>
        <v>Canada Net-zero</v>
      </c>
      <c r="D949" t="str">
        <f>[1]Result_notebook_retravaill!D949</f>
        <v>Production potential</v>
      </c>
      <c r="E949" t="str">
        <f>[1]Result_notebook_retravaill!E949</f>
        <v>Current shares</v>
      </c>
      <c r="F949" t="str">
        <f>[1]Result_notebook_retravaill!F949</f>
        <v>Expansion Extractive</v>
      </c>
      <c r="G949">
        <f>[1]Result_notebook_retravaill!G949</f>
        <v>152962.0504872179</v>
      </c>
      <c r="H949" s="3">
        <f>IF([1]Result_notebook_retravaill!I949&gt;[1]Result_notebook_retravaill!G949,[1]Result_notebook_retravaill!I949/[1]Result_notebook_retravaill!N949,[1]Result_notebook_retravaill!H949)</f>
        <v>225819.03451618581</v>
      </c>
      <c r="I949" s="3">
        <f>[1]Result_notebook_retravaill!K949</f>
        <v>0</v>
      </c>
      <c r="J949" s="3">
        <f>MIN(G949,[1]Result_notebook_retravaill!I949)</f>
        <v>126657.3897642572</v>
      </c>
      <c r="K949" s="3">
        <f>IF([1]Result_notebook_retravaill!I949&gt;[1]Result_notebook_retravaill!G949,0,IF([1]Result_notebook_retravaill!I949+[1]Result_notebook_retravaill!J949&gt;[1]Result_notebook_retravaill!G949,[1]Result_notebook_retravaill!G949-[1]Result_notebook_retravaill!I949,[1]Result_notebook_retravaill!J949))</f>
        <v>26304.660722960703</v>
      </c>
      <c r="L949" s="3">
        <f>IF([1]Result_notebook_retravaill!I949&gt;[1]Result_notebook_retravaill!G949,0,IF([1]Result_notebook_retravaill!I949+[1]Result_notebook_retravaill!J949&gt;[1]Result_notebook_retravaill!G949,0,[1]Result_notebook_retravaill!M949))</f>
        <v>0</v>
      </c>
    </row>
    <row r="950" spans="1:12">
      <c r="A950">
        <f>[1]Result_notebook_retravaill!A950</f>
        <v>2035</v>
      </c>
      <c r="B950" t="str">
        <f>[1]Result_notebook_retravaill!B950</f>
        <v>Nickel</v>
      </c>
      <c r="C950" t="str">
        <f>[1]Result_notebook_retravaill!C950</f>
        <v>Canada Net-zero</v>
      </c>
      <c r="D950" t="str">
        <f>[1]Result_notebook_retravaill!D950</f>
        <v>Production potential</v>
      </c>
      <c r="E950" t="str">
        <f>[1]Result_notebook_retravaill!E950</f>
        <v>Current shares</v>
      </c>
      <c r="F950" t="str">
        <f>[1]Result_notebook_retravaill!F950</f>
        <v>Expansion Extractive+Circularity</v>
      </c>
      <c r="G950">
        <f>[1]Result_notebook_retravaill!G950</f>
        <v>152962.0504872179</v>
      </c>
      <c r="H950" s="3">
        <f>IF([1]Result_notebook_retravaill!I950&gt;[1]Result_notebook_retravaill!G950,[1]Result_notebook_retravaill!I950/[1]Result_notebook_retravaill!N950,[1]Result_notebook_retravaill!H950)</f>
        <v>225819.03451618581</v>
      </c>
      <c r="I950" s="3">
        <f>[1]Result_notebook_retravaill!K950</f>
        <v>0</v>
      </c>
      <c r="J950" s="3">
        <f>MIN(G950,[1]Result_notebook_retravaill!I950)</f>
        <v>126657.3897642572</v>
      </c>
      <c r="K950" s="3">
        <f>IF([1]Result_notebook_retravaill!I950&gt;[1]Result_notebook_retravaill!G950,0,IF([1]Result_notebook_retravaill!I950+[1]Result_notebook_retravaill!J950&gt;[1]Result_notebook_retravaill!G950,[1]Result_notebook_retravaill!G950-[1]Result_notebook_retravaill!I950,[1]Result_notebook_retravaill!J950))</f>
        <v>26304.660722960703</v>
      </c>
      <c r="L950" s="3">
        <f>IF([1]Result_notebook_retravaill!I950&gt;[1]Result_notebook_retravaill!G950,0,IF([1]Result_notebook_retravaill!I950+[1]Result_notebook_retravaill!J950&gt;[1]Result_notebook_retravaill!G950,0,[1]Result_notebook_retravaill!M950))</f>
        <v>0</v>
      </c>
    </row>
    <row r="951" spans="1:12">
      <c r="A951">
        <f>[1]Result_notebook_retravaill!A951</f>
        <v>2035</v>
      </c>
      <c r="B951" t="str">
        <f>[1]Result_notebook_retravaill!B951</f>
        <v>Nickel</v>
      </c>
      <c r="C951" t="str">
        <f>[1]Result_notebook_retravaill!C951</f>
        <v>Canada Net-zero</v>
      </c>
      <c r="D951" t="str">
        <f>[1]Result_notebook_retravaill!D951</f>
        <v>Production potential</v>
      </c>
      <c r="E951" t="str">
        <f>[1]Result_notebook_retravaill!E951</f>
        <v>100% CAN</v>
      </c>
      <c r="F951" t="str">
        <f>[1]Result_notebook_retravaill!F951</f>
        <v>Integrated</v>
      </c>
      <c r="G951">
        <f>[1]Result_notebook_retravaill!G951</f>
        <v>152962.0504872179</v>
      </c>
      <c r="H951" s="3">
        <f>IF([1]Result_notebook_retravaill!I951&gt;[1]Result_notebook_retravaill!G951,[1]Result_notebook_retravaill!I951/[1]Result_notebook_retravaill!N951,[1]Result_notebook_retravaill!H951)</f>
        <v>254365.58953331751</v>
      </c>
      <c r="I951" s="3">
        <f>[1]Result_notebook_retravaill!K951</f>
        <v>0</v>
      </c>
      <c r="J951" s="3">
        <f>MIN(G951,[1]Result_notebook_retravaill!I951)</f>
        <v>152962.0504872179</v>
      </c>
      <c r="K951" s="3">
        <f>IF([1]Result_notebook_retravaill!I951&gt;[1]Result_notebook_retravaill!G951,0,IF([1]Result_notebook_retravaill!I951+[1]Result_notebook_retravaill!J951&gt;[1]Result_notebook_retravaill!G951,[1]Result_notebook_retravaill!G951-[1]Result_notebook_retravaill!I951,[1]Result_notebook_retravaill!J951))</f>
        <v>0</v>
      </c>
      <c r="L951" s="3">
        <f>IF([1]Result_notebook_retravaill!I951&gt;[1]Result_notebook_retravaill!G951,0,IF([1]Result_notebook_retravaill!I951+[1]Result_notebook_retravaill!J951&gt;[1]Result_notebook_retravaill!G951,0,[1]Result_notebook_retravaill!M951))</f>
        <v>0</v>
      </c>
    </row>
    <row r="952" spans="1:12">
      <c r="A952">
        <f>[1]Result_notebook_retravaill!A952</f>
        <v>2035</v>
      </c>
      <c r="B952" t="str">
        <f>[1]Result_notebook_retravaill!B952</f>
        <v>Nickel</v>
      </c>
      <c r="C952" t="str">
        <f>[1]Result_notebook_retravaill!C952</f>
        <v>Current Measures</v>
      </c>
      <c r="D952" t="str">
        <f>[1]Result_notebook_retravaill!D952</f>
        <v>Existing production</v>
      </c>
      <c r="E952" t="str">
        <f>[1]Result_notebook_retravaill!E952</f>
        <v>Current shares</v>
      </c>
      <c r="F952" t="str">
        <f>[1]Result_notebook_retravaill!F952</f>
        <v>NIMBY</v>
      </c>
      <c r="G952">
        <f>[1]Result_notebook_retravaill!G952</f>
        <v>61354.521533229788</v>
      </c>
      <c r="H952" s="3">
        <f>IF([1]Result_notebook_retravaill!I952&gt;[1]Result_notebook_retravaill!G952,[1]Result_notebook_retravaill!I952/[1]Result_notebook_retravaill!N952,[1]Result_notebook_retravaill!H952)</f>
        <v>0</v>
      </c>
      <c r="I952" s="3">
        <f>[1]Result_notebook_retravaill!K952</f>
        <v>77663.9513078858</v>
      </c>
      <c r="J952" s="3">
        <f>MIN(G952,[1]Result_notebook_retravaill!I952)</f>
        <v>0</v>
      </c>
      <c r="K952" s="3">
        <f>IF([1]Result_notebook_retravaill!I952&gt;[1]Result_notebook_retravaill!G952,0,IF([1]Result_notebook_retravaill!I952+[1]Result_notebook_retravaill!J952&gt;[1]Result_notebook_retravaill!G952,[1]Result_notebook_retravaill!G952-[1]Result_notebook_retravaill!I952,[1]Result_notebook_retravaill!J952))</f>
        <v>0</v>
      </c>
      <c r="L952" s="3">
        <f>IF([1]Result_notebook_retravaill!I952&gt;[1]Result_notebook_retravaill!G952,0,IF([1]Result_notebook_retravaill!I952+[1]Result_notebook_retravaill!J952&gt;[1]Result_notebook_retravaill!G952,0,[1]Result_notebook_retravaill!M952))</f>
        <v>61354.521533229788</v>
      </c>
    </row>
    <row r="953" spans="1:12">
      <c r="A953">
        <f>[1]Result_notebook_retravaill!A953</f>
        <v>2035</v>
      </c>
      <c r="B953" t="str">
        <f>[1]Result_notebook_retravaill!B953</f>
        <v>Nickel</v>
      </c>
      <c r="C953" t="str">
        <f>[1]Result_notebook_retravaill!C953</f>
        <v>Current Measures</v>
      </c>
      <c r="D953" t="str">
        <f>[1]Result_notebook_retravaill!D953</f>
        <v>Existing production</v>
      </c>
      <c r="E953" t="str">
        <f>[1]Result_notebook_retravaill!E953</f>
        <v>Current shares</v>
      </c>
      <c r="F953" t="str">
        <f>[1]Result_notebook_retravaill!F953</f>
        <v>Status Quo</v>
      </c>
      <c r="G953">
        <f>[1]Result_notebook_retravaill!G953</f>
        <v>61354.521533229788</v>
      </c>
      <c r="H953" s="3">
        <f>IF([1]Result_notebook_retravaill!I953&gt;[1]Result_notebook_retravaill!G953,[1]Result_notebook_retravaill!I953/[1]Result_notebook_retravaill!N953,[1]Result_notebook_retravaill!H953)</f>
        <v>94660.526744017479</v>
      </c>
      <c r="I953" s="3">
        <f>[1]Result_notebook_retravaill!K953</f>
        <v>0</v>
      </c>
      <c r="J953" s="3">
        <f>MIN(G953,[1]Result_notebook_retravaill!I953)</f>
        <v>61354.521533229788</v>
      </c>
      <c r="K953" s="3">
        <f>IF([1]Result_notebook_retravaill!I953&gt;[1]Result_notebook_retravaill!G953,0,IF([1]Result_notebook_retravaill!I953+[1]Result_notebook_retravaill!J953&gt;[1]Result_notebook_retravaill!G953,[1]Result_notebook_retravaill!G953-[1]Result_notebook_retravaill!I953,[1]Result_notebook_retravaill!J953))</f>
        <v>0</v>
      </c>
      <c r="L953" s="3">
        <f>IF([1]Result_notebook_retravaill!I953&gt;[1]Result_notebook_retravaill!G953,0,IF([1]Result_notebook_retravaill!I953+[1]Result_notebook_retravaill!J953&gt;[1]Result_notebook_retravaill!G953,0,[1]Result_notebook_retravaill!M953))</f>
        <v>0</v>
      </c>
    </row>
    <row r="954" spans="1:12">
      <c r="A954">
        <f>[1]Result_notebook_retravaill!A954</f>
        <v>2035</v>
      </c>
      <c r="B954" t="str">
        <f>[1]Result_notebook_retravaill!B954</f>
        <v>Nickel</v>
      </c>
      <c r="C954" t="str">
        <f>[1]Result_notebook_retravaill!C954</f>
        <v>Current Measures</v>
      </c>
      <c r="D954" t="str">
        <f>[1]Result_notebook_retravaill!D954</f>
        <v>Production potential</v>
      </c>
      <c r="E954" t="str">
        <f>[1]Result_notebook_retravaill!E954</f>
        <v>Current shares</v>
      </c>
      <c r="F954" t="str">
        <f>[1]Result_notebook_retravaill!F954</f>
        <v>Expansion Extractive</v>
      </c>
      <c r="G954">
        <f>[1]Result_notebook_retravaill!G954</f>
        <v>61354.521533229788</v>
      </c>
      <c r="H954" s="3">
        <f>IF([1]Result_notebook_retravaill!I954&gt;[1]Result_notebook_retravaill!G954,[1]Result_notebook_retravaill!I954/[1]Result_notebook_retravaill!N954,[1]Result_notebook_retravaill!H954)</f>
        <v>181153.80301803054</v>
      </c>
      <c r="I954" s="3">
        <f>[1]Result_notebook_retravaill!K954</f>
        <v>0</v>
      </c>
      <c r="J954" s="3">
        <f>MIN(G954,[1]Result_notebook_retravaill!I954)</f>
        <v>61354.521533229788</v>
      </c>
      <c r="K954" s="3">
        <f>IF([1]Result_notebook_retravaill!I954&gt;[1]Result_notebook_retravaill!G954,0,IF([1]Result_notebook_retravaill!I954+[1]Result_notebook_retravaill!J954&gt;[1]Result_notebook_retravaill!G954,[1]Result_notebook_retravaill!G954-[1]Result_notebook_retravaill!I954,[1]Result_notebook_retravaill!J954))</f>
        <v>0</v>
      </c>
      <c r="L954" s="3">
        <f>IF([1]Result_notebook_retravaill!I954&gt;[1]Result_notebook_retravaill!G954,0,IF([1]Result_notebook_retravaill!I954+[1]Result_notebook_retravaill!J954&gt;[1]Result_notebook_retravaill!G954,0,[1]Result_notebook_retravaill!M954))</f>
        <v>0</v>
      </c>
    </row>
    <row r="955" spans="1:12">
      <c r="A955">
        <f>[1]Result_notebook_retravaill!A955</f>
        <v>2035</v>
      </c>
      <c r="B955" t="str">
        <f>[1]Result_notebook_retravaill!B955</f>
        <v>Nickel</v>
      </c>
      <c r="C955" t="str">
        <f>[1]Result_notebook_retravaill!C955</f>
        <v>Current Measures</v>
      </c>
      <c r="D955" t="str">
        <f>[1]Result_notebook_retravaill!D955</f>
        <v>Production potential</v>
      </c>
      <c r="E955" t="str">
        <f>[1]Result_notebook_retravaill!E955</f>
        <v>Current shares</v>
      </c>
      <c r="F955" t="str">
        <f>[1]Result_notebook_retravaill!F955</f>
        <v>Expansion Extractive+Circularity</v>
      </c>
      <c r="G955">
        <f>[1]Result_notebook_retravaill!G955</f>
        <v>61354.521533229788</v>
      </c>
      <c r="H955" s="3">
        <f>IF([1]Result_notebook_retravaill!I955&gt;[1]Result_notebook_retravaill!G955,[1]Result_notebook_retravaill!I955/[1]Result_notebook_retravaill!N955,[1]Result_notebook_retravaill!H955)</f>
        <v>181153.80301803054</v>
      </c>
      <c r="I955" s="3">
        <f>[1]Result_notebook_retravaill!K955</f>
        <v>0</v>
      </c>
      <c r="J955" s="3">
        <f>MIN(G955,[1]Result_notebook_retravaill!I955)</f>
        <v>61354.521533229788</v>
      </c>
      <c r="K955" s="3">
        <f>IF([1]Result_notebook_retravaill!I955&gt;[1]Result_notebook_retravaill!G955,0,IF([1]Result_notebook_retravaill!I955+[1]Result_notebook_retravaill!J955&gt;[1]Result_notebook_retravaill!G955,[1]Result_notebook_retravaill!G955-[1]Result_notebook_retravaill!I955,[1]Result_notebook_retravaill!J955))</f>
        <v>0</v>
      </c>
      <c r="L955" s="3">
        <f>IF([1]Result_notebook_retravaill!I955&gt;[1]Result_notebook_retravaill!G955,0,IF([1]Result_notebook_retravaill!I955+[1]Result_notebook_retravaill!J955&gt;[1]Result_notebook_retravaill!G955,0,[1]Result_notebook_retravaill!M955))</f>
        <v>0</v>
      </c>
    </row>
    <row r="956" spans="1:12">
      <c r="A956">
        <f>[1]Result_notebook_retravaill!A956</f>
        <v>2035</v>
      </c>
      <c r="B956" t="str">
        <f>[1]Result_notebook_retravaill!B956</f>
        <v>Nickel</v>
      </c>
      <c r="C956" t="str">
        <f>[1]Result_notebook_retravaill!C956</f>
        <v>Current Measures</v>
      </c>
      <c r="D956" t="str">
        <f>[1]Result_notebook_retravaill!D956</f>
        <v>Production potential</v>
      </c>
      <c r="E956" t="str">
        <f>[1]Result_notebook_retravaill!E956</f>
        <v>100% CAN</v>
      </c>
      <c r="F956" t="str">
        <f>[1]Result_notebook_retravaill!F956</f>
        <v>Integrated</v>
      </c>
      <c r="G956">
        <f>[1]Result_notebook_retravaill!G956</f>
        <v>61354.521533229788</v>
      </c>
      <c r="H956" s="3">
        <f>IF([1]Result_notebook_retravaill!I956&gt;[1]Result_notebook_retravaill!G956,[1]Result_notebook_retravaill!I956/[1]Result_notebook_retravaill!N956,[1]Result_notebook_retravaill!H956)</f>
        <v>254365.58953331751</v>
      </c>
      <c r="I956" s="3">
        <f>[1]Result_notebook_retravaill!K956</f>
        <v>0</v>
      </c>
      <c r="J956" s="3">
        <f>MIN(G956,[1]Result_notebook_retravaill!I956)</f>
        <v>61354.521533229788</v>
      </c>
      <c r="K956" s="3">
        <f>IF([1]Result_notebook_retravaill!I956&gt;[1]Result_notebook_retravaill!G956,0,IF([1]Result_notebook_retravaill!I956+[1]Result_notebook_retravaill!J956&gt;[1]Result_notebook_retravaill!G956,[1]Result_notebook_retravaill!G956-[1]Result_notebook_retravaill!I956,[1]Result_notebook_retravaill!J956))</f>
        <v>0</v>
      </c>
      <c r="L956" s="3">
        <f>IF([1]Result_notebook_retravaill!I956&gt;[1]Result_notebook_retravaill!G956,0,IF([1]Result_notebook_retravaill!I956+[1]Result_notebook_retravaill!J956&gt;[1]Result_notebook_retravaill!G956,0,[1]Result_notebook_retravaill!M956))</f>
        <v>0</v>
      </c>
    </row>
    <row r="957" spans="1:12">
      <c r="A957">
        <f>[1]Result_notebook_retravaill!A957</f>
        <v>2035</v>
      </c>
      <c r="B957" t="str">
        <f>[1]Result_notebook_retravaill!B957</f>
        <v>Nickel</v>
      </c>
      <c r="C957" t="str">
        <f>[1]Result_notebook_retravaill!C957</f>
        <v>Global Net-zero</v>
      </c>
      <c r="D957" t="str">
        <f>[1]Result_notebook_retravaill!D957</f>
        <v>Existing production</v>
      </c>
      <c r="E957" t="str">
        <f>[1]Result_notebook_retravaill!E957</f>
        <v>Current shares</v>
      </c>
      <c r="F957" t="str">
        <f>[1]Result_notebook_retravaill!F957</f>
        <v>NIMBY</v>
      </c>
      <c r="G957">
        <f>[1]Result_notebook_retravaill!G957</f>
        <v>147281.28047052419</v>
      </c>
      <c r="H957" s="3">
        <f>IF([1]Result_notebook_retravaill!I957&gt;[1]Result_notebook_retravaill!G957,[1]Result_notebook_retravaill!I957/[1]Result_notebook_retravaill!N957,[1]Result_notebook_retravaill!H957)</f>
        <v>0</v>
      </c>
      <c r="I957" s="3">
        <f>[1]Result_notebook_retravaill!K957</f>
        <v>186432.0005956002</v>
      </c>
      <c r="J957" s="3">
        <f>MIN(G957,[1]Result_notebook_retravaill!I957)</f>
        <v>0</v>
      </c>
      <c r="K957" s="3">
        <f>IF([1]Result_notebook_retravaill!I957&gt;[1]Result_notebook_retravaill!G957,0,IF([1]Result_notebook_retravaill!I957+[1]Result_notebook_retravaill!J957&gt;[1]Result_notebook_retravaill!G957,[1]Result_notebook_retravaill!G957-[1]Result_notebook_retravaill!I957,[1]Result_notebook_retravaill!J957))</f>
        <v>0</v>
      </c>
      <c r="L957" s="3">
        <f>IF([1]Result_notebook_retravaill!I957&gt;[1]Result_notebook_retravaill!G957,0,IF([1]Result_notebook_retravaill!I957+[1]Result_notebook_retravaill!J957&gt;[1]Result_notebook_retravaill!G957,0,[1]Result_notebook_retravaill!M957))</f>
        <v>147281.28047052419</v>
      </c>
    </row>
    <row r="958" spans="1:12">
      <c r="A958">
        <f>[1]Result_notebook_retravaill!A958</f>
        <v>2035</v>
      </c>
      <c r="B958" t="str">
        <f>[1]Result_notebook_retravaill!B958</f>
        <v>Nickel</v>
      </c>
      <c r="C958" t="str">
        <f>[1]Result_notebook_retravaill!C958</f>
        <v>Global Net-zero</v>
      </c>
      <c r="D958" t="str">
        <f>[1]Result_notebook_retravaill!D958</f>
        <v>Existing production</v>
      </c>
      <c r="E958" t="str">
        <f>[1]Result_notebook_retravaill!E958</f>
        <v>Current shares</v>
      </c>
      <c r="F958" t="str">
        <f>[1]Result_notebook_retravaill!F958</f>
        <v>Status Quo</v>
      </c>
      <c r="G958">
        <f>[1]Result_notebook_retravaill!G958</f>
        <v>147281.28047052419</v>
      </c>
      <c r="H958" s="3">
        <f>IF([1]Result_notebook_retravaill!I958&gt;[1]Result_notebook_retravaill!G958,[1]Result_notebook_retravaill!I958/[1]Result_notebook_retravaill!N958,[1]Result_notebook_retravaill!H958)</f>
        <v>118000</v>
      </c>
      <c r="I958" s="3">
        <f>[1]Result_notebook_retravaill!K958</f>
        <v>68432.000595600228</v>
      </c>
      <c r="J958" s="3">
        <f>MIN(G958,[1]Result_notebook_retravaill!I958)</f>
        <v>66183.845060727675</v>
      </c>
      <c r="K958" s="3">
        <f>IF([1]Result_notebook_retravaill!I958&gt;[1]Result_notebook_retravaill!G958,0,IF([1]Result_notebook_retravaill!I958+[1]Result_notebook_retravaill!J958&gt;[1]Result_notebook_retravaill!G958,[1]Result_notebook_retravaill!G958-[1]Result_notebook_retravaill!I958,[1]Result_notebook_retravaill!J958))</f>
        <v>16318.270507305919</v>
      </c>
      <c r="L958" s="3">
        <f>IF([1]Result_notebook_retravaill!I958&gt;[1]Result_notebook_retravaill!G958,0,IF([1]Result_notebook_retravaill!I958+[1]Result_notebook_retravaill!J958&gt;[1]Result_notebook_retravaill!G958,0,[1]Result_notebook_retravaill!M958))</f>
        <v>64779.164902490593</v>
      </c>
    </row>
    <row r="959" spans="1:12">
      <c r="A959">
        <f>[1]Result_notebook_retravaill!A959</f>
        <v>2035</v>
      </c>
      <c r="B959" t="str">
        <f>[1]Result_notebook_retravaill!B959</f>
        <v>Nickel</v>
      </c>
      <c r="C959" t="str">
        <f>[1]Result_notebook_retravaill!C959</f>
        <v>Global Net-zero</v>
      </c>
      <c r="D959" t="str">
        <f>[1]Result_notebook_retravaill!D959</f>
        <v>Production potential</v>
      </c>
      <c r="E959" t="str">
        <f>[1]Result_notebook_retravaill!E959</f>
        <v>Current shares</v>
      </c>
      <c r="F959" t="str">
        <f>[1]Result_notebook_retravaill!F959</f>
        <v>Expansion Extractive</v>
      </c>
      <c r="G959">
        <f>[1]Result_notebook_retravaill!G959</f>
        <v>147281.28047052419</v>
      </c>
      <c r="H959" s="3">
        <f>IF([1]Result_notebook_retravaill!I959&gt;[1]Result_notebook_retravaill!G959,[1]Result_notebook_retravaill!I959/[1]Result_notebook_retravaill!N959,[1]Result_notebook_retravaill!H959)</f>
        <v>225819.03451618581</v>
      </c>
      <c r="I959" s="3">
        <f>[1]Result_notebook_retravaill!K959</f>
        <v>0</v>
      </c>
      <c r="J959" s="3">
        <f>MIN(G959,[1]Result_notebook_retravaill!I959)</f>
        <v>126657.3897642572</v>
      </c>
      <c r="K959" s="3">
        <f>IF([1]Result_notebook_retravaill!I959&gt;[1]Result_notebook_retravaill!G959,0,IF([1]Result_notebook_retravaill!I959+[1]Result_notebook_retravaill!J959&gt;[1]Result_notebook_retravaill!G959,[1]Result_notebook_retravaill!G959-[1]Result_notebook_retravaill!I959,[1]Result_notebook_retravaill!J959))</f>
        <v>20623.89070626699</v>
      </c>
      <c r="L959" s="3">
        <f>IF([1]Result_notebook_retravaill!I959&gt;[1]Result_notebook_retravaill!G959,0,IF([1]Result_notebook_retravaill!I959+[1]Result_notebook_retravaill!J959&gt;[1]Result_notebook_retravaill!G959,0,[1]Result_notebook_retravaill!M959))</f>
        <v>0</v>
      </c>
    </row>
    <row r="960" spans="1:12">
      <c r="A960">
        <f>[1]Result_notebook_retravaill!A960</f>
        <v>2035</v>
      </c>
      <c r="B960" t="str">
        <f>[1]Result_notebook_retravaill!B960</f>
        <v>Nickel</v>
      </c>
      <c r="C960" t="str">
        <f>[1]Result_notebook_retravaill!C960</f>
        <v>Global Net-zero</v>
      </c>
      <c r="D960" t="str">
        <f>[1]Result_notebook_retravaill!D960</f>
        <v>Production potential</v>
      </c>
      <c r="E960" t="str">
        <f>[1]Result_notebook_retravaill!E960</f>
        <v>Current shares</v>
      </c>
      <c r="F960" t="str">
        <f>[1]Result_notebook_retravaill!F960</f>
        <v>Expansion Extractive+Circularity</v>
      </c>
      <c r="G960">
        <f>[1]Result_notebook_retravaill!G960</f>
        <v>147281.28047052419</v>
      </c>
      <c r="H960" s="3">
        <f>IF([1]Result_notebook_retravaill!I960&gt;[1]Result_notebook_retravaill!G960,[1]Result_notebook_retravaill!I960/[1]Result_notebook_retravaill!N960,[1]Result_notebook_retravaill!H960)</f>
        <v>225819.03451618581</v>
      </c>
      <c r="I960" s="3">
        <f>[1]Result_notebook_retravaill!K960</f>
        <v>0</v>
      </c>
      <c r="J960" s="3">
        <f>MIN(G960,[1]Result_notebook_retravaill!I960)</f>
        <v>126657.3897642572</v>
      </c>
      <c r="K960" s="3">
        <f>IF([1]Result_notebook_retravaill!I960&gt;[1]Result_notebook_retravaill!G960,0,IF([1]Result_notebook_retravaill!I960+[1]Result_notebook_retravaill!J960&gt;[1]Result_notebook_retravaill!G960,[1]Result_notebook_retravaill!G960-[1]Result_notebook_retravaill!I960,[1]Result_notebook_retravaill!J960))</f>
        <v>20623.89070626699</v>
      </c>
      <c r="L960" s="3">
        <f>IF([1]Result_notebook_retravaill!I960&gt;[1]Result_notebook_retravaill!G960,0,IF([1]Result_notebook_retravaill!I960+[1]Result_notebook_retravaill!J960&gt;[1]Result_notebook_retravaill!G960,0,[1]Result_notebook_retravaill!M960))</f>
        <v>0</v>
      </c>
    </row>
    <row r="961" spans="1:12">
      <c r="A961">
        <f>[1]Result_notebook_retravaill!A961</f>
        <v>2035</v>
      </c>
      <c r="B961" t="str">
        <f>[1]Result_notebook_retravaill!B961</f>
        <v>Nickel</v>
      </c>
      <c r="C961" t="str">
        <f>[1]Result_notebook_retravaill!C961</f>
        <v>Global Net-zero</v>
      </c>
      <c r="D961" t="str">
        <f>[1]Result_notebook_retravaill!D961</f>
        <v>Production potential</v>
      </c>
      <c r="E961" t="str">
        <f>[1]Result_notebook_retravaill!E961</f>
        <v>100% CAN</v>
      </c>
      <c r="F961" t="str">
        <f>[1]Result_notebook_retravaill!F961</f>
        <v>Integrated</v>
      </c>
      <c r="G961">
        <f>[1]Result_notebook_retravaill!G961</f>
        <v>147281.28047052419</v>
      </c>
      <c r="H961" s="3">
        <f>IF([1]Result_notebook_retravaill!I961&gt;[1]Result_notebook_retravaill!G961,[1]Result_notebook_retravaill!I961/[1]Result_notebook_retravaill!N961,[1]Result_notebook_retravaill!H961)</f>
        <v>254365.58953331751</v>
      </c>
      <c r="I961" s="3">
        <f>[1]Result_notebook_retravaill!K961</f>
        <v>0</v>
      </c>
      <c r="J961" s="3">
        <f>MIN(G961,[1]Result_notebook_retravaill!I961)</f>
        <v>147281.28047052419</v>
      </c>
      <c r="K961" s="3">
        <f>IF([1]Result_notebook_retravaill!I961&gt;[1]Result_notebook_retravaill!G961,0,IF([1]Result_notebook_retravaill!I961+[1]Result_notebook_retravaill!J961&gt;[1]Result_notebook_retravaill!G961,[1]Result_notebook_retravaill!G961-[1]Result_notebook_retravaill!I961,[1]Result_notebook_retravaill!J961))</f>
        <v>0</v>
      </c>
      <c r="L961" s="3">
        <f>IF([1]Result_notebook_retravaill!I961&gt;[1]Result_notebook_retravaill!G961,0,IF([1]Result_notebook_retravaill!I961+[1]Result_notebook_retravaill!J961&gt;[1]Result_notebook_retravaill!G961,0,[1]Result_notebook_retravaill!M961))</f>
        <v>0</v>
      </c>
    </row>
    <row r="962" spans="1:12">
      <c r="A962">
        <f>[1]Result_notebook_retravaill!A962</f>
        <v>2035</v>
      </c>
      <c r="B962" t="str">
        <f>[1]Result_notebook_retravaill!B962</f>
        <v>Graphite</v>
      </c>
      <c r="C962" t="str">
        <f>[1]Result_notebook_retravaill!C962</f>
        <v>Canada Net-zero</v>
      </c>
      <c r="D962" t="str">
        <f>[1]Result_notebook_retravaill!D962</f>
        <v>Existing production</v>
      </c>
      <c r="E962" t="str">
        <f>[1]Result_notebook_retravaill!E962</f>
        <v>Current shares</v>
      </c>
      <c r="F962" t="str">
        <f>[1]Result_notebook_retravaill!F962</f>
        <v>NIMBY</v>
      </c>
      <c r="G962">
        <f>[1]Result_notebook_retravaill!G962</f>
        <v>3066.2923431360991</v>
      </c>
      <c r="H962" s="3">
        <f>IF([1]Result_notebook_retravaill!I962&gt;[1]Result_notebook_retravaill!G962,[1]Result_notebook_retravaill!I962/[1]Result_notebook_retravaill!N962,[1]Result_notebook_retravaill!H962)</f>
        <v>0</v>
      </c>
      <c r="I962" s="3">
        <f>[1]Result_notebook_retravaill!K962</f>
        <v>3066.2923431360991</v>
      </c>
      <c r="J962" s="3">
        <f>MIN(G962,[1]Result_notebook_retravaill!I962)</f>
        <v>0</v>
      </c>
      <c r="K962" s="3">
        <f>IF([1]Result_notebook_retravaill!I962&gt;[1]Result_notebook_retravaill!G962,0,IF([1]Result_notebook_retravaill!I962+[1]Result_notebook_retravaill!J962&gt;[1]Result_notebook_retravaill!G962,[1]Result_notebook_retravaill!G962-[1]Result_notebook_retravaill!I962,[1]Result_notebook_retravaill!J962))</f>
        <v>0</v>
      </c>
      <c r="L962" s="3">
        <f>IF([1]Result_notebook_retravaill!I962&gt;[1]Result_notebook_retravaill!G962,0,IF([1]Result_notebook_retravaill!I962+[1]Result_notebook_retravaill!J962&gt;[1]Result_notebook_retravaill!G962,0,[1]Result_notebook_retravaill!M962))</f>
        <v>3066.2923431360991</v>
      </c>
    </row>
    <row r="963" spans="1:12">
      <c r="A963">
        <f>[1]Result_notebook_retravaill!A963</f>
        <v>2035</v>
      </c>
      <c r="B963" t="str">
        <f>[1]Result_notebook_retravaill!B963</f>
        <v>Graphite</v>
      </c>
      <c r="C963" t="str">
        <f>[1]Result_notebook_retravaill!C963</f>
        <v>Canada Net-zero</v>
      </c>
      <c r="D963" t="str">
        <f>[1]Result_notebook_retravaill!D963</f>
        <v>Existing production</v>
      </c>
      <c r="E963" t="str">
        <f>[1]Result_notebook_retravaill!E963</f>
        <v>Current shares</v>
      </c>
      <c r="F963" t="str">
        <f>[1]Result_notebook_retravaill!F963</f>
        <v>Status Quo</v>
      </c>
      <c r="G963">
        <f>[1]Result_notebook_retravaill!G963</f>
        <v>3066.2923431360991</v>
      </c>
      <c r="H963" s="3">
        <f>IF([1]Result_notebook_retravaill!I963&gt;[1]Result_notebook_retravaill!G963,[1]Result_notebook_retravaill!I963/[1]Result_notebook_retravaill!N963,[1]Result_notebook_retravaill!H963)</f>
        <v>0</v>
      </c>
      <c r="I963" s="3">
        <f>[1]Result_notebook_retravaill!K963</f>
        <v>3066.2923431360991</v>
      </c>
      <c r="J963" s="3">
        <f>MIN(G963,[1]Result_notebook_retravaill!I963)</f>
        <v>0</v>
      </c>
      <c r="K963" s="3">
        <f>IF([1]Result_notebook_retravaill!I963&gt;[1]Result_notebook_retravaill!G963,0,IF([1]Result_notebook_retravaill!I963+[1]Result_notebook_retravaill!J963&gt;[1]Result_notebook_retravaill!G963,[1]Result_notebook_retravaill!G963-[1]Result_notebook_retravaill!I963,[1]Result_notebook_retravaill!J963))</f>
        <v>0</v>
      </c>
      <c r="L963" s="3">
        <f>IF([1]Result_notebook_retravaill!I963&gt;[1]Result_notebook_retravaill!G963,0,IF([1]Result_notebook_retravaill!I963+[1]Result_notebook_retravaill!J963&gt;[1]Result_notebook_retravaill!G963,0,[1]Result_notebook_retravaill!M963))</f>
        <v>3066.2923431360991</v>
      </c>
    </row>
    <row r="964" spans="1:12">
      <c r="A964">
        <f>[1]Result_notebook_retravaill!A964</f>
        <v>2035</v>
      </c>
      <c r="B964" t="str">
        <f>[1]Result_notebook_retravaill!B964</f>
        <v>Graphite</v>
      </c>
      <c r="C964" t="str">
        <f>[1]Result_notebook_retravaill!C964</f>
        <v>Canada Net-zero</v>
      </c>
      <c r="D964" t="str">
        <f>[1]Result_notebook_retravaill!D964</f>
        <v>Production potential</v>
      </c>
      <c r="E964" t="str">
        <f>[1]Result_notebook_retravaill!E964</f>
        <v>Current shares</v>
      </c>
      <c r="F964" t="str">
        <f>[1]Result_notebook_retravaill!F964</f>
        <v>Expansion Extractive</v>
      </c>
      <c r="G964">
        <f>[1]Result_notebook_retravaill!G964</f>
        <v>3066.2923431360991</v>
      </c>
      <c r="H964" s="3">
        <f>IF([1]Result_notebook_retravaill!I964&gt;[1]Result_notebook_retravaill!G964,[1]Result_notebook_retravaill!I964/[1]Result_notebook_retravaill!N964,[1]Result_notebook_retravaill!H964)</f>
        <v>86201.008450571899</v>
      </c>
      <c r="I964" s="3">
        <f>[1]Result_notebook_retravaill!K964</f>
        <v>0</v>
      </c>
      <c r="J964" s="3">
        <f>MIN(G964,[1]Result_notebook_retravaill!I964)</f>
        <v>3066.2923431360991</v>
      </c>
      <c r="K964" s="3">
        <f>IF([1]Result_notebook_retravaill!I964&gt;[1]Result_notebook_retravaill!G964,0,IF([1]Result_notebook_retravaill!I964+[1]Result_notebook_retravaill!J964&gt;[1]Result_notebook_retravaill!G964,[1]Result_notebook_retravaill!G964-[1]Result_notebook_retravaill!I964,[1]Result_notebook_retravaill!J964))</f>
        <v>0</v>
      </c>
      <c r="L964" s="3">
        <f>IF([1]Result_notebook_retravaill!I964&gt;[1]Result_notebook_retravaill!G964,0,IF([1]Result_notebook_retravaill!I964+[1]Result_notebook_retravaill!J964&gt;[1]Result_notebook_retravaill!G964,0,[1]Result_notebook_retravaill!M964))</f>
        <v>0</v>
      </c>
    </row>
    <row r="965" spans="1:12">
      <c r="A965">
        <f>[1]Result_notebook_retravaill!A965</f>
        <v>2035</v>
      </c>
      <c r="B965" t="str">
        <f>[1]Result_notebook_retravaill!B965</f>
        <v>Graphite</v>
      </c>
      <c r="C965" t="str">
        <f>[1]Result_notebook_retravaill!C965</f>
        <v>Canada Net-zero</v>
      </c>
      <c r="D965" t="str">
        <f>[1]Result_notebook_retravaill!D965</f>
        <v>Production potential</v>
      </c>
      <c r="E965" t="str">
        <f>[1]Result_notebook_retravaill!E965</f>
        <v>Current shares</v>
      </c>
      <c r="F965" t="str">
        <f>[1]Result_notebook_retravaill!F965</f>
        <v>Expansion Extractive+Circularity</v>
      </c>
      <c r="G965">
        <f>[1]Result_notebook_retravaill!G965</f>
        <v>3066.2923431360991</v>
      </c>
      <c r="H965" s="3">
        <f>IF([1]Result_notebook_retravaill!I965&gt;[1]Result_notebook_retravaill!G965,[1]Result_notebook_retravaill!I965/[1]Result_notebook_retravaill!N965,[1]Result_notebook_retravaill!H965)</f>
        <v>86201.008450571899</v>
      </c>
      <c r="I965" s="3">
        <f>[1]Result_notebook_retravaill!K965</f>
        <v>0</v>
      </c>
      <c r="J965" s="3">
        <f>MIN(G965,[1]Result_notebook_retravaill!I965)</f>
        <v>3066.2923431360991</v>
      </c>
      <c r="K965" s="3">
        <f>IF([1]Result_notebook_retravaill!I965&gt;[1]Result_notebook_retravaill!G965,0,IF([1]Result_notebook_retravaill!I965+[1]Result_notebook_retravaill!J965&gt;[1]Result_notebook_retravaill!G965,[1]Result_notebook_retravaill!G965-[1]Result_notebook_retravaill!I965,[1]Result_notebook_retravaill!J965))</f>
        <v>0</v>
      </c>
      <c r="L965" s="3">
        <f>IF([1]Result_notebook_retravaill!I965&gt;[1]Result_notebook_retravaill!G965,0,IF([1]Result_notebook_retravaill!I965+[1]Result_notebook_retravaill!J965&gt;[1]Result_notebook_retravaill!G965,0,[1]Result_notebook_retravaill!M965))</f>
        <v>0</v>
      </c>
    </row>
    <row r="966" spans="1:12">
      <c r="A966">
        <f>[1]Result_notebook_retravaill!A966</f>
        <v>2035</v>
      </c>
      <c r="B966" t="str">
        <f>[1]Result_notebook_retravaill!B966</f>
        <v>Graphite</v>
      </c>
      <c r="C966" t="str">
        <f>[1]Result_notebook_retravaill!C966</f>
        <v>Canada Net-zero</v>
      </c>
      <c r="D966" t="str">
        <f>[1]Result_notebook_retravaill!D966</f>
        <v>Production potential</v>
      </c>
      <c r="E966" t="str">
        <f>[1]Result_notebook_retravaill!E966</f>
        <v>100% CAN</v>
      </c>
      <c r="F966" t="str">
        <f>[1]Result_notebook_retravaill!F966</f>
        <v>Integrated</v>
      </c>
      <c r="G966">
        <f>[1]Result_notebook_retravaill!G966</f>
        <v>3066.2923431360991</v>
      </c>
      <c r="H966" s="3">
        <f>IF([1]Result_notebook_retravaill!I966&gt;[1]Result_notebook_retravaill!G966,[1]Result_notebook_retravaill!I966/[1]Result_notebook_retravaill!N966,[1]Result_notebook_retravaill!H966)</f>
        <v>86201.008450571899</v>
      </c>
      <c r="I966" s="3">
        <f>[1]Result_notebook_retravaill!K966</f>
        <v>0</v>
      </c>
      <c r="J966" s="3">
        <f>MIN(G966,[1]Result_notebook_retravaill!I966)</f>
        <v>3066.2923431360991</v>
      </c>
      <c r="K966" s="3">
        <f>IF([1]Result_notebook_retravaill!I966&gt;[1]Result_notebook_retravaill!G966,0,IF([1]Result_notebook_retravaill!I966+[1]Result_notebook_retravaill!J966&gt;[1]Result_notebook_retravaill!G966,[1]Result_notebook_retravaill!G966-[1]Result_notebook_retravaill!I966,[1]Result_notebook_retravaill!J966))</f>
        <v>0</v>
      </c>
      <c r="L966" s="3">
        <f>IF([1]Result_notebook_retravaill!I966&gt;[1]Result_notebook_retravaill!G966,0,IF([1]Result_notebook_retravaill!I966+[1]Result_notebook_retravaill!J966&gt;[1]Result_notebook_retravaill!G966,0,[1]Result_notebook_retravaill!M966))</f>
        <v>0</v>
      </c>
    </row>
    <row r="967" spans="1:12">
      <c r="A967">
        <f>[1]Result_notebook_retravaill!A967</f>
        <v>2035</v>
      </c>
      <c r="B967" t="str">
        <f>[1]Result_notebook_retravaill!B967</f>
        <v>Graphite</v>
      </c>
      <c r="C967" t="str">
        <f>[1]Result_notebook_retravaill!C967</f>
        <v>Current Measures</v>
      </c>
      <c r="D967" t="str">
        <f>[1]Result_notebook_retravaill!D967</f>
        <v>Existing production</v>
      </c>
      <c r="E967" t="str">
        <f>[1]Result_notebook_retravaill!E967</f>
        <v>Current shares</v>
      </c>
      <c r="F967" t="str">
        <f>[1]Result_notebook_retravaill!F967</f>
        <v>NIMBY</v>
      </c>
      <c r="G967">
        <f>[1]Result_notebook_retravaill!G967</f>
        <v>1155.663795288184</v>
      </c>
      <c r="H967" s="3">
        <f>IF([1]Result_notebook_retravaill!I967&gt;[1]Result_notebook_retravaill!G967,[1]Result_notebook_retravaill!I967/[1]Result_notebook_retravaill!N967,[1]Result_notebook_retravaill!H967)</f>
        <v>0</v>
      </c>
      <c r="I967" s="3">
        <f>[1]Result_notebook_retravaill!K967</f>
        <v>1155.663795288184</v>
      </c>
      <c r="J967" s="3">
        <f>MIN(G967,[1]Result_notebook_retravaill!I967)</f>
        <v>0</v>
      </c>
      <c r="K967" s="3">
        <f>IF([1]Result_notebook_retravaill!I967&gt;[1]Result_notebook_retravaill!G967,0,IF([1]Result_notebook_retravaill!I967+[1]Result_notebook_retravaill!J967&gt;[1]Result_notebook_retravaill!G967,[1]Result_notebook_retravaill!G967-[1]Result_notebook_retravaill!I967,[1]Result_notebook_retravaill!J967))</f>
        <v>0</v>
      </c>
      <c r="L967" s="3">
        <f>IF([1]Result_notebook_retravaill!I967&gt;[1]Result_notebook_retravaill!G967,0,IF([1]Result_notebook_retravaill!I967+[1]Result_notebook_retravaill!J967&gt;[1]Result_notebook_retravaill!G967,0,[1]Result_notebook_retravaill!M967))</f>
        <v>1155.663795288184</v>
      </c>
    </row>
    <row r="968" spans="1:12">
      <c r="A968">
        <f>[1]Result_notebook_retravaill!A968</f>
        <v>2035</v>
      </c>
      <c r="B968" t="str">
        <f>[1]Result_notebook_retravaill!B968</f>
        <v>Graphite</v>
      </c>
      <c r="C968" t="str">
        <f>[1]Result_notebook_retravaill!C968</f>
        <v>Current Measures</v>
      </c>
      <c r="D968" t="str">
        <f>[1]Result_notebook_retravaill!D968</f>
        <v>Existing production</v>
      </c>
      <c r="E968" t="str">
        <f>[1]Result_notebook_retravaill!E968</f>
        <v>Current shares</v>
      </c>
      <c r="F968" t="str">
        <f>[1]Result_notebook_retravaill!F968</f>
        <v>Status Quo</v>
      </c>
      <c r="G968">
        <f>[1]Result_notebook_retravaill!G968</f>
        <v>1155.663795288184</v>
      </c>
      <c r="H968" s="3">
        <f>IF([1]Result_notebook_retravaill!I968&gt;[1]Result_notebook_retravaill!G968,[1]Result_notebook_retravaill!I968/[1]Result_notebook_retravaill!N968,[1]Result_notebook_retravaill!H968)</f>
        <v>0</v>
      </c>
      <c r="I968" s="3">
        <f>[1]Result_notebook_retravaill!K968</f>
        <v>1155.663795288184</v>
      </c>
      <c r="J968" s="3">
        <f>MIN(G968,[1]Result_notebook_retravaill!I968)</f>
        <v>0</v>
      </c>
      <c r="K968" s="3">
        <f>IF([1]Result_notebook_retravaill!I968&gt;[1]Result_notebook_retravaill!G968,0,IF([1]Result_notebook_retravaill!I968+[1]Result_notebook_retravaill!J968&gt;[1]Result_notebook_retravaill!G968,[1]Result_notebook_retravaill!G968-[1]Result_notebook_retravaill!I968,[1]Result_notebook_retravaill!J968))</f>
        <v>0</v>
      </c>
      <c r="L968" s="3">
        <f>IF([1]Result_notebook_retravaill!I968&gt;[1]Result_notebook_retravaill!G968,0,IF([1]Result_notebook_retravaill!I968+[1]Result_notebook_retravaill!J968&gt;[1]Result_notebook_retravaill!G968,0,[1]Result_notebook_retravaill!M968))</f>
        <v>1155.663795288184</v>
      </c>
    </row>
    <row r="969" spans="1:12">
      <c r="A969">
        <f>[1]Result_notebook_retravaill!A969</f>
        <v>2035</v>
      </c>
      <c r="B969" t="str">
        <f>[1]Result_notebook_retravaill!B969</f>
        <v>Graphite</v>
      </c>
      <c r="C969" t="str">
        <f>[1]Result_notebook_retravaill!C969</f>
        <v>Current Measures</v>
      </c>
      <c r="D969" t="str">
        <f>[1]Result_notebook_retravaill!D969</f>
        <v>Production potential</v>
      </c>
      <c r="E969" t="str">
        <f>[1]Result_notebook_retravaill!E969</f>
        <v>Current shares</v>
      </c>
      <c r="F969" t="str">
        <f>[1]Result_notebook_retravaill!F969</f>
        <v>Expansion Extractive</v>
      </c>
      <c r="G969">
        <f>[1]Result_notebook_retravaill!G969</f>
        <v>1155.663795288184</v>
      </c>
      <c r="H969" s="3">
        <f>IF([1]Result_notebook_retravaill!I969&gt;[1]Result_notebook_retravaill!G969,[1]Result_notebook_retravaill!I969/[1]Result_notebook_retravaill!N969,[1]Result_notebook_retravaill!H969)</f>
        <v>86201.008450571899</v>
      </c>
      <c r="I969" s="3">
        <f>[1]Result_notebook_retravaill!K969</f>
        <v>0</v>
      </c>
      <c r="J969" s="3">
        <f>MIN(G969,[1]Result_notebook_retravaill!I969)</f>
        <v>1155.663795288184</v>
      </c>
      <c r="K969" s="3">
        <f>IF([1]Result_notebook_retravaill!I969&gt;[1]Result_notebook_retravaill!G969,0,IF([1]Result_notebook_retravaill!I969+[1]Result_notebook_retravaill!J969&gt;[1]Result_notebook_retravaill!G969,[1]Result_notebook_retravaill!G969-[1]Result_notebook_retravaill!I969,[1]Result_notebook_retravaill!J969))</f>
        <v>0</v>
      </c>
      <c r="L969" s="3">
        <f>IF([1]Result_notebook_retravaill!I969&gt;[1]Result_notebook_retravaill!G969,0,IF([1]Result_notebook_retravaill!I969+[1]Result_notebook_retravaill!J969&gt;[1]Result_notebook_retravaill!G969,0,[1]Result_notebook_retravaill!M969))</f>
        <v>0</v>
      </c>
    </row>
    <row r="970" spans="1:12">
      <c r="A970">
        <f>[1]Result_notebook_retravaill!A970</f>
        <v>2035</v>
      </c>
      <c r="B970" t="str">
        <f>[1]Result_notebook_retravaill!B970</f>
        <v>Graphite</v>
      </c>
      <c r="C970" t="str">
        <f>[1]Result_notebook_retravaill!C970</f>
        <v>Current Measures</v>
      </c>
      <c r="D970" t="str">
        <f>[1]Result_notebook_retravaill!D970</f>
        <v>Production potential</v>
      </c>
      <c r="E970" t="str">
        <f>[1]Result_notebook_retravaill!E970</f>
        <v>Current shares</v>
      </c>
      <c r="F970" t="str">
        <f>[1]Result_notebook_retravaill!F970</f>
        <v>Expansion Extractive+Circularity</v>
      </c>
      <c r="G970">
        <f>[1]Result_notebook_retravaill!G970</f>
        <v>1155.663795288184</v>
      </c>
      <c r="H970" s="3">
        <f>IF([1]Result_notebook_retravaill!I970&gt;[1]Result_notebook_retravaill!G970,[1]Result_notebook_retravaill!I970/[1]Result_notebook_retravaill!N970,[1]Result_notebook_retravaill!H970)</f>
        <v>86201.008450571899</v>
      </c>
      <c r="I970" s="3">
        <f>[1]Result_notebook_retravaill!K970</f>
        <v>0</v>
      </c>
      <c r="J970" s="3">
        <f>MIN(G970,[1]Result_notebook_retravaill!I970)</f>
        <v>1155.663795288184</v>
      </c>
      <c r="K970" s="3">
        <f>IF([1]Result_notebook_retravaill!I970&gt;[1]Result_notebook_retravaill!G970,0,IF([1]Result_notebook_retravaill!I970+[1]Result_notebook_retravaill!J970&gt;[1]Result_notebook_retravaill!G970,[1]Result_notebook_retravaill!G970-[1]Result_notebook_retravaill!I970,[1]Result_notebook_retravaill!J970))</f>
        <v>0</v>
      </c>
      <c r="L970" s="3">
        <f>IF([1]Result_notebook_retravaill!I970&gt;[1]Result_notebook_retravaill!G970,0,IF([1]Result_notebook_retravaill!I970+[1]Result_notebook_retravaill!J970&gt;[1]Result_notebook_retravaill!G970,0,[1]Result_notebook_retravaill!M970))</f>
        <v>0</v>
      </c>
    </row>
    <row r="971" spans="1:12">
      <c r="A971">
        <f>[1]Result_notebook_retravaill!A971</f>
        <v>2035</v>
      </c>
      <c r="B971" t="str">
        <f>[1]Result_notebook_retravaill!B971</f>
        <v>Graphite</v>
      </c>
      <c r="C971" t="str">
        <f>[1]Result_notebook_retravaill!C971</f>
        <v>Current Measures</v>
      </c>
      <c r="D971" t="str">
        <f>[1]Result_notebook_retravaill!D971</f>
        <v>Production potential</v>
      </c>
      <c r="E971" t="str">
        <f>[1]Result_notebook_retravaill!E971</f>
        <v>100% CAN</v>
      </c>
      <c r="F971" t="str">
        <f>[1]Result_notebook_retravaill!F971</f>
        <v>Integrated</v>
      </c>
      <c r="G971">
        <f>[1]Result_notebook_retravaill!G971</f>
        <v>1155.663795288184</v>
      </c>
      <c r="H971" s="3">
        <f>IF([1]Result_notebook_retravaill!I971&gt;[1]Result_notebook_retravaill!G971,[1]Result_notebook_retravaill!I971/[1]Result_notebook_retravaill!N971,[1]Result_notebook_retravaill!H971)</f>
        <v>86201.008450571899</v>
      </c>
      <c r="I971" s="3">
        <f>[1]Result_notebook_retravaill!K971</f>
        <v>0</v>
      </c>
      <c r="J971" s="3">
        <f>MIN(G971,[1]Result_notebook_retravaill!I971)</f>
        <v>1155.663795288184</v>
      </c>
      <c r="K971" s="3">
        <f>IF([1]Result_notebook_retravaill!I971&gt;[1]Result_notebook_retravaill!G971,0,IF([1]Result_notebook_retravaill!I971+[1]Result_notebook_retravaill!J971&gt;[1]Result_notebook_retravaill!G971,[1]Result_notebook_retravaill!G971-[1]Result_notebook_retravaill!I971,[1]Result_notebook_retravaill!J971))</f>
        <v>0</v>
      </c>
      <c r="L971" s="3">
        <f>IF([1]Result_notebook_retravaill!I971&gt;[1]Result_notebook_retravaill!G971,0,IF([1]Result_notebook_retravaill!I971+[1]Result_notebook_retravaill!J971&gt;[1]Result_notebook_retravaill!G971,0,[1]Result_notebook_retravaill!M971))</f>
        <v>0</v>
      </c>
    </row>
    <row r="972" spans="1:12">
      <c r="A972">
        <f>[1]Result_notebook_retravaill!A972</f>
        <v>2035</v>
      </c>
      <c r="B972" t="str">
        <f>[1]Result_notebook_retravaill!B972</f>
        <v>Graphite</v>
      </c>
      <c r="C972" t="str">
        <f>[1]Result_notebook_retravaill!C972</f>
        <v>Global Net-zero</v>
      </c>
      <c r="D972" t="str">
        <f>[1]Result_notebook_retravaill!D972</f>
        <v>Existing production</v>
      </c>
      <c r="E972" t="str">
        <f>[1]Result_notebook_retravaill!E972</f>
        <v>Current shares</v>
      </c>
      <c r="F972" t="str">
        <f>[1]Result_notebook_retravaill!F972</f>
        <v>NIMBY</v>
      </c>
      <c r="G972">
        <f>[1]Result_notebook_retravaill!G972</f>
        <v>2917.7788379064118</v>
      </c>
      <c r="H972" s="3">
        <f>IF([1]Result_notebook_retravaill!I972&gt;[1]Result_notebook_retravaill!G972,[1]Result_notebook_retravaill!I972/[1]Result_notebook_retravaill!N972,[1]Result_notebook_retravaill!H972)</f>
        <v>0</v>
      </c>
      <c r="I972" s="3">
        <f>[1]Result_notebook_retravaill!K972</f>
        <v>2917.7788379064118</v>
      </c>
      <c r="J972" s="3">
        <f>MIN(G972,[1]Result_notebook_retravaill!I972)</f>
        <v>0</v>
      </c>
      <c r="K972" s="3">
        <f>IF([1]Result_notebook_retravaill!I972&gt;[1]Result_notebook_retravaill!G972,0,IF([1]Result_notebook_retravaill!I972+[1]Result_notebook_retravaill!J972&gt;[1]Result_notebook_retravaill!G972,[1]Result_notebook_retravaill!G972-[1]Result_notebook_retravaill!I972,[1]Result_notebook_retravaill!J972))</f>
        <v>0</v>
      </c>
      <c r="L972" s="3">
        <f>IF([1]Result_notebook_retravaill!I972&gt;[1]Result_notebook_retravaill!G972,0,IF([1]Result_notebook_retravaill!I972+[1]Result_notebook_retravaill!J972&gt;[1]Result_notebook_retravaill!G972,0,[1]Result_notebook_retravaill!M972))</f>
        <v>2917.7788379064118</v>
      </c>
    </row>
    <row r="973" spans="1:12">
      <c r="A973">
        <f>[1]Result_notebook_retravaill!A973</f>
        <v>2035</v>
      </c>
      <c r="B973" t="str">
        <f>[1]Result_notebook_retravaill!B973</f>
        <v>Graphite</v>
      </c>
      <c r="C973" t="str">
        <f>[1]Result_notebook_retravaill!C973</f>
        <v>Global Net-zero</v>
      </c>
      <c r="D973" t="str">
        <f>[1]Result_notebook_retravaill!D973</f>
        <v>Existing production</v>
      </c>
      <c r="E973" t="str">
        <f>[1]Result_notebook_retravaill!E973</f>
        <v>Current shares</v>
      </c>
      <c r="F973" t="str">
        <f>[1]Result_notebook_retravaill!F973</f>
        <v>Status Quo</v>
      </c>
      <c r="G973">
        <f>[1]Result_notebook_retravaill!G973</f>
        <v>2917.7788379064118</v>
      </c>
      <c r="H973" s="3">
        <f>IF([1]Result_notebook_retravaill!I973&gt;[1]Result_notebook_retravaill!G973,[1]Result_notebook_retravaill!I973/[1]Result_notebook_retravaill!N973,[1]Result_notebook_retravaill!H973)</f>
        <v>0</v>
      </c>
      <c r="I973" s="3">
        <f>[1]Result_notebook_retravaill!K973</f>
        <v>2917.7788379064118</v>
      </c>
      <c r="J973" s="3">
        <f>MIN(G973,[1]Result_notebook_retravaill!I973)</f>
        <v>0</v>
      </c>
      <c r="K973" s="3">
        <f>IF([1]Result_notebook_retravaill!I973&gt;[1]Result_notebook_retravaill!G973,0,IF([1]Result_notebook_retravaill!I973+[1]Result_notebook_retravaill!J973&gt;[1]Result_notebook_retravaill!G973,[1]Result_notebook_retravaill!G973-[1]Result_notebook_retravaill!I973,[1]Result_notebook_retravaill!J973))</f>
        <v>0</v>
      </c>
      <c r="L973" s="3">
        <f>IF([1]Result_notebook_retravaill!I973&gt;[1]Result_notebook_retravaill!G973,0,IF([1]Result_notebook_retravaill!I973+[1]Result_notebook_retravaill!J973&gt;[1]Result_notebook_retravaill!G973,0,[1]Result_notebook_retravaill!M973))</f>
        <v>2917.7788379064118</v>
      </c>
    </row>
    <row r="974" spans="1:12">
      <c r="A974">
        <f>[1]Result_notebook_retravaill!A974</f>
        <v>2035</v>
      </c>
      <c r="B974" t="str">
        <f>[1]Result_notebook_retravaill!B974</f>
        <v>Graphite</v>
      </c>
      <c r="C974" t="str">
        <f>[1]Result_notebook_retravaill!C974</f>
        <v>Global Net-zero</v>
      </c>
      <c r="D974" t="str">
        <f>[1]Result_notebook_retravaill!D974</f>
        <v>Production potential</v>
      </c>
      <c r="E974" t="str">
        <f>[1]Result_notebook_retravaill!E974</f>
        <v>Current shares</v>
      </c>
      <c r="F974" t="str">
        <f>[1]Result_notebook_retravaill!F974</f>
        <v>Expansion Extractive</v>
      </c>
      <c r="G974">
        <f>[1]Result_notebook_retravaill!G974</f>
        <v>2917.7788379064118</v>
      </c>
      <c r="H974" s="3">
        <f>IF([1]Result_notebook_retravaill!I974&gt;[1]Result_notebook_retravaill!G974,[1]Result_notebook_retravaill!I974/[1]Result_notebook_retravaill!N974,[1]Result_notebook_retravaill!H974)</f>
        <v>86201.008450571899</v>
      </c>
      <c r="I974" s="3">
        <f>[1]Result_notebook_retravaill!K974</f>
        <v>0</v>
      </c>
      <c r="J974" s="3">
        <f>MIN(G974,[1]Result_notebook_retravaill!I974)</f>
        <v>2917.7788379064118</v>
      </c>
      <c r="K974" s="3">
        <f>IF([1]Result_notebook_retravaill!I974&gt;[1]Result_notebook_retravaill!G974,0,IF([1]Result_notebook_retravaill!I974+[1]Result_notebook_retravaill!J974&gt;[1]Result_notebook_retravaill!G974,[1]Result_notebook_retravaill!G974-[1]Result_notebook_retravaill!I974,[1]Result_notebook_retravaill!J974))</f>
        <v>0</v>
      </c>
      <c r="L974" s="3">
        <f>IF([1]Result_notebook_retravaill!I974&gt;[1]Result_notebook_retravaill!G974,0,IF([1]Result_notebook_retravaill!I974+[1]Result_notebook_retravaill!J974&gt;[1]Result_notebook_retravaill!G974,0,[1]Result_notebook_retravaill!M974))</f>
        <v>0</v>
      </c>
    </row>
    <row r="975" spans="1:12">
      <c r="A975">
        <f>[1]Result_notebook_retravaill!A975</f>
        <v>2035</v>
      </c>
      <c r="B975" t="str">
        <f>[1]Result_notebook_retravaill!B975</f>
        <v>Graphite</v>
      </c>
      <c r="C975" t="str">
        <f>[1]Result_notebook_retravaill!C975</f>
        <v>Global Net-zero</v>
      </c>
      <c r="D975" t="str">
        <f>[1]Result_notebook_retravaill!D975</f>
        <v>Production potential</v>
      </c>
      <c r="E975" t="str">
        <f>[1]Result_notebook_retravaill!E975</f>
        <v>Current shares</v>
      </c>
      <c r="F975" t="str">
        <f>[1]Result_notebook_retravaill!F975</f>
        <v>Expansion Extractive+Circularity</v>
      </c>
      <c r="G975">
        <f>[1]Result_notebook_retravaill!G975</f>
        <v>2917.7788379064118</v>
      </c>
      <c r="H975" s="3">
        <f>IF([1]Result_notebook_retravaill!I975&gt;[1]Result_notebook_retravaill!G975,[1]Result_notebook_retravaill!I975/[1]Result_notebook_retravaill!N975,[1]Result_notebook_retravaill!H975)</f>
        <v>86201.008450571899</v>
      </c>
      <c r="I975" s="3">
        <f>[1]Result_notebook_retravaill!K975</f>
        <v>0</v>
      </c>
      <c r="J975" s="3">
        <f>MIN(G975,[1]Result_notebook_retravaill!I975)</f>
        <v>2917.7788379064118</v>
      </c>
      <c r="K975" s="3">
        <f>IF([1]Result_notebook_retravaill!I975&gt;[1]Result_notebook_retravaill!G975,0,IF([1]Result_notebook_retravaill!I975+[1]Result_notebook_retravaill!J975&gt;[1]Result_notebook_retravaill!G975,[1]Result_notebook_retravaill!G975-[1]Result_notebook_retravaill!I975,[1]Result_notebook_retravaill!J975))</f>
        <v>0</v>
      </c>
      <c r="L975" s="3">
        <f>IF([1]Result_notebook_retravaill!I975&gt;[1]Result_notebook_retravaill!G975,0,IF([1]Result_notebook_retravaill!I975+[1]Result_notebook_retravaill!J975&gt;[1]Result_notebook_retravaill!G975,0,[1]Result_notebook_retravaill!M975))</f>
        <v>0</v>
      </c>
    </row>
    <row r="976" spans="1:12">
      <c r="A976">
        <f>[1]Result_notebook_retravaill!A976</f>
        <v>2035</v>
      </c>
      <c r="B976" t="str">
        <f>[1]Result_notebook_retravaill!B976</f>
        <v>Graphite</v>
      </c>
      <c r="C976" t="str">
        <f>[1]Result_notebook_retravaill!C976</f>
        <v>Global Net-zero</v>
      </c>
      <c r="D976" t="str">
        <f>[1]Result_notebook_retravaill!D976</f>
        <v>Production potential</v>
      </c>
      <c r="E976" t="str">
        <f>[1]Result_notebook_retravaill!E976</f>
        <v>100% CAN</v>
      </c>
      <c r="F976" t="str">
        <f>[1]Result_notebook_retravaill!F976</f>
        <v>Integrated</v>
      </c>
      <c r="G976">
        <f>[1]Result_notebook_retravaill!G976</f>
        <v>2917.7788379064118</v>
      </c>
      <c r="H976" s="3">
        <f>IF([1]Result_notebook_retravaill!I976&gt;[1]Result_notebook_retravaill!G976,[1]Result_notebook_retravaill!I976/[1]Result_notebook_retravaill!N976,[1]Result_notebook_retravaill!H976)</f>
        <v>86201.008450571899</v>
      </c>
      <c r="I976" s="3">
        <f>[1]Result_notebook_retravaill!K976</f>
        <v>0</v>
      </c>
      <c r="J976" s="3">
        <f>MIN(G976,[1]Result_notebook_retravaill!I976)</f>
        <v>2917.7788379064118</v>
      </c>
      <c r="K976" s="3">
        <f>IF([1]Result_notebook_retravaill!I976&gt;[1]Result_notebook_retravaill!G976,0,IF([1]Result_notebook_retravaill!I976+[1]Result_notebook_retravaill!J976&gt;[1]Result_notebook_retravaill!G976,[1]Result_notebook_retravaill!G976-[1]Result_notebook_retravaill!I976,[1]Result_notebook_retravaill!J976))</f>
        <v>0</v>
      </c>
      <c r="L976" s="3">
        <f>IF([1]Result_notebook_retravaill!I976&gt;[1]Result_notebook_retravaill!G976,0,IF([1]Result_notebook_retravaill!I976+[1]Result_notebook_retravaill!J976&gt;[1]Result_notebook_retravaill!G976,0,[1]Result_notebook_retravaill!M976))</f>
        <v>0</v>
      </c>
    </row>
    <row r="977" spans="1:12">
      <c r="A977">
        <f>[1]Result_notebook_retravaill!A977</f>
        <v>2035</v>
      </c>
      <c r="B977" t="str">
        <f>[1]Result_notebook_retravaill!B977</f>
        <v>Lithium</v>
      </c>
      <c r="C977" t="str">
        <f>[1]Result_notebook_retravaill!C977</f>
        <v>Canada Net-zero</v>
      </c>
      <c r="D977" t="str">
        <f>[1]Result_notebook_retravaill!D977</f>
        <v>Existing production</v>
      </c>
      <c r="E977" t="str">
        <f>[1]Result_notebook_retravaill!E977</f>
        <v>Current shares</v>
      </c>
      <c r="F977" t="str">
        <f>[1]Result_notebook_retravaill!F977</f>
        <v>NIMBY</v>
      </c>
      <c r="G977">
        <f>[1]Result_notebook_retravaill!G977</f>
        <v>62177.458189905767</v>
      </c>
      <c r="H977" s="3">
        <f>IF([1]Result_notebook_retravaill!I977&gt;[1]Result_notebook_retravaill!G977,[1]Result_notebook_retravaill!I977/[1]Result_notebook_retravaill!N977,[1]Result_notebook_retravaill!H977)</f>
        <v>0</v>
      </c>
      <c r="I977" s="3">
        <f>[1]Result_notebook_retravaill!K977</f>
        <v>88824.940271293963</v>
      </c>
      <c r="J977" s="3">
        <f>MIN(G977,[1]Result_notebook_retravaill!I977)</f>
        <v>0</v>
      </c>
      <c r="K977" s="3">
        <f>IF([1]Result_notebook_retravaill!I977&gt;[1]Result_notebook_retravaill!G977,0,IF([1]Result_notebook_retravaill!I977+[1]Result_notebook_retravaill!J977&gt;[1]Result_notebook_retravaill!G977,[1]Result_notebook_retravaill!G977-[1]Result_notebook_retravaill!I977,[1]Result_notebook_retravaill!J977))</f>
        <v>0</v>
      </c>
      <c r="L977" s="3">
        <f>IF([1]Result_notebook_retravaill!I977&gt;[1]Result_notebook_retravaill!G977,0,IF([1]Result_notebook_retravaill!I977+[1]Result_notebook_retravaill!J977&gt;[1]Result_notebook_retravaill!G977,0,[1]Result_notebook_retravaill!M977))</f>
        <v>62177.458189905767</v>
      </c>
    </row>
    <row r="978" spans="1:12">
      <c r="A978">
        <f>[1]Result_notebook_retravaill!A978</f>
        <v>2035</v>
      </c>
      <c r="B978" t="str">
        <f>[1]Result_notebook_retravaill!B978</f>
        <v>Lithium</v>
      </c>
      <c r="C978" t="str">
        <f>[1]Result_notebook_retravaill!C978</f>
        <v>Canada Net-zero</v>
      </c>
      <c r="D978" t="str">
        <f>[1]Result_notebook_retravaill!D978</f>
        <v>Existing production</v>
      </c>
      <c r="E978" t="str">
        <f>[1]Result_notebook_retravaill!E978</f>
        <v>Current shares</v>
      </c>
      <c r="F978" t="str">
        <f>[1]Result_notebook_retravaill!F978</f>
        <v>Status Quo</v>
      </c>
      <c r="G978">
        <f>[1]Result_notebook_retravaill!G978</f>
        <v>62177.458189905767</v>
      </c>
      <c r="H978" s="3">
        <f>IF([1]Result_notebook_retravaill!I978&gt;[1]Result_notebook_retravaill!G978,[1]Result_notebook_retravaill!I978/[1]Result_notebook_retravaill!N978,[1]Result_notebook_retravaill!H978)</f>
        <v>40453</v>
      </c>
      <c r="I978" s="3">
        <f>[1]Result_notebook_retravaill!K978</f>
        <v>48371.940271293963</v>
      </c>
      <c r="J978" s="3">
        <f>MIN(G978,[1]Result_notebook_retravaill!I978)</f>
        <v>28283.5430599463</v>
      </c>
      <c r="K978" s="3">
        <f>IF([1]Result_notebook_retravaill!I978&gt;[1]Result_notebook_retravaill!G978,0,IF([1]Result_notebook_retravaill!I978+[1]Result_notebook_retravaill!J978&gt;[1]Result_notebook_retravaill!G978,[1]Result_notebook_retravaill!G978-[1]Result_notebook_retravaill!I978,[1]Result_notebook_retravaill!J978))</f>
        <v>3575.4192279229464</v>
      </c>
      <c r="L978" s="3">
        <f>IF([1]Result_notebook_retravaill!I978&gt;[1]Result_notebook_retravaill!G978,0,IF([1]Result_notebook_retravaill!I978+[1]Result_notebook_retravaill!J978&gt;[1]Result_notebook_retravaill!G978,0,[1]Result_notebook_retravaill!M978))</f>
        <v>30318.49590203652</v>
      </c>
    </row>
    <row r="979" spans="1:12">
      <c r="A979">
        <f>[1]Result_notebook_retravaill!A979</f>
        <v>2035</v>
      </c>
      <c r="B979" t="str">
        <f>[1]Result_notebook_retravaill!B979</f>
        <v>Lithium</v>
      </c>
      <c r="C979" t="str">
        <f>[1]Result_notebook_retravaill!C979</f>
        <v>Canada Net-zero</v>
      </c>
      <c r="D979" t="str">
        <f>[1]Result_notebook_retravaill!D979</f>
        <v>Production potential</v>
      </c>
      <c r="E979" t="str">
        <f>[1]Result_notebook_retravaill!E979</f>
        <v>Current shares</v>
      </c>
      <c r="F979" t="str">
        <f>[1]Result_notebook_retravaill!F979</f>
        <v>Expansion Extractive</v>
      </c>
      <c r="G979">
        <f>[1]Result_notebook_retravaill!G979</f>
        <v>62177.458189905767</v>
      </c>
      <c r="H979" s="3">
        <f>IF([1]Result_notebook_retravaill!I979&gt;[1]Result_notebook_retravaill!G979,[1]Result_notebook_retravaill!I979/[1]Result_notebook_retravaill!N979,[1]Result_notebook_retravaill!H979)</f>
        <v>129722.66571102699</v>
      </c>
      <c r="I979" s="3">
        <f>[1]Result_notebook_retravaill!K979</f>
        <v>0</v>
      </c>
      <c r="J979" s="3">
        <f>MIN(G979,[1]Result_notebook_retravaill!I979)</f>
        <v>62177.458189905767</v>
      </c>
      <c r="K979" s="3">
        <f>IF([1]Result_notebook_retravaill!I979&gt;[1]Result_notebook_retravaill!G979,0,IF([1]Result_notebook_retravaill!I979+[1]Result_notebook_retravaill!J979&gt;[1]Result_notebook_retravaill!G979,[1]Result_notebook_retravaill!G979-[1]Result_notebook_retravaill!I979,[1]Result_notebook_retravaill!J979))</f>
        <v>0</v>
      </c>
      <c r="L979" s="3">
        <f>IF([1]Result_notebook_retravaill!I979&gt;[1]Result_notebook_retravaill!G979,0,IF([1]Result_notebook_retravaill!I979+[1]Result_notebook_retravaill!J979&gt;[1]Result_notebook_retravaill!G979,0,[1]Result_notebook_retravaill!M979))</f>
        <v>0</v>
      </c>
    </row>
    <row r="980" spans="1:12">
      <c r="A980">
        <f>[1]Result_notebook_retravaill!A980</f>
        <v>2035</v>
      </c>
      <c r="B980" t="str">
        <f>[1]Result_notebook_retravaill!B980</f>
        <v>Lithium</v>
      </c>
      <c r="C980" t="str">
        <f>[1]Result_notebook_retravaill!C980</f>
        <v>Canada Net-zero</v>
      </c>
      <c r="D980" t="str">
        <f>[1]Result_notebook_retravaill!D980</f>
        <v>Production potential</v>
      </c>
      <c r="E980" t="str">
        <f>[1]Result_notebook_retravaill!E980</f>
        <v>Current shares</v>
      </c>
      <c r="F980" t="str">
        <f>[1]Result_notebook_retravaill!F980</f>
        <v>Expansion Extractive+Circularity</v>
      </c>
      <c r="G980">
        <f>[1]Result_notebook_retravaill!G980</f>
        <v>62177.458189905767</v>
      </c>
      <c r="H980" s="3">
        <f>IF([1]Result_notebook_retravaill!I980&gt;[1]Result_notebook_retravaill!G980,[1]Result_notebook_retravaill!I980/[1]Result_notebook_retravaill!N980,[1]Result_notebook_retravaill!H980)</f>
        <v>129722.66571102699</v>
      </c>
      <c r="I980" s="3">
        <f>[1]Result_notebook_retravaill!K980</f>
        <v>0</v>
      </c>
      <c r="J980" s="3">
        <f>MIN(G980,[1]Result_notebook_retravaill!I980)</f>
        <v>62177.458189905767</v>
      </c>
      <c r="K980" s="3">
        <f>IF([1]Result_notebook_retravaill!I980&gt;[1]Result_notebook_retravaill!G980,0,IF([1]Result_notebook_retravaill!I980+[1]Result_notebook_retravaill!J980&gt;[1]Result_notebook_retravaill!G980,[1]Result_notebook_retravaill!G980-[1]Result_notebook_retravaill!I980,[1]Result_notebook_retravaill!J980))</f>
        <v>0</v>
      </c>
      <c r="L980" s="3">
        <f>IF([1]Result_notebook_retravaill!I980&gt;[1]Result_notebook_retravaill!G980,0,IF([1]Result_notebook_retravaill!I980+[1]Result_notebook_retravaill!J980&gt;[1]Result_notebook_retravaill!G980,0,[1]Result_notebook_retravaill!M980))</f>
        <v>0</v>
      </c>
    </row>
    <row r="981" spans="1:12">
      <c r="A981">
        <f>[1]Result_notebook_retravaill!A981</f>
        <v>2035</v>
      </c>
      <c r="B981" t="str">
        <f>[1]Result_notebook_retravaill!B981</f>
        <v>Lithium</v>
      </c>
      <c r="C981" t="str">
        <f>[1]Result_notebook_retravaill!C981</f>
        <v>Canada Net-zero</v>
      </c>
      <c r="D981" t="str">
        <f>[1]Result_notebook_retravaill!D981</f>
        <v>Production potential</v>
      </c>
      <c r="E981" t="str">
        <f>[1]Result_notebook_retravaill!E981</f>
        <v>100% CAN</v>
      </c>
      <c r="F981" t="str">
        <f>[1]Result_notebook_retravaill!F981</f>
        <v>Integrated</v>
      </c>
      <c r="G981">
        <f>[1]Result_notebook_retravaill!G981</f>
        <v>62177.458189905767</v>
      </c>
      <c r="H981" s="3">
        <f>IF([1]Result_notebook_retravaill!I981&gt;[1]Result_notebook_retravaill!G981,[1]Result_notebook_retravaill!I981/[1]Result_notebook_retravaill!N981,[1]Result_notebook_retravaill!H981)</f>
        <v>129722.66571102699</v>
      </c>
      <c r="I981" s="3">
        <f>[1]Result_notebook_retravaill!K981</f>
        <v>0</v>
      </c>
      <c r="J981" s="3">
        <f>MIN(G981,[1]Result_notebook_retravaill!I981)</f>
        <v>62177.458189905767</v>
      </c>
      <c r="K981" s="3">
        <f>IF([1]Result_notebook_retravaill!I981&gt;[1]Result_notebook_retravaill!G981,0,IF([1]Result_notebook_retravaill!I981+[1]Result_notebook_retravaill!J981&gt;[1]Result_notebook_retravaill!G981,[1]Result_notebook_retravaill!G981-[1]Result_notebook_retravaill!I981,[1]Result_notebook_retravaill!J981))</f>
        <v>0</v>
      </c>
      <c r="L981" s="3">
        <f>IF([1]Result_notebook_retravaill!I981&gt;[1]Result_notebook_retravaill!G981,0,IF([1]Result_notebook_retravaill!I981+[1]Result_notebook_retravaill!J981&gt;[1]Result_notebook_retravaill!G981,0,[1]Result_notebook_retravaill!M981))</f>
        <v>0</v>
      </c>
    </row>
    <row r="982" spans="1:12">
      <c r="A982">
        <f>[1]Result_notebook_retravaill!A982</f>
        <v>2035</v>
      </c>
      <c r="B982" t="str">
        <f>[1]Result_notebook_retravaill!B982</f>
        <v>Lithium</v>
      </c>
      <c r="C982" t="str">
        <f>[1]Result_notebook_retravaill!C982</f>
        <v>Current Measures</v>
      </c>
      <c r="D982" t="str">
        <f>[1]Result_notebook_retravaill!D982</f>
        <v>Existing production</v>
      </c>
      <c r="E982" t="str">
        <f>[1]Result_notebook_retravaill!E982</f>
        <v>Current shares</v>
      </c>
      <c r="F982" t="str">
        <f>[1]Result_notebook_retravaill!F982</f>
        <v>NIMBY</v>
      </c>
      <c r="G982">
        <f>[1]Result_notebook_retravaill!G982</f>
        <v>23434.242163494011</v>
      </c>
      <c r="H982" s="3">
        <f>IF([1]Result_notebook_retravaill!I982&gt;[1]Result_notebook_retravaill!G982,[1]Result_notebook_retravaill!I982/[1]Result_notebook_retravaill!N982,[1]Result_notebook_retravaill!H982)</f>
        <v>0</v>
      </c>
      <c r="I982" s="3">
        <f>[1]Result_notebook_retravaill!K982</f>
        <v>33477.488804991437</v>
      </c>
      <c r="J982" s="3">
        <f>MIN(G982,[1]Result_notebook_retravaill!I982)</f>
        <v>0</v>
      </c>
      <c r="K982" s="3">
        <f>IF([1]Result_notebook_retravaill!I982&gt;[1]Result_notebook_retravaill!G982,0,IF([1]Result_notebook_retravaill!I982+[1]Result_notebook_retravaill!J982&gt;[1]Result_notebook_retravaill!G982,[1]Result_notebook_retravaill!G982-[1]Result_notebook_retravaill!I982,[1]Result_notebook_retravaill!J982))</f>
        <v>0</v>
      </c>
      <c r="L982" s="3">
        <f>IF([1]Result_notebook_retravaill!I982&gt;[1]Result_notebook_retravaill!G982,0,IF([1]Result_notebook_retravaill!I982+[1]Result_notebook_retravaill!J982&gt;[1]Result_notebook_retravaill!G982,0,[1]Result_notebook_retravaill!M982))</f>
        <v>23434.242163494011</v>
      </c>
    </row>
    <row r="983" spans="1:12">
      <c r="A983">
        <f>[1]Result_notebook_retravaill!A983</f>
        <v>2035</v>
      </c>
      <c r="B983" t="str">
        <f>[1]Result_notebook_retravaill!B983</f>
        <v>Lithium</v>
      </c>
      <c r="C983" t="str">
        <f>[1]Result_notebook_retravaill!C983</f>
        <v>Current Measures</v>
      </c>
      <c r="D983" t="str">
        <f>[1]Result_notebook_retravaill!D983</f>
        <v>Existing production</v>
      </c>
      <c r="E983" t="str">
        <f>[1]Result_notebook_retravaill!E983</f>
        <v>Current shares</v>
      </c>
      <c r="F983" t="str">
        <f>[1]Result_notebook_retravaill!F983</f>
        <v>Status Quo</v>
      </c>
      <c r="G983">
        <f>[1]Result_notebook_retravaill!G983</f>
        <v>23434.242163494011</v>
      </c>
      <c r="H983" s="3">
        <f>IF([1]Result_notebook_retravaill!I983&gt;[1]Result_notebook_retravaill!G983,[1]Result_notebook_retravaill!I983/[1]Result_notebook_retravaill!N983,[1]Result_notebook_retravaill!H983)</f>
        <v>35913.102161512041</v>
      </c>
      <c r="I983" s="3">
        <f>[1]Result_notebook_retravaill!K983</f>
        <v>0</v>
      </c>
      <c r="J983" s="3">
        <f>MIN(G983,[1]Result_notebook_retravaill!I983)</f>
        <v>23434.242163494011</v>
      </c>
      <c r="K983" s="3">
        <f>IF([1]Result_notebook_retravaill!I983&gt;[1]Result_notebook_retravaill!G983,0,IF([1]Result_notebook_retravaill!I983+[1]Result_notebook_retravaill!J983&gt;[1]Result_notebook_retravaill!G983,[1]Result_notebook_retravaill!G983-[1]Result_notebook_retravaill!I983,[1]Result_notebook_retravaill!J983))</f>
        <v>0</v>
      </c>
      <c r="L983" s="3">
        <f>IF([1]Result_notebook_retravaill!I983&gt;[1]Result_notebook_retravaill!G983,0,IF([1]Result_notebook_retravaill!I983+[1]Result_notebook_retravaill!J983&gt;[1]Result_notebook_retravaill!G983,0,[1]Result_notebook_retravaill!M983))</f>
        <v>0</v>
      </c>
    </row>
    <row r="984" spans="1:12">
      <c r="A984">
        <f>[1]Result_notebook_retravaill!A984</f>
        <v>2035</v>
      </c>
      <c r="B984" t="str">
        <f>[1]Result_notebook_retravaill!B984</f>
        <v>Lithium</v>
      </c>
      <c r="C984" t="str">
        <f>[1]Result_notebook_retravaill!C984</f>
        <v>Current Measures</v>
      </c>
      <c r="D984" t="str">
        <f>[1]Result_notebook_retravaill!D984</f>
        <v>Production potential</v>
      </c>
      <c r="E984" t="str">
        <f>[1]Result_notebook_retravaill!E984</f>
        <v>Current shares</v>
      </c>
      <c r="F984" t="str">
        <f>[1]Result_notebook_retravaill!F984</f>
        <v>Expansion Extractive</v>
      </c>
      <c r="G984">
        <f>[1]Result_notebook_retravaill!G984</f>
        <v>23434.242163494011</v>
      </c>
      <c r="H984" s="3">
        <f>IF([1]Result_notebook_retravaill!I984&gt;[1]Result_notebook_retravaill!G984,[1]Result_notebook_retravaill!I984/[1]Result_notebook_retravaill!N984,[1]Result_notebook_retravaill!H984)</f>
        <v>129722.66571102699</v>
      </c>
      <c r="I984" s="3">
        <f>[1]Result_notebook_retravaill!K984</f>
        <v>0</v>
      </c>
      <c r="J984" s="3">
        <f>MIN(G984,[1]Result_notebook_retravaill!I984)</f>
        <v>23434.242163494011</v>
      </c>
      <c r="K984" s="3">
        <f>IF([1]Result_notebook_retravaill!I984&gt;[1]Result_notebook_retravaill!G984,0,IF([1]Result_notebook_retravaill!I984+[1]Result_notebook_retravaill!J984&gt;[1]Result_notebook_retravaill!G984,[1]Result_notebook_retravaill!G984-[1]Result_notebook_retravaill!I984,[1]Result_notebook_retravaill!J984))</f>
        <v>0</v>
      </c>
      <c r="L984" s="3">
        <f>IF([1]Result_notebook_retravaill!I984&gt;[1]Result_notebook_retravaill!G984,0,IF([1]Result_notebook_retravaill!I984+[1]Result_notebook_retravaill!J984&gt;[1]Result_notebook_retravaill!G984,0,[1]Result_notebook_retravaill!M984))</f>
        <v>0</v>
      </c>
    </row>
    <row r="985" spans="1:12">
      <c r="A985">
        <f>[1]Result_notebook_retravaill!A985</f>
        <v>2035</v>
      </c>
      <c r="B985" t="str">
        <f>[1]Result_notebook_retravaill!B985</f>
        <v>Lithium</v>
      </c>
      <c r="C985" t="str">
        <f>[1]Result_notebook_retravaill!C985</f>
        <v>Current Measures</v>
      </c>
      <c r="D985" t="str">
        <f>[1]Result_notebook_retravaill!D985</f>
        <v>Production potential</v>
      </c>
      <c r="E985" t="str">
        <f>[1]Result_notebook_retravaill!E985</f>
        <v>Current shares</v>
      </c>
      <c r="F985" t="str">
        <f>[1]Result_notebook_retravaill!F985</f>
        <v>Expansion Extractive+Circularity</v>
      </c>
      <c r="G985">
        <f>[1]Result_notebook_retravaill!G985</f>
        <v>23434.242163494011</v>
      </c>
      <c r="H985" s="3">
        <f>IF([1]Result_notebook_retravaill!I985&gt;[1]Result_notebook_retravaill!G985,[1]Result_notebook_retravaill!I985/[1]Result_notebook_retravaill!N985,[1]Result_notebook_retravaill!H985)</f>
        <v>129722.66571102699</v>
      </c>
      <c r="I985" s="3">
        <f>[1]Result_notebook_retravaill!K985</f>
        <v>0</v>
      </c>
      <c r="J985" s="3">
        <f>MIN(G985,[1]Result_notebook_retravaill!I985)</f>
        <v>23434.242163494011</v>
      </c>
      <c r="K985" s="3">
        <f>IF([1]Result_notebook_retravaill!I985&gt;[1]Result_notebook_retravaill!G985,0,IF([1]Result_notebook_retravaill!I985+[1]Result_notebook_retravaill!J985&gt;[1]Result_notebook_retravaill!G985,[1]Result_notebook_retravaill!G985-[1]Result_notebook_retravaill!I985,[1]Result_notebook_retravaill!J985))</f>
        <v>0</v>
      </c>
      <c r="L985" s="3">
        <f>IF([1]Result_notebook_retravaill!I985&gt;[1]Result_notebook_retravaill!G985,0,IF([1]Result_notebook_retravaill!I985+[1]Result_notebook_retravaill!J985&gt;[1]Result_notebook_retravaill!G985,0,[1]Result_notebook_retravaill!M985))</f>
        <v>0</v>
      </c>
    </row>
    <row r="986" spans="1:12">
      <c r="A986">
        <f>[1]Result_notebook_retravaill!A986</f>
        <v>2035</v>
      </c>
      <c r="B986" t="str">
        <f>[1]Result_notebook_retravaill!B986</f>
        <v>Lithium</v>
      </c>
      <c r="C986" t="str">
        <f>[1]Result_notebook_retravaill!C986</f>
        <v>Current Measures</v>
      </c>
      <c r="D986" t="str">
        <f>[1]Result_notebook_retravaill!D986</f>
        <v>Production potential</v>
      </c>
      <c r="E986" t="str">
        <f>[1]Result_notebook_retravaill!E986</f>
        <v>100% CAN</v>
      </c>
      <c r="F986" t="str">
        <f>[1]Result_notebook_retravaill!F986</f>
        <v>Integrated</v>
      </c>
      <c r="G986">
        <f>[1]Result_notebook_retravaill!G986</f>
        <v>23434.242163494011</v>
      </c>
      <c r="H986" s="3">
        <f>IF([1]Result_notebook_retravaill!I986&gt;[1]Result_notebook_retravaill!G986,[1]Result_notebook_retravaill!I986/[1]Result_notebook_retravaill!N986,[1]Result_notebook_retravaill!H986)</f>
        <v>129722.66571102699</v>
      </c>
      <c r="I986" s="3">
        <f>[1]Result_notebook_retravaill!K986</f>
        <v>0</v>
      </c>
      <c r="J986" s="3">
        <f>MIN(G986,[1]Result_notebook_retravaill!I986)</f>
        <v>23434.242163494011</v>
      </c>
      <c r="K986" s="3">
        <f>IF([1]Result_notebook_retravaill!I986&gt;[1]Result_notebook_retravaill!G986,0,IF([1]Result_notebook_retravaill!I986+[1]Result_notebook_retravaill!J986&gt;[1]Result_notebook_retravaill!G986,[1]Result_notebook_retravaill!G986-[1]Result_notebook_retravaill!I986,[1]Result_notebook_retravaill!J986))</f>
        <v>0</v>
      </c>
      <c r="L986" s="3">
        <f>IF([1]Result_notebook_retravaill!I986&gt;[1]Result_notebook_retravaill!G986,0,IF([1]Result_notebook_retravaill!I986+[1]Result_notebook_retravaill!J986&gt;[1]Result_notebook_retravaill!G986,0,[1]Result_notebook_retravaill!M986))</f>
        <v>0</v>
      </c>
    </row>
    <row r="987" spans="1:12">
      <c r="A987">
        <f>[1]Result_notebook_retravaill!A987</f>
        <v>2035</v>
      </c>
      <c r="B987" t="str">
        <f>[1]Result_notebook_retravaill!B987</f>
        <v>Lithium</v>
      </c>
      <c r="C987" t="str">
        <f>[1]Result_notebook_retravaill!C987</f>
        <v>Global Net-zero</v>
      </c>
      <c r="D987" t="str">
        <f>[1]Result_notebook_retravaill!D987</f>
        <v>Existing production</v>
      </c>
      <c r="E987" t="str">
        <f>[1]Result_notebook_retravaill!E987</f>
        <v>Current shares</v>
      </c>
      <c r="F987" t="str">
        <f>[1]Result_notebook_retravaill!F987</f>
        <v>NIMBY</v>
      </c>
      <c r="G987">
        <f>[1]Result_notebook_retravaill!G987</f>
        <v>59165.940947355157</v>
      </c>
      <c r="H987" s="3">
        <f>IF([1]Result_notebook_retravaill!I987&gt;[1]Result_notebook_retravaill!G987,[1]Result_notebook_retravaill!I987/[1]Result_notebook_retravaill!N987,[1]Result_notebook_retravaill!H987)</f>
        <v>0</v>
      </c>
      <c r="I987" s="3">
        <f>[1]Result_notebook_retravaill!K987</f>
        <v>84522.772781935942</v>
      </c>
      <c r="J987" s="3">
        <f>MIN(G987,[1]Result_notebook_retravaill!I987)</f>
        <v>0</v>
      </c>
      <c r="K987" s="3">
        <f>IF([1]Result_notebook_retravaill!I987&gt;[1]Result_notebook_retravaill!G987,0,IF([1]Result_notebook_retravaill!I987+[1]Result_notebook_retravaill!J987&gt;[1]Result_notebook_retravaill!G987,[1]Result_notebook_retravaill!G987-[1]Result_notebook_retravaill!I987,[1]Result_notebook_retravaill!J987))</f>
        <v>0</v>
      </c>
      <c r="L987" s="3">
        <f>IF([1]Result_notebook_retravaill!I987&gt;[1]Result_notebook_retravaill!G987,0,IF([1]Result_notebook_retravaill!I987+[1]Result_notebook_retravaill!J987&gt;[1]Result_notebook_retravaill!G987,0,[1]Result_notebook_retravaill!M987))</f>
        <v>59165.940947355157</v>
      </c>
    </row>
    <row r="988" spans="1:12">
      <c r="A988">
        <f>[1]Result_notebook_retravaill!A988</f>
        <v>2035</v>
      </c>
      <c r="B988" t="str">
        <f>[1]Result_notebook_retravaill!B988</f>
        <v>Lithium</v>
      </c>
      <c r="C988" t="str">
        <f>[1]Result_notebook_retravaill!C988</f>
        <v>Global Net-zero</v>
      </c>
      <c r="D988" t="str">
        <f>[1]Result_notebook_retravaill!D988</f>
        <v>Existing production</v>
      </c>
      <c r="E988" t="str">
        <f>[1]Result_notebook_retravaill!E988</f>
        <v>Current shares</v>
      </c>
      <c r="F988" t="str">
        <f>[1]Result_notebook_retravaill!F988</f>
        <v>Status Quo</v>
      </c>
      <c r="G988">
        <f>[1]Result_notebook_retravaill!G988</f>
        <v>59165.940947355157</v>
      </c>
      <c r="H988" s="3">
        <f>IF([1]Result_notebook_retravaill!I988&gt;[1]Result_notebook_retravaill!G988,[1]Result_notebook_retravaill!I988/[1]Result_notebook_retravaill!N988,[1]Result_notebook_retravaill!H988)</f>
        <v>40453</v>
      </c>
      <c r="I988" s="3">
        <f>[1]Result_notebook_retravaill!K988</f>
        <v>44069.772781935942</v>
      </c>
      <c r="J988" s="3">
        <f>MIN(G988,[1]Result_notebook_retravaill!I988)</f>
        <v>28283.5430599463</v>
      </c>
      <c r="K988" s="3">
        <f>IF([1]Result_notebook_retravaill!I988&gt;[1]Result_notebook_retravaill!G988,0,IF([1]Result_notebook_retravaill!I988+[1]Result_notebook_retravaill!J988&gt;[1]Result_notebook_retravaill!G988,[1]Result_notebook_retravaill!G988-[1]Result_notebook_retravaill!I988,[1]Result_notebook_retravaill!J988))</f>
        <v>3575.4192279229464</v>
      </c>
      <c r="L988" s="3">
        <f>IF([1]Result_notebook_retravaill!I988&gt;[1]Result_notebook_retravaill!G988,0,IF([1]Result_notebook_retravaill!I988+[1]Result_notebook_retravaill!J988&gt;[1]Result_notebook_retravaill!G988,0,[1]Result_notebook_retravaill!M988))</f>
        <v>27306.978659485914</v>
      </c>
    </row>
    <row r="989" spans="1:12">
      <c r="A989">
        <f>[1]Result_notebook_retravaill!A989</f>
        <v>2035</v>
      </c>
      <c r="B989" t="str">
        <f>[1]Result_notebook_retravaill!B989</f>
        <v>Lithium</v>
      </c>
      <c r="C989" t="str">
        <f>[1]Result_notebook_retravaill!C989</f>
        <v>Global Net-zero</v>
      </c>
      <c r="D989" t="str">
        <f>[1]Result_notebook_retravaill!D989</f>
        <v>Production potential</v>
      </c>
      <c r="E989" t="str">
        <f>[1]Result_notebook_retravaill!E989</f>
        <v>Current shares</v>
      </c>
      <c r="F989" t="str">
        <f>[1]Result_notebook_retravaill!F989</f>
        <v>Expansion Extractive</v>
      </c>
      <c r="G989">
        <f>[1]Result_notebook_retravaill!G989</f>
        <v>59165.940947355157</v>
      </c>
      <c r="H989" s="3">
        <f>IF([1]Result_notebook_retravaill!I989&gt;[1]Result_notebook_retravaill!G989,[1]Result_notebook_retravaill!I989/[1]Result_notebook_retravaill!N989,[1]Result_notebook_retravaill!H989)</f>
        <v>129722.66571102699</v>
      </c>
      <c r="I989" s="3">
        <f>[1]Result_notebook_retravaill!K989</f>
        <v>0</v>
      </c>
      <c r="J989" s="3">
        <f>MIN(G989,[1]Result_notebook_retravaill!I989)</f>
        <v>59165.940947355157</v>
      </c>
      <c r="K989" s="3">
        <f>IF([1]Result_notebook_retravaill!I989&gt;[1]Result_notebook_retravaill!G989,0,IF([1]Result_notebook_retravaill!I989+[1]Result_notebook_retravaill!J989&gt;[1]Result_notebook_retravaill!G989,[1]Result_notebook_retravaill!G989-[1]Result_notebook_retravaill!I989,[1]Result_notebook_retravaill!J989))</f>
        <v>0</v>
      </c>
      <c r="L989" s="3">
        <f>IF([1]Result_notebook_retravaill!I989&gt;[1]Result_notebook_retravaill!G989,0,IF([1]Result_notebook_retravaill!I989+[1]Result_notebook_retravaill!J989&gt;[1]Result_notebook_retravaill!G989,0,[1]Result_notebook_retravaill!M989))</f>
        <v>0</v>
      </c>
    </row>
    <row r="990" spans="1:12">
      <c r="A990">
        <f>[1]Result_notebook_retravaill!A990</f>
        <v>2035</v>
      </c>
      <c r="B990" t="str">
        <f>[1]Result_notebook_retravaill!B990</f>
        <v>Lithium</v>
      </c>
      <c r="C990" t="str">
        <f>[1]Result_notebook_retravaill!C990</f>
        <v>Global Net-zero</v>
      </c>
      <c r="D990" t="str">
        <f>[1]Result_notebook_retravaill!D990</f>
        <v>Production potential</v>
      </c>
      <c r="E990" t="str">
        <f>[1]Result_notebook_retravaill!E990</f>
        <v>Current shares</v>
      </c>
      <c r="F990" t="str">
        <f>[1]Result_notebook_retravaill!F990</f>
        <v>Expansion Extractive+Circularity</v>
      </c>
      <c r="G990">
        <f>[1]Result_notebook_retravaill!G990</f>
        <v>59165.940947355157</v>
      </c>
      <c r="H990" s="3">
        <f>IF([1]Result_notebook_retravaill!I990&gt;[1]Result_notebook_retravaill!G990,[1]Result_notebook_retravaill!I990/[1]Result_notebook_retravaill!N990,[1]Result_notebook_retravaill!H990)</f>
        <v>129722.66571102699</v>
      </c>
      <c r="I990" s="3">
        <f>[1]Result_notebook_retravaill!K990</f>
        <v>0</v>
      </c>
      <c r="J990" s="3">
        <f>MIN(G990,[1]Result_notebook_retravaill!I990)</f>
        <v>59165.940947355157</v>
      </c>
      <c r="K990" s="3">
        <f>IF([1]Result_notebook_retravaill!I990&gt;[1]Result_notebook_retravaill!G990,0,IF([1]Result_notebook_retravaill!I990+[1]Result_notebook_retravaill!J990&gt;[1]Result_notebook_retravaill!G990,[1]Result_notebook_retravaill!G990-[1]Result_notebook_retravaill!I990,[1]Result_notebook_retravaill!J990))</f>
        <v>0</v>
      </c>
      <c r="L990" s="3">
        <f>IF([1]Result_notebook_retravaill!I990&gt;[1]Result_notebook_retravaill!G990,0,IF([1]Result_notebook_retravaill!I990+[1]Result_notebook_retravaill!J990&gt;[1]Result_notebook_retravaill!G990,0,[1]Result_notebook_retravaill!M990))</f>
        <v>0</v>
      </c>
    </row>
    <row r="991" spans="1:12">
      <c r="A991">
        <f>[1]Result_notebook_retravaill!A991</f>
        <v>2035</v>
      </c>
      <c r="B991" t="str">
        <f>[1]Result_notebook_retravaill!B991</f>
        <v>Lithium</v>
      </c>
      <c r="C991" t="str">
        <f>[1]Result_notebook_retravaill!C991</f>
        <v>Global Net-zero</v>
      </c>
      <c r="D991" t="str">
        <f>[1]Result_notebook_retravaill!D991</f>
        <v>Production potential</v>
      </c>
      <c r="E991" t="str">
        <f>[1]Result_notebook_retravaill!E991</f>
        <v>100% CAN</v>
      </c>
      <c r="F991" t="str">
        <f>[1]Result_notebook_retravaill!F991</f>
        <v>Integrated</v>
      </c>
      <c r="G991">
        <f>[1]Result_notebook_retravaill!G991</f>
        <v>59165.940947355157</v>
      </c>
      <c r="H991" s="3">
        <f>IF([1]Result_notebook_retravaill!I991&gt;[1]Result_notebook_retravaill!G991,[1]Result_notebook_retravaill!I991/[1]Result_notebook_retravaill!N991,[1]Result_notebook_retravaill!H991)</f>
        <v>129722.66571102699</v>
      </c>
      <c r="I991" s="3">
        <f>[1]Result_notebook_retravaill!K991</f>
        <v>0</v>
      </c>
      <c r="J991" s="3">
        <f>MIN(G991,[1]Result_notebook_retravaill!I991)</f>
        <v>59165.940947355157</v>
      </c>
      <c r="K991" s="3">
        <f>IF([1]Result_notebook_retravaill!I991&gt;[1]Result_notebook_retravaill!G991,0,IF([1]Result_notebook_retravaill!I991+[1]Result_notebook_retravaill!J991&gt;[1]Result_notebook_retravaill!G991,[1]Result_notebook_retravaill!G991-[1]Result_notebook_retravaill!I991,[1]Result_notebook_retravaill!J991))</f>
        <v>0</v>
      </c>
      <c r="L991" s="3">
        <f>IF([1]Result_notebook_retravaill!I991&gt;[1]Result_notebook_retravaill!G991,0,IF([1]Result_notebook_retravaill!I991+[1]Result_notebook_retravaill!J991&gt;[1]Result_notebook_retravaill!G991,0,[1]Result_notebook_retravaill!M991))</f>
        <v>0</v>
      </c>
    </row>
    <row r="992" spans="1:12">
      <c r="A992">
        <f>[1]Result_notebook_retravaill!A992</f>
        <v>2036</v>
      </c>
      <c r="B992" t="str">
        <f>[1]Result_notebook_retravaill!B992</f>
        <v>Cobalt</v>
      </c>
      <c r="C992" t="str">
        <f>[1]Result_notebook_retravaill!C992</f>
        <v>Canada Net-zero</v>
      </c>
      <c r="D992" t="str">
        <f>[1]Result_notebook_retravaill!D992</f>
        <v>Existing production</v>
      </c>
      <c r="E992" t="str">
        <f>[1]Result_notebook_retravaill!E992</f>
        <v>Current shares</v>
      </c>
      <c r="F992" t="str">
        <f>[1]Result_notebook_retravaill!F992</f>
        <v>NIMBY</v>
      </c>
      <c r="G992">
        <f>[1]Result_notebook_retravaill!G992</f>
        <v>173899.7327411345</v>
      </c>
      <c r="H992" s="3">
        <f>IF([1]Result_notebook_retravaill!I992&gt;[1]Result_notebook_retravaill!G992,[1]Result_notebook_retravaill!I992/[1]Result_notebook_retravaill!N992,[1]Result_notebook_retravaill!H992)</f>
        <v>0</v>
      </c>
      <c r="I992" s="3">
        <f>[1]Result_notebook_retravaill!K992</f>
        <v>395226.66532076022</v>
      </c>
      <c r="J992" s="3">
        <f>MIN(G992,[1]Result_notebook_retravaill!I992)</f>
        <v>0</v>
      </c>
      <c r="K992" s="3">
        <f>IF([1]Result_notebook_retravaill!I992&gt;[1]Result_notebook_retravaill!G992,0,IF([1]Result_notebook_retravaill!I992+[1]Result_notebook_retravaill!J992&gt;[1]Result_notebook_retravaill!G992,[1]Result_notebook_retravaill!G992-[1]Result_notebook_retravaill!I992,[1]Result_notebook_retravaill!J992))</f>
        <v>0</v>
      </c>
      <c r="L992" s="3">
        <f>IF([1]Result_notebook_retravaill!I992&gt;[1]Result_notebook_retravaill!G992,0,IF([1]Result_notebook_retravaill!I992+[1]Result_notebook_retravaill!J992&gt;[1]Result_notebook_retravaill!G992,0,[1]Result_notebook_retravaill!M992))</f>
        <v>173899.7327411345</v>
      </c>
    </row>
    <row r="993" spans="1:12">
      <c r="A993">
        <f>[1]Result_notebook_retravaill!A993</f>
        <v>2036</v>
      </c>
      <c r="B993" t="str">
        <f>[1]Result_notebook_retravaill!B993</f>
        <v>Cobalt</v>
      </c>
      <c r="C993" t="str">
        <f>[1]Result_notebook_retravaill!C993</f>
        <v>Canada Net-zero</v>
      </c>
      <c r="D993" t="str">
        <f>[1]Result_notebook_retravaill!D993</f>
        <v>Existing production</v>
      </c>
      <c r="E993" t="str">
        <f>[1]Result_notebook_retravaill!E993</f>
        <v>Current shares</v>
      </c>
      <c r="F993" t="str">
        <f>[1]Result_notebook_retravaill!F993</f>
        <v>Status Quo</v>
      </c>
      <c r="G993">
        <f>[1]Result_notebook_retravaill!G993</f>
        <v>173899.7327411345</v>
      </c>
      <c r="H993" s="3">
        <f>IF([1]Result_notebook_retravaill!I993&gt;[1]Result_notebook_retravaill!G993,[1]Result_notebook_retravaill!I993/[1]Result_notebook_retravaill!N993,[1]Result_notebook_retravaill!H993)</f>
        <v>2837</v>
      </c>
      <c r="I993" s="3">
        <f>[1]Result_notebook_retravaill!K993</f>
        <v>392389.66532076022</v>
      </c>
      <c r="J993" s="3">
        <f>MIN(G993,[1]Result_notebook_retravaill!I993)</f>
        <v>1203.4038470959081</v>
      </c>
      <c r="K993" s="3">
        <f>IF([1]Result_notebook_retravaill!I993&gt;[1]Result_notebook_retravaill!G993,0,IF([1]Result_notebook_retravaill!I993+[1]Result_notebook_retravaill!J993&gt;[1]Result_notebook_retravaill!G993,[1]Result_notebook_retravaill!G993-[1]Result_notebook_retravaill!I993,[1]Result_notebook_retravaill!J993))</f>
        <v>43.022359758048424</v>
      </c>
      <c r="L993" s="3">
        <f>IF([1]Result_notebook_retravaill!I993&gt;[1]Result_notebook_retravaill!G993,0,IF([1]Result_notebook_retravaill!I993+[1]Result_notebook_retravaill!J993&gt;[1]Result_notebook_retravaill!G993,0,[1]Result_notebook_retravaill!M993))</f>
        <v>172653.30653428053</v>
      </c>
    </row>
    <row r="994" spans="1:12">
      <c r="A994">
        <f>[1]Result_notebook_retravaill!A994</f>
        <v>2036</v>
      </c>
      <c r="B994" t="str">
        <f>[1]Result_notebook_retravaill!B994</f>
        <v>Cobalt</v>
      </c>
      <c r="C994" t="str">
        <f>[1]Result_notebook_retravaill!C994</f>
        <v>Canada Net-zero</v>
      </c>
      <c r="D994" t="str">
        <f>[1]Result_notebook_retravaill!D994</f>
        <v>Production potential</v>
      </c>
      <c r="E994" t="str">
        <f>[1]Result_notebook_retravaill!E994</f>
        <v>Current shares</v>
      </c>
      <c r="F994" t="str">
        <f>[1]Result_notebook_retravaill!F994</f>
        <v>Expansion Extractive</v>
      </c>
      <c r="G994">
        <f>[1]Result_notebook_retravaill!G994</f>
        <v>173899.7327411345</v>
      </c>
      <c r="H994" s="3">
        <f>IF([1]Result_notebook_retravaill!I994&gt;[1]Result_notebook_retravaill!G994,[1]Result_notebook_retravaill!I994/[1]Result_notebook_retravaill!N994,[1]Result_notebook_retravaill!H994)</f>
        <v>17802.59181720679</v>
      </c>
      <c r="I994" s="3">
        <f>[1]Result_notebook_retravaill!K994</f>
        <v>377424.0735035534</v>
      </c>
      <c r="J994" s="3">
        <f>MIN(G994,[1]Result_notebook_retravaill!I994)</f>
        <v>7551.5359468116967</v>
      </c>
      <c r="K994" s="3">
        <f>IF([1]Result_notebook_retravaill!I994&gt;[1]Result_notebook_retravaill!G994,0,IF([1]Result_notebook_retravaill!I994+[1]Result_notebook_retravaill!J994&gt;[1]Result_notebook_retravaill!G994,[1]Result_notebook_retravaill!G994-[1]Result_notebook_retravaill!I994,[1]Result_notebook_retravaill!J994))</f>
        <v>269.97162840520377</v>
      </c>
      <c r="L994" s="3">
        <f>IF([1]Result_notebook_retravaill!I994&gt;[1]Result_notebook_retravaill!G994,0,IF([1]Result_notebook_retravaill!I994+[1]Result_notebook_retravaill!J994&gt;[1]Result_notebook_retravaill!G994,0,[1]Result_notebook_retravaill!M994))</f>
        <v>166078.2251659176</v>
      </c>
    </row>
    <row r="995" spans="1:12">
      <c r="A995">
        <f>[1]Result_notebook_retravaill!A995</f>
        <v>2036</v>
      </c>
      <c r="B995" t="str">
        <f>[1]Result_notebook_retravaill!B995</f>
        <v>Cobalt</v>
      </c>
      <c r="C995" t="str">
        <f>[1]Result_notebook_retravaill!C995</f>
        <v>Canada Net-zero</v>
      </c>
      <c r="D995" t="str">
        <f>[1]Result_notebook_retravaill!D995</f>
        <v>Production potential</v>
      </c>
      <c r="E995" t="str">
        <f>[1]Result_notebook_retravaill!E995</f>
        <v>Current shares</v>
      </c>
      <c r="F995" t="str">
        <f>[1]Result_notebook_retravaill!F995</f>
        <v>Expansion Extractive+Circularity</v>
      </c>
      <c r="G995">
        <f>[1]Result_notebook_retravaill!G995</f>
        <v>173899.7327411345</v>
      </c>
      <c r="H995" s="3">
        <f>IF([1]Result_notebook_retravaill!I995&gt;[1]Result_notebook_retravaill!G995,[1]Result_notebook_retravaill!I995/[1]Result_notebook_retravaill!N995,[1]Result_notebook_retravaill!H995)</f>
        <v>17802.59181720679</v>
      </c>
      <c r="I995" s="3">
        <f>[1]Result_notebook_retravaill!K995</f>
        <v>377424.0735035534</v>
      </c>
      <c r="J995" s="3">
        <f>MIN(G995,[1]Result_notebook_retravaill!I995)</f>
        <v>7551.5359468116967</v>
      </c>
      <c r="K995" s="3">
        <f>IF([1]Result_notebook_retravaill!I995&gt;[1]Result_notebook_retravaill!G995,0,IF([1]Result_notebook_retravaill!I995+[1]Result_notebook_retravaill!J995&gt;[1]Result_notebook_retravaill!G995,[1]Result_notebook_retravaill!G995-[1]Result_notebook_retravaill!I995,[1]Result_notebook_retravaill!J995))</f>
        <v>269.97162840520377</v>
      </c>
      <c r="L995" s="3">
        <f>IF([1]Result_notebook_retravaill!I995&gt;[1]Result_notebook_retravaill!G995,0,IF([1]Result_notebook_retravaill!I995+[1]Result_notebook_retravaill!J995&gt;[1]Result_notebook_retravaill!G995,0,[1]Result_notebook_retravaill!M995))</f>
        <v>166078.2251659176</v>
      </c>
    </row>
    <row r="996" spans="1:12">
      <c r="A996">
        <f>[1]Result_notebook_retravaill!A996</f>
        <v>2036</v>
      </c>
      <c r="B996" t="str">
        <f>[1]Result_notebook_retravaill!B996</f>
        <v>Cobalt</v>
      </c>
      <c r="C996" t="str">
        <f>[1]Result_notebook_retravaill!C996</f>
        <v>Canada Net-zero</v>
      </c>
      <c r="D996" t="str">
        <f>[1]Result_notebook_retravaill!D996</f>
        <v>Production potential</v>
      </c>
      <c r="E996" t="str">
        <f>[1]Result_notebook_retravaill!E996</f>
        <v>100% CAN</v>
      </c>
      <c r="F996" t="str">
        <f>[1]Result_notebook_retravaill!F996</f>
        <v>Integrated</v>
      </c>
      <c r="G996">
        <f>[1]Result_notebook_retravaill!G996</f>
        <v>173899.7327411345</v>
      </c>
      <c r="H996" s="3">
        <f>IF([1]Result_notebook_retravaill!I996&gt;[1]Result_notebook_retravaill!G996,[1]Result_notebook_retravaill!I996/[1]Result_notebook_retravaill!N996,[1]Result_notebook_retravaill!H996)</f>
        <v>17802.59181720679</v>
      </c>
      <c r="I996" s="3">
        <f>[1]Result_notebook_retravaill!K996</f>
        <v>377424.0735035534</v>
      </c>
      <c r="J996" s="3">
        <f>MIN(G996,[1]Result_notebook_retravaill!I996)</f>
        <v>7821.5075752169087</v>
      </c>
      <c r="K996" s="3">
        <f>IF([1]Result_notebook_retravaill!I996&gt;[1]Result_notebook_retravaill!G996,0,IF([1]Result_notebook_retravaill!I996+[1]Result_notebook_retravaill!J996&gt;[1]Result_notebook_retravaill!G996,[1]Result_notebook_retravaill!G996-[1]Result_notebook_retravaill!I996,[1]Result_notebook_retravaill!J996))</f>
        <v>-8.1854523159563541E-12</v>
      </c>
      <c r="L996" s="3">
        <f>IF([1]Result_notebook_retravaill!I996&gt;[1]Result_notebook_retravaill!G996,0,IF([1]Result_notebook_retravaill!I996+[1]Result_notebook_retravaill!J996&gt;[1]Result_notebook_retravaill!G996,0,[1]Result_notebook_retravaill!M996))</f>
        <v>166078.2251659176</v>
      </c>
    </row>
    <row r="997" spans="1:12">
      <c r="A997">
        <f>[1]Result_notebook_retravaill!A997</f>
        <v>2036</v>
      </c>
      <c r="B997" t="str">
        <f>[1]Result_notebook_retravaill!B997</f>
        <v>Cobalt</v>
      </c>
      <c r="C997" t="str">
        <f>[1]Result_notebook_retravaill!C997</f>
        <v>Current Measures</v>
      </c>
      <c r="D997" t="str">
        <f>[1]Result_notebook_retravaill!D997</f>
        <v>Existing production</v>
      </c>
      <c r="E997" t="str">
        <f>[1]Result_notebook_retravaill!E997</f>
        <v>Current shares</v>
      </c>
      <c r="F997" t="str">
        <f>[1]Result_notebook_retravaill!F997</f>
        <v>NIMBY</v>
      </c>
      <c r="G997">
        <f>[1]Result_notebook_retravaill!G997</f>
        <v>65955.730277636801</v>
      </c>
      <c r="H997" s="3">
        <f>IF([1]Result_notebook_retravaill!I997&gt;[1]Result_notebook_retravaill!G997,[1]Result_notebook_retravaill!I997/[1]Result_notebook_retravaill!N997,[1]Result_notebook_retravaill!H997)</f>
        <v>0</v>
      </c>
      <c r="I997" s="3">
        <f>[1]Result_notebook_retravaill!K997</f>
        <v>149899.38699462911</v>
      </c>
      <c r="J997" s="3">
        <f>MIN(G997,[1]Result_notebook_retravaill!I997)</f>
        <v>0</v>
      </c>
      <c r="K997" s="3">
        <f>IF([1]Result_notebook_retravaill!I997&gt;[1]Result_notebook_retravaill!G997,0,IF([1]Result_notebook_retravaill!I997+[1]Result_notebook_retravaill!J997&gt;[1]Result_notebook_retravaill!G997,[1]Result_notebook_retravaill!G997-[1]Result_notebook_retravaill!I997,[1]Result_notebook_retravaill!J997))</f>
        <v>0</v>
      </c>
      <c r="L997" s="3">
        <f>IF([1]Result_notebook_retravaill!I997&gt;[1]Result_notebook_retravaill!G997,0,IF([1]Result_notebook_retravaill!I997+[1]Result_notebook_retravaill!J997&gt;[1]Result_notebook_retravaill!G997,0,[1]Result_notebook_retravaill!M997))</f>
        <v>65955.730277636801</v>
      </c>
    </row>
    <row r="998" spans="1:12">
      <c r="A998">
        <f>[1]Result_notebook_retravaill!A998</f>
        <v>2036</v>
      </c>
      <c r="B998" t="str">
        <f>[1]Result_notebook_retravaill!B998</f>
        <v>Cobalt</v>
      </c>
      <c r="C998" t="str">
        <f>[1]Result_notebook_retravaill!C998</f>
        <v>Current Measures</v>
      </c>
      <c r="D998" t="str">
        <f>[1]Result_notebook_retravaill!D998</f>
        <v>Existing production</v>
      </c>
      <c r="E998" t="str">
        <f>[1]Result_notebook_retravaill!E998</f>
        <v>Current shares</v>
      </c>
      <c r="F998" t="str">
        <f>[1]Result_notebook_retravaill!F998</f>
        <v>Status Quo</v>
      </c>
      <c r="G998">
        <f>[1]Result_notebook_retravaill!G998</f>
        <v>65955.730277636801</v>
      </c>
      <c r="H998" s="3">
        <f>IF([1]Result_notebook_retravaill!I998&gt;[1]Result_notebook_retravaill!G998,[1]Result_notebook_retravaill!I998/[1]Result_notebook_retravaill!N998,[1]Result_notebook_retravaill!H998)</f>
        <v>2837</v>
      </c>
      <c r="I998" s="3">
        <f>[1]Result_notebook_retravaill!K998</f>
        <v>147062.38699462911</v>
      </c>
      <c r="J998" s="3">
        <f>MIN(G998,[1]Result_notebook_retravaill!I998)</f>
        <v>1203.4038470959081</v>
      </c>
      <c r="K998" s="3">
        <f>IF([1]Result_notebook_retravaill!I998&gt;[1]Result_notebook_retravaill!G998,0,IF([1]Result_notebook_retravaill!I998+[1]Result_notebook_retravaill!J998&gt;[1]Result_notebook_retravaill!G998,[1]Result_notebook_retravaill!G998-[1]Result_notebook_retravaill!I998,[1]Result_notebook_retravaill!J998))</f>
        <v>43.022359758048424</v>
      </c>
      <c r="L998" s="3">
        <f>IF([1]Result_notebook_retravaill!I998&gt;[1]Result_notebook_retravaill!G998,0,IF([1]Result_notebook_retravaill!I998+[1]Result_notebook_retravaill!J998&gt;[1]Result_notebook_retravaill!G998,0,[1]Result_notebook_retravaill!M998))</f>
        <v>64709.304070782855</v>
      </c>
    </row>
    <row r="999" spans="1:12">
      <c r="A999">
        <f>[1]Result_notebook_retravaill!A999</f>
        <v>2036</v>
      </c>
      <c r="B999" t="str">
        <f>[1]Result_notebook_retravaill!B999</f>
        <v>Cobalt</v>
      </c>
      <c r="C999" t="str">
        <f>[1]Result_notebook_retravaill!C999</f>
        <v>Current Measures</v>
      </c>
      <c r="D999" t="str">
        <f>[1]Result_notebook_retravaill!D999</f>
        <v>Production potential</v>
      </c>
      <c r="E999" t="str">
        <f>[1]Result_notebook_retravaill!E999</f>
        <v>Current shares</v>
      </c>
      <c r="F999" t="str">
        <f>[1]Result_notebook_retravaill!F999</f>
        <v>Expansion Extractive</v>
      </c>
      <c r="G999">
        <f>[1]Result_notebook_retravaill!G999</f>
        <v>65955.730277636801</v>
      </c>
      <c r="H999" s="3">
        <f>IF([1]Result_notebook_retravaill!I999&gt;[1]Result_notebook_retravaill!G999,[1]Result_notebook_retravaill!I999/[1]Result_notebook_retravaill!N999,[1]Result_notebook_retravaill!H999)</f>
        <v>17802.59181720679</v>
      </c>
      <c r="I999" s="3">
        <f>[1]Result_notebook_retravaill!K999</f>
        <v>132096.79517742229</v>
      </c>
      <c r="J999" s="3">
        <f>MIN(G999,[1]Result_notebook_retravaill!I999)</f>
        <v>7551.5359468116967</v>
      </c>
      <c r="K999" s="3">
        <f>IF([1]Result_notebook_retravaill!I999&gt;[1]Result_notebook_retravaill!G999,0,IF([1]Result_notebook_retravaill!I999+[1]Result_notebook_retravaill!J999&gt;[1]Result_notebook_retravaill!G999,[1]Result_notebook_retravaill!G999-[1]Result_notebook_retravaill!I999,[1]Result_notebook_retravaill!J999))</f>
        <v>269.97162840520377</v>
      </c>
      <c r="L999" s="3">
        <f>IF([1]Result_notebook_retravaill!I999&gt;[1]Result_notebook_retravaill!G999,0,IF([1]Result_notebook_retravaill!I999+[1]Result_notebook_retravaill!J999&gt;[1]Result_notebook_retravaill!G999,0,[1]Result_notebook_retravaill!M999))</f>
        <v>58134.222702419902</v>
      </c>
    </row>
    <row r="1000" spans="1:12">
      <c r="A1000">
        <f>[1]Result_notebook_retravaill!A1000</f>
        <v>2036</v>
      </c>
      <c r="B1000" t="str">
        <f>[1]Result_notebook_retravaill!B1000</f>
        <v>Cobalt</v>
      </c>
      <c r="C1000" t="str">
        <f>[1]Result_notebook_retravaill!C1000</f>
        <v>Current Measures</v>
      </c>
      <c r="D1000" t="str">
        <f>[1]Result_notebook_retravaill!D1000</f>
        <v>Production potential</v>
      </c>
      <c r="E1000" t="str">
        <f>[1]Result_notebook_retravaill!E1000</f>
        <v>Current shares</v>
      </c>
      <c r="F1000" t="str">
        <f>[1]Result_notebook_retravaill!F1000</f>
        <v>Expansion Extractive+Circularity</v>
      </c>
      <c r="G1000">
        <f>[1]Result_notebook_retravaill!G1000</f>
        <v>65955.730277636801</v>
      </c>
      <c r="H1000" s="3">
        <f>IF([1]Result_notebook_retravaill!I1000&gt;[1]Result_notebook_retravaill!G1000,[1]Result_notebook_retravaill!I1000/[1]Result_notebook_retravaill!N1000,[1]Result_notebook_retravaill!H1000)</f>
        <v>17802.59181720679</v>
      </c>
      <c r="I1000" s="3">
        <f>[1]Result_notebook_retravaill!K1000</f>
        <v>132096.79517742229</v>
      </c>
      <c r="J1000" s="3">
        <f>MIN(G1000,[1]Result_notebook_retravaill!I1000)</f>
        <v>7551.5359468116967</v>
      </c>
      <c r="K1000" s="3">
        <f>IF([1]Result_notebook_retravaill!I1000&gt;[1]Result_notebook_retravaill!G1000,0,IF([1]Result_notebook_retravaill!I1000+[1]Result_notebook_retravaill!J1000&gt;[1]Result_notebook_retravaill!G1000,[1]Result_notebook_retravaill!G1000-[1]Result_notebook_retravaill!I1000,[1]Result_notebook_retravaill!J1000))</f>
        <v>269.97162840520377</v>
      </c>
      <c r="L1000" s="3">
        <f>IF([1]Result_notebook_retravaill!I1000&gt;[1]Result_notebook_retravaill!G1000,0,IF([1]Result_notebook_retravaill!I1000+[1]Result_notebook_retravaill!J1000&gt;[1]Result_notebook_retravaill!G1000,0,[1]Result_notebook_retravaill!M1000))</f>
        <v>58134.222702419902</v>
      </c>
    </row>
    <row r="1001" spans="1:12">
      <c r="A1001">
        <f>[1]Result_notebook_retravaill!A1001</f>
        <v>2036</v>
      </c>
      <c r="B1001" t="str">
        <f>[1]Result_notebook_retravaill!B1001</f>
        <v>Cobalt</v>
      </c>
      <c r="C1001" t="str">
        <f>[1]Result_notebook_retravaill!C1001</f>
        <v>Current Measures</v>
      </c>
      <c r="D1001" t="str">
        <f>[1]Result_notebook_retravaill!D1001</f>
        <v>Production potential</v>
      </c>
      <c r="E1001" t="str">
        <f>[1]Result_notebook_retravaill!E1001</f>
        <v>100% CAN</v>
      </c>
      <c r="F1001" t="str">
        <f>[1]Result_notebook_retravaill!F1001</f>
        <v>Integrated</v>
      </c>
      <c r="G1001">
        <f>[1]Result_notebook_retravaill!G1001</f>
        <v>65955.730277636801</v>
      </c>
      <c r="H1001" s="3">
        <f>IF([1]Result_notebook_retravaill!I1001&gt;[1]Result_notebook_retravaill!G1001,[1]Result_notebook_retravaill!I1001/[1]Result_notebook_retravaill!N1001,[1]Result_notebook_retravaill!H1001)</f>
        <v>17802.59181720679</v>
      </c>
      <c r="I1001" s="3">
        <f>[1]Result_notebook_retravaill!K1001</f>
        <v>132096.79517742229</v>
      </c>
      <c r="J1001" s="3">
        <f>MIN(G1001,[1]Result_notebook_retravaill!I1001)</f>
        <v>7821.5075752169087</v>
      </c>
      <c r="K1001" s="3">
        <f>IF([1]Result_notebook_retravaill!I1001&gt;[1]Result_notebook_retravaill!G1001,0,IF([1]Result_notebook_retravaill!I1001+[1]Result_notebook_retravaill!J1001&gt;[1]Result_notebook_retravaill!G1001,[1]Result_notebook_retravaill!G1001-[1]Result_notebook_retravaill!I1001,[1]Result_notebook_retravaill!J1001))</f>
        <v>-8.1854523159563541E-12</v>
      </c>
      <c r="L1001" s="3">
        <f>IF([1]Result_notebook_retravaill!I1001&gt;[1]Result_notebook_retravaill!G1001,0,IF([1]Result_notebook_retravaill!I1001+[1]Result_notebook_retravaill!J1001&gt;[1]Result_notebook_retravaill!G1001,0,[1]Result_notebook_retravaill!M1001))</f>
        <v>58134.222702419895</v>
      </c>
    </row>
    <row r="1002" spans="1:12">
      <c r="A1002">
        <f>[1]Result_notebook_retravaill!A1002</f>
        <v>2036</v>
      </c>
      <c r="B1002" t="str">
        <f>[1]Result_notebook_retravaill!B1002</f>
        <v>Cobalt</v>
      </c>
      <c r="C1002" t="str">
        <f>[1]Result_notebook_retravaill!C1002</f>
        <v>Global Net-zero</v>
      </c>
      <c r="D1002" t="str">
        <f>[1]Result_notebook_retravaill!D1002</f>
        <v>Existing production</v>
      </c>
      <c r="E1002" t="str">
        <f>[1]Result_notebook_retravaill!E1002</f>
        <v>Current shares</v>
      </c>
      <c r="F1002" t="str">
        <f>[1]Result_notebook_retravaill!F1002</f>
        <v>NIMBY</v>
      </c>
      <c r="G1002">
        <f>[1]Result_notebook_retravaill!G1002</f>
        <v>165496.51829818229</v>
      </c>
      <c r="H1002" s="3">
        <f>IF([1]Result_notebook_retravaill!I1002&gt;[1]Result_notebook_retravaill!G1002,[1]Result_notebook_retravaill!I1002/[1]Result_notebook_retravaill!N1002,[1]Result_notebook_retravaill!H1002)</f>
        <v>0</v>
      </c>
      <c r="I1002" s="3">
        <f>[1]Result_notebook_retravaill!K1002</f>
        <v>376128.45067768701</v>
      </c>
      <c r="J1002" s="3">
        <f>MIN(G1002,[1]Result_notebook_retravaill!I1002)</f>
        <v>0</v>
      </c>
      <c r="K1002" s="3">
        <f>IF([1]Result_notebook_retravaill!I1002&gt;[1]Result_notebook_retravaill!G1002,0,IF([1]Result_notebook_retravaill!I1002+[1]Result_notebook_retravaill!J1002&gt;[1]Result_notebook_retravaill!G1002,[1]Result_notebook_retravaill!G1002-[1]Result_notebook_retravaill!I1002,[1]Result_notebook_retravaill!J1002))</f>
        <v>0</v>
      </c>
      <c r="L1002" s="3">
        <f>IF([1]Result_notebook_retravaill!I1002&gt;[1]Result_notebook_retravaill!G1002,0,IF([1]Result_notebook_retravaill!I1002+[1]Result_notebook_retravaill!J1002&gt;[1]Result_notebook_retravaill!G1002,0,[1]Result_notebook_retravaill!M1002))</f>
        <v>165496.51829818229</v>
      </c>
    </row>
    <row r="1003" spans="1:12">
      <c r="A1003">
        <f>[1]Result_notebook_retravaill!A1003</f>
        <v>2036</v>
      </c>
      <c r="B1003" t="str">
        <f>[1]Result_notebook_retravaill!B1003</f>
        <v>Cobalt</v>
      </c>
      <c r="C1003" t="str">
        <f>[1]Result_notebook_retravaill!C1003</f>
        <v>Global Net-zero</v>
      </c>
      <c r="D1003" t="str">
        <f>[1]Result_notebook_retravaill!D1003</f>
        <v>Existing production</v>
      </c>
      <c r="E1003" t="str">
        <f>[1]Result_notebook_retravaill!E1003</f>
        <v>Current shares</v>
      </c>
      <c r="F1003" t="str">
        <f>[1]Result_notebook_retravaill!F1003</f>
        <v>Status Quo</v>
      </c>
      <c r="G1003">
        <f>[1]Result_notebook_retravaill!G1003</f>
        <v>165496.51829818229</v>
      </c>
      <c r="H1003" s="3">
        <f>IF([1]Result_notebook_retravaill!I1003&gt;[1]Result_notebook_retravaill!G1003,[1]Result_notebook_retravaill!I1003/[1]Result_notebook_retravaill!N1003,[1]Result_notebook_retravaill!H1003)</f>
        <v>2837</v>
      </c>
      <c r="I1003" s="3">
        <f>[1]Result_notebook_retravaill!K1003</f>
        <v>373291.45067768701</v>
      </c>
      <c r="J1003" s="3">
        <f>MIN(G1003,[1]Result_notebook_retravaill!I1003)</f>
        <v>1203.4038470959081</v>
      </c>
      <c r="K1003" s="3">
        <f>IF([1]Result_notebook_retravaill!I1003&gt;[1]Result_notebook_retravaill!G1003,0,IF([1]Result_notebook_retravaill!I1003+[1]Result_notebook_retravaill!J1003&gt;[1]Result_notebook_retravaill!G1003,[1]Result_notebook_retravaill!G1003-[1]Result_notebook_retravaill!I1003,[1]Result_notebook_retravaill!J1003))</f>
        <v>43.022359758048424</v>
      </c>
      <c r="L1003" s="3">
        <f>IF([1]Result_notebook_retravaill!I1003&gt;[1]Result_notebook_retravaill!G1003,0,IF([1]Result_notebook_retravaill!I1003+[1]Result_notebook_retravaill!J1003&gt;[1]Result_notebook_retravaill!G1003,0,[1]Result_notebook_retravaill!M1003))</f>
        <v>164250.09209132835</v>
      </c>
    </row>
    <row r="1004" spans="1:12">
      <c r="A1004">
        <f>[1]Result_notebook_retravaill!A1004</f>
        <v>2036</v>
      </c>
      <c r="B1004" t="str">
        <f>[1]Result_notebook_retravaill!B1004</f>
        <v>Cobalt</v>
      </c>
      <c r="C1004" t="str">
        <f>[1]Result_notebook_retravaill!C1004</f>
        <v>Global Net-zero</v>
      </c>
      <c r="D1004" t="str">
        <f>[1]Result_notebook_retravaill!D1004</f>
        <v>Production potential</v>
      </c>
      <c r="E1004" t="str">
        <f>[1]Result_notebook_retravaill!E1004</f>
        <v>Current shares</v>
      </c>
      <c r="F1004" t="str">
        <f>[1]Result_notebook_retravaill!F1004</f>
        <v>Expansion Extractive</v>
      </c>
      <c r="G1004">
        <f>[1]Result_notebook_retravaill!G1004</f>
        <v>165496.51829818229</v>
      </c>
      <c r="H1004" s="3">
        <f>IF([1]Result_notebook_retravaill!I1004&gt;[1]Result_notebook_retravaill!G1004,[1]Result_notebook_retravaill!I1004/[1]Result_notebook_retravaill!N1004,[1]Result_notebook_retravaill!H1004)</f>
        <v>17802.59181720679</v>
      </c>
      <c r="I1004" s="3">
        <f>[1]Result_notebook_retravaill!K1004</f>
        <v>358325.85886048019</v>
      </c>
      <c r="J1004" s="3">
        <f>MIN(G1004,[1]Result_notebook_retravaill!I1004)</f>
        <v>7551.5359468116967</v>
      </c>
      <c r="K1004" s="3">
        <f>IF([1]Result_notebook_retravaill!I1004&gt;[1]Result_notebook_retravaill!G1004,0,IF([1]Result_notebook_retravaill!I1004+[1]Result_notebook_retravaill!J1004&gt;[1]Result_notebook_retravaill!G1004,[1]Result_notebook_retravaill!G1004-[1]Result_notebook_retravaill!I1004,[1]Result_notebook_retravaill!J1004))</f>
        <v>269.97162840520377</v>
      </c>
      <c r="L1004" s="3">
        <f>IF([1]Result_notebook_retravaill!I1004&gt;[1]Result_notebook_retravaill!G1004,0,IF([1]Result_notebook_retravaill!I1004+[1]Result_notebook_retravaill!J1004&gt;[1]Result_notebook_retravaill!G1004,0,[1]Result_notebook_retravaill!M1004))</f>
        <v>157675.01072296538</v>
      </c>
    </row>
    <row r="1005" spans="1:12">
      <c r="A1005">
        <f>[1]Result_notebook_retravaill!A1005</f>
        <v>2036</v>
      </c>
      <c r="B1005" t="str">
        <f>[1]Result_notebook_retravaill!B1005</f>
        <v>Cobalt</v>
      </c>
      <c r="C1005" t="str">
        <f>[1]Result_notebook_retravaill!C1005</f>
        <v>Global Net-zero</v>
      </c>
      <c r="D1005" t="str">
        <f>[1]Result_notebook_retravaill!D1005</f>
        <v>Production potential</v>
      </c>
      <c r="E1005" t="str">
        <f>[1]Result_notebook_retravaill!E1005</f>
        <v>Current shares</v>
      </c>
      <c r="F1005" t="str">
        <f>[1]Result_notebook_retravaill!F1005</f>
        <v>Expansion Extractive+Circularity</v>
      </c>
      <c r="G1005">
        <f>[1]Result_notebook_retravaill!G1005</f>
        <v>165496.51829818229</v>
      </c>
      <c r="H1005" s="3">
        <f>IF([1]Result_notebook_retravaill!I1005&gt;[1]Result_notebook_retravaill!G1005,[1]Result_notebook_retravaill!I1005/[1]Result_notebook_retravaill!N1005,[1]Result_notebook_retravaill!H1005)</f>
        <v>17802.59181720679</v>
      </c>
      <c r="I1005" s="3">
        <f>[1]Result_notebook_retravaill!K1005</f>
        <v>358325.85886048019</v>
      </c>
      <c r="J1005" s="3">
        <f>MIN(G1005,[1]Result_notebook_retravaill!I1005)</f>
        <v>7551.5359468116967</v>
      </c>
      <c r="K1005" s="3">
        <f>IF([1]Result_notebook_retravaill!I1005&gt;[1]Result_notebook_retravaill!G1005,0,IF([1]Result_notebook_retravaill!I1005+[1]Result_notebook_retravaill!J1005&gt;[1]Result_notebook_retravaill!G1005,[1]Result_notebook_retravaill!G1005-[1]Result_notebook_retravaill!I1005,[1]Result_notebook_retravaill!J1005))</f>
        <v>269.97162840520377</v>
      </c>
      <c r="L1005" s="3">
        <f>IF([1]Result_notebook_retravaill!I1005&gt;[1]Result_notebook_retravaill!G1005,0,IF([1]Result_notebook_retravaill!I1005+[1]Result_notebook_retravaill!J1005&gt;[1]Result_notebook_retravaill!G1005,0,[1]Result_notebook_retravaill!M1005))</f>
        <v>157675.01072296538</v>
      </c>
    </row>
    <row r="1006" spans="1:12">
      <c r="A1006">
        <f>[1]Result_notebook_retravaill!A1006</f>
        <v>2036</v>
      </c>
      <c r="B1006" t="str">
        <f>[1]Result_notebook_retravaill!B1006</f>
        <v>Cobalt</v>
      </c>
      <c r="C1006" t="str">
        <f>[1]Result_notebook_retravaill!C1006</f>
        <v>Global Net-zero</v>
      </c>
      <c r="D1006" t="str">
        <f>[1]Result_notebook_retravaill!D1006</f>
        <v>Production potential</v>
      </c>
      <c r="E1006" t="str">
        <f>[1]Result_notebook_retravaill!E1006</f>
        <v>100% CAN</v>
      </c>
      <c r="F1006" t="str">
        <f>[1]Result_notebook_retravaill!F1006</f>
        <v>Integrated</v>
      </c>
      <c r="G1006">
        <f>[1]Result_notebook_retravaill!G1006</f>
        <v>165496.51829818229</v>
      </c>
      <c r="H1006" s="3">
        <f>IF([1]Result_notebook_retravaill!I1006&gt;[1]Result_notebook_retravaill!G1006,[1]Result_notebook_retravaill!I1006/[1]Result_notebook_retravaill!N1006,[1]Result_notebook_retravaill!H1006)</f>
        <v>17802.59181720679</v>
      </c>
      <c r="I1006" s="3">
        <f>[1]Result_notebook_retravaill!K1006</f>
        <v>358325.85886048019</v>
      </c>
      <c r="J1006" s="3">
        <f>MIN(G1006,[1]Result_notebook_retravaill!I1006)</f>
        <v>7821.5075752169087</v>
      </c>
      <c r="K1006" s="3">
        <f>IF([1]Result_notebook_retravaill!I1006&gt;[1]Result_notebook_retravaill!G1006,0,IF([1]Result_notebook_retravaill!I1006+[1]Result_notebook_retravaill!J1006&gt;[1]Result_notebook_retravaill!G1006,[1]Result_notebook_retravaill!G1006-[1]Result_notebook_retravaill!I1006,[1]Result_notebook_retravaill!J1006))</f>
        <v>-8.1854523159563541E-12</v>
      </c>
      <c r="L1006" s="3">
        <f>IF([1]Result_notebook_retravaill!I1006&gt;[1]Result_notebook_retravaill!G1006,0,IF([1]Result_notebook_retravaill!I1006+[1]Result_notebook_retravaill!J1006&gt;[1]Result_notebook_retravaill!G1006,0,[1]Result_notebook_retravaill!M1006))</f>
        <v>157675.01072296541</v>
      </c>
    </row>
    <row r="1007" spans="1:12">
      <c r="A1007">
        <f>[1]Result_notebook_retravaill!A1007</f>
        <v>2036</v>
      </c>
      <c r="B1007" t="str">
        <f>[1]Result_notebook_retravaill!B1007</f>
        <v>Copper</v>
      </c>
      <c r="C1007" t="str">
        <f>[1]Result_notebook_retravaill!C1007</f>
        <v>Canada Net-zero</v>
      </c>
      <c r="D1007" t="str">
        <f>[1]Result_notebook_retravaill!D1007</f>
        <v>Existing production</v>
      </c>
      <c r="E1007" t="str">
        <f>[1]Result_notebook_retravaill!E1007</f>
        <v>Current shares</v>
      </c>
      <c r="F1007" t="str">
        <f>[1]Result_notebook_retravaill!F1007</f>
        <v>NIMBY</v>
      </c>
      <c r="G1007">
        <f>[1]Result_notebook_retravaill!G1007</f>
        <v>1427841.619496794</v>
      </c>
      <c r="H1007" s="3">
        <f>IF([1]Result_notebook_retravaill!I1007&gt;[1]Result_notebook_retravaill!G1007,[1]Result_notebook_retravaill!I1007/[1]Result_notebook_retravaill!N1007,[1]Result_notebook_retravaill!H1007)</f>
        <v>0</v>
      </c>
      <c r="I1007" s="3">
        <f>[1]Result_notebook_retravaill!K1007</f>
        <v>1720291.107827463</v>
      </c>
      <c r="J1007" s="3">
        <f>MIN(G1007,[1]Result_notebook_retravaill!I1007)</f>
        <v>0</v>
      </c>
      <c r="K1007" s="3">
        <f>IF([1]Result_notebook_retravaill!I1007&gt;[1]Result_notebook_retravaill!G1007,0,IF([1]Result_notebook_retravaill!I1007+[1]Result_notebook_retravaill!J1007&gt;[1]Result_notebook_retravaill!G1007,[1]Result_notebook_retravaill!G1007-[1]Result_notebook_retravaill!I1007,[1]Result_notebook_retravaill!J1007))</f>
        <v>0</v>
      </c>
      <c r="L1007" s="3">
        <f>IF([1]Result_notebook_retravaill!I1007&gt;[1]Result_notebook_retravaill!G1007,0,IF([1]Result_notebook_retravaill!I1007+[1]Result_notebook_retravaill!J1007&gt;[1]Result_notebook_retravaill!G1007,0,[1]Result_notebook_retravaill!M1007))</f>
        <v>1427841.619496794</v>
      </c>
    </row>
    <row r="1008" spans="1:12">
      <c r="A1008">
        <f>[1]Result_notebook_retravaill!A1008</f>
        <v>2036</v>
      </c>
      <c r="B1008" t="str">
        <f>[1]Result_notebook_retravaill!B1008</f>
        <v>Copper</v>
      </c>
      <c r="C1008" t="str">
        <f>[1]Result_notebook_retravaill!C1008</f>
        <v>Canada Net-zero</v>
      </c>
      <c r="D1008" t="str">
        <f>[1]Result_notebook_retravaill!D1008</f>
        <v>Existing production</v>
      </c>
      <c r="E1008" t="str">
        <f>[1]Result_notebook_retravaill!E1008</f>
        <v>Current shares</v>
      </c>
      <c r="F1008" t="str">
        <f>[1]Result_notebook_retravaill!F1008</f>
        <v>Status Quo</v>
      </c>
      <c r="G1008">
        <f>[1]Result_notebook_retravaill!G1008</f>
        <v>1427841.619496794</v>
      </c>
      <c r="H1008" s="3">
        <f>IF([1]Result_notebook_retravaill!I1008&gt;[1]Result_notebook_retravaill!G1008,[1]Result_notebook_retravaill!I1008/[1]Result_notebook_retravaill!N1008,[1]Result_notebook_retravaill!H1008)</f>
        <v>260859</v>
      </c>
      <c r="I1008" s="3">
        <f>[1]Result_notebook_retravaill!K1008</f>
        <v>1459432.107827463</v>
      </c>
      <c r="J1008" s="3">
        <f>MIN(G1008,[1]Result_notebook_retravaill!I1008)</f>
        <v>137109.7566079231</v>
      </c>
      <c r="K1008" s="3">
        <f>IF([1]Result_notebook_retravaill!I1008&gt;[1]Result_notebook_retravaill!G1008,0,IF([1]Result_notebook_retravaill!I1008+[1]Result_notebook_retravaill!J1008&gt;[1]Result_notebook_retravaill!G1008,[1]Result_notebook_retravaill!G1008-[1]Result_notebook_retravaill!I1008,[1]Result_notebook_retravaill!J1008))</f>
        <v>80641.188307331031</v>
      </c>
      <c r="L1008" s="3">
        <f>IF([1]Result_notebook_retravaill!I1008&gt;[1]Result_notebook_retravaill!G1008,0,IF([1]Result_notebook_retravaill!I1008+[1]Result_notebook_retravaill!J1008&gt;[1]Result_notebook_retravaill!G1008,0,[1]Result_notebook_retravaill!M1008))</f>
        <v>1210090.67458154</v>
      </c>
    </row>
    <row r="1009" spans="1:12">
      <c r="A1009">
        <f>[1]Result_notebook_retravaill!A1009</f>
        <v>2036</v>
      </c>
      <c r="B1009" t="str">
        <f>[1]Result_notebook_retravaill!B1009</f>
        <v>Copper</v>
      </c>
      <c r="C1009" t="str">
        <f>[1]Result_notebook_retravaill!C1009</f>
        <v>Canada Net-zero</v>
      </c>
      <c r="D1009" t="str">
        <f>[1]Result_notebook_retravaill!D1009</f>
        <v>Production potential</v>
      </c>
      <c r="E1009" t="str">
        <f>[1]Result_notebook_retravaill!E1009</f>
        <v>Current shares</v>
      </c>
      <c r="F1009" t="str">
        <f>[1]Result_notebook_retravaill!F1009</f>
        <v>Expansion Extractive</v>
      </c>
      <c r="G1009">
        <f>[1]Result_notebook_retravaill!G1009</f>
        <v>1427841.619496794</v>
      </c>
      <c r="H1009" s="3">
        <f>IF([1]Result_notebook_retravaill!I1009&gt;[1]Result_notebook_retravaill!G1009,[1]Result_notebook_retravaill!I1009/[1]Result_notebook_retravaill!N1009,[1]Result_notebook_retravaill!H1009)</f>
        <v>925742.0247192611</v>
      </c>
      <c r="I1009" s="3">
        <f>[1]Result_notebook_retravaill!K1009</f>
        <v>794549.08310820162</v>
      </c>
      <c r="J1009" s="3">
        <f>MIN(G1009,[1]Result_notebook_retravaill!I1009)</f>
        <v>486578.05055981921</v>
      </c>
      <c r="K1009" s="3">
        <f>IF([1]Result_notebook_retravaill!I1009&gt;[1]Result_notebook_retravaill!G1009,0,IF([1]Result_notebook_retravaill!I1009+[1]Result_notebook_retravaill!J1009&gt;[1]Result_notebook_retravaill!G1009,[1]Result_notebook_retravaill!G1009-[1]Result_notebook_retravaill!I1009,[1]Result_notebook_retravaill!J1009))</f>
        <v>286181.18193888559</v>
      </c>
      <c r="L1009" s="3">
        <f>IF([1]Result_notebook_retravaill!I1009&gt;[1]Result_notebook_retravaill!G1009,0,IF([1]Result_notebook_retravaill!I1009+[1]Result_notebook_retravaill!J1009&gt;[1]Result_notebook_retravaill!G1009,0,[1]Result_notebook_retravaill!M1009))</f>
        <v>655082.38699808915</v>
      </c>
    </row>
    <row r="1010" spans="1:12">
      <c r="A1010">
        <f>[1]Result_notebook_retravaill!A1010</f>
        <v>2036</v>
      </c>
      <c r="B1010" t="str">
        <f>[1]Result_notebook_retravaill!B1010</f>
        <v>Copper</v>
      </c>
      <c r="C1010" t="str">
        <f>[1]Result_notebook_retravaill!C1010</f>
        <v>Canada Net-zero</v>
      </c>
      <c r="D1010" t="str">
        <f>[1]Result_notebook_retravaill!D1010</f>
        <v>Production potential</v>
      </c>
      <c r="E1010" t="str">
        <f>[1]Result_notebook_retravaill!E1010</f>
        <v>Current shares</v>
      </c>
      <c r="F1010" t="str">
        <f>[1]Result_notebook_retravaill!F1010</f>
        <v>Expansion Extractive+Circularity</v>
      </c>
      <c r="G1010">
        <f>[1]Result_notebook_retravaill!G1010</f>
        <v>1427841.619496794</v>
      </c>
      <c r="H1010" s="3">
        <f>IF([1]Result_notebook_retravaill!I1010&gt;[1]Result_notebook_retravaill!G1010,[1]Result_notebook_retravaill!I1010/[1]Result_notebook_retravaill!N1010,[1]Result_notebook_retravaill!H1010)</f>
        <v>925742.0247192611</v>
      </c>
      <c r="I1010" s="3">
        <f>[1]Result_notebook_retravaill!K1010</f>
        <v>794549.08310820162</v>
      </c>
      <c r="J1010" s="3">
        <f>MIN(G1010,[1]Result_notebook_retravaill!I1010)</f>
        <v>486578.05055981921</v>
      </c>
      <c r="K1010" s="3">
        <f>IF([1]Result_notebook_retravaill!I1010&gt;[1]Result_notebook_retravaill!G1010,0,IF([1]Result_notebook_retravaill!I1010+[1]Result_notebook_retravaill!J1010&gt;[1]Result_notebook_retravaill!G1010,[1]Result_notebook_retravaill!G1010-[1]Result_notebook_retravaill!I1010,[1]Result_notebook_retravaill!J1010))</f>
        <v>286181.18193888559</v>
      </c>
      <c r="L1010" s="3">
        <f>IF([1]Result_notebook_retravaill!I1010&gt;[1]Result_notebook_retravaill!G1010,0,IF([1]Result_notebook_retravaill!I1010+[1]Result_notebook_retravaill!J1010&gt;[1]Result_notebook_retravaill!G1010,0,[1]Result_notebook_retravaill!M1010))</f>
        <v>655082.38699808915</v>
      </c>
    </row>
    <row r="1011" spans="1:12">
      <c r="A1011">
        <f>[1]Result_notebook_retravaill!A1011</f>
        <v>2036</v>
      </c>
      <c r="B1011" t="str">
        <f>[1]Result_notebook_retravaill!B1011</f>
        <v>Copper</v>
      </c>
      <c r="C1011" t="str">
        <f>[1]Result_notebook_retravaill!C1011</f>
        <v>Canada Net-zero</v>
      </c>
      <c r="D1011" t="str">
        <f>[1]Result_notebook_retravaill!D1011</f>
        <v>Production potential</v>
      </c>
      <c r="E1011" t="str">
        <f>[1]Result_notebook_retravaill!E1011</f>
        <v>100% CAN</v>
      </c>
      <c r="F1011" t="str">
        <f>[1]Result_notebook_retravaill!F1011</f>
        <v>Integrated</v>
      </c>
      <c r="G1011">
        <f>[1]Result_notebook_retravaill!G1011</f>
        <v>1427841.619496794</v>
      </c>
      <c r="H1011" s="3">
        <f>IF([1]Result_notebook_retravaill!I1011&gt;[1]Result_notebook_retravaill!G1011,[1]Result_notebook_retravaill!I1011/[1]Result_notebook_retravaill!N1011,[1]Result_notebook_retravaill!H1011)</f>
        <v>925742.0247192611</v>
      </c>
      <c r="I1011" s="3">
        <f>[1]Result_notebook_retravaill!K1011</f>
        <v>794549.08310820162</v>
      </c>
      <c r="J1011" s="3">
        <f>MIN(G1011,[1]Result_notebook_retravaill!I1011)</f>
        <v>772759.23249870527</v>
      </c>
      <c r="K1011" s="3">
        <f>IF([1]Result_notebook_retravaill!I1011&gt;[1]Result_notebook_retravaill!G1011,0,IF([1]Result_notebook_retravaill!I1011+[1]Result_notebook_retravaill!J1011&gt;[1]Result_notebook_retravaill!G1011,[1]Result_notebook_retravaill!G1011-[1]Result_notebook_retravaill!I1011,[1]Result_notebook_retravaill!J1011))</f>
        <v>0</v>
      </c>
      <c r="L1011" s="3">
        <f>IF([1]Result_notebook_retravaill!I1011&gt;[1]Result_notebook_retravaill!G1011,0,IF([1]Result_notebook_retravaill!I1011+[1]Result_notebook_retravaill!J1011&gt;[1]Result_notebook_retravaill!G1011,0,[1]Result_notebook_retravaill!M1011))</f>
        <v>655082.38699808868</v>
      </c>
    </row>
    <row r="1012" spans="1:12">
      <c r="A1012">
        <f>[1]Result_notebook_retravaill!A1012</f>
        <v>2036</v>
      </c>
      <c r="B1012" t="str">
        <f>[1]Result_notebook_retravaill!B1012</f>
        <v>Copper</v>
      </c>
      <c r="C1012" t="str">
        <f>[1]Result_notebook_retravaill!C1012</f>
        <v>Current Measures</v>
      </c>
      <c r="D1012" t="str">
        <f>[1]Result_notebook_retravaill!D1012</f>
        <v>Existing production</v>
      </c>
      <c r="E1012" t="str">
        <f>[1]Result_notebook_retravaill!E1012</f>
        <v>Current shares</v>
      </c>
      <c r="F1012" t="str">
        <f>[1]Result_notebook_retravaill!F1012</f>
        <v>NIMBY</v>
      </c>
      <c r="G1012">
        <f>[1]Result_notebook_retravaill!G1012</f>
        <v>1101195.4808659849</v>
      </c>
      <c r="H1012" s="3">
        <f>IF([1]Result_notebook_retravaill!I1012&gt;[1]Result_notebook_retravaill!G1012,[1]Result_notebook_retravaill!I1012/[1]Result_notebook_retravaill!N1012,[1]Result_notebook_retravaill!H1012)</f>
        <v>0</v>
      </c>
      <c r="I1012" s="3">
        <f>[1]Result_notebook_retravaill!K1012</f>
        <v>1326741.5432120301</v>
      </c>
      <c r="J1012" s="3">
        <f>MIN(G1012,[1]Result_notebook_retravaill!I1012)</f>
        <v>0</v>
      </c>
      <c r="K1012" s="3">
        <f>IF([1]Result_notebook_retravaill!I1012&gt;[1]Result_notebook_retravaill!G1012,0,IF([1]Result_notebook_retravaill!I1012+[1]Result_notebook_retravaill!J1012&gt;[1]Result_notebook_retravaill!G1012,[1]Result_notebook_retravaill!G1012-[1]Result_notebook_retravaill!I1012,[1]Result_notebook_retravaill!J1012))</f>
        <v>0</v>
      </c>
      <c r="L1012" s="3">
        <f>IF([1]Result_notebook_retravaill!I1012&gt;[1]Result_notebook_retravaill!G1012,0,IF([1]Result_notebook_retravaill!I1012+[1]Result_notebook_retravaill!J1012&gt;[1]Result_notebook_retravaill!G1012,0,[1]Result_notebook_retravaill!M1012))</f>
        <v>1101195.4808659849</v>
      </c>
    </row>
    <row r="1013" spans="1:12">
      <c r="A1013">
        <f>[1]Result_notebook_retravaill!A1013</f>
        <v>2036</v>
      </c>
      <c r="B1013" t="str">
        <f>[1]Result_notebook_retravaill!B1013</f>
        <v>Copper</v>
      </c>
      <c r="C1013" t="str">
        <f>[1]Result_notebook_retravaill!C1013</f>
        <v>Current Measures</v>
      </c>
      <c r="D1013" t="str">
        <f>[1]Result_notebook_retravaill!D1013</f>
        <v>Existing production</v>
      </c>
      <c r="E1013" t="str">
        <f>[1]Result_notebook_retravaill!E1013</f>
        <v>Current shares</v>
      </c>
      <c r="F1013" t="str">
        <f>[1]Result_notebook_retravaill!F1013</f>
        <v>Status Quo</v>
      </c>
      <c r="G1013">
        <f>[1]Result_notebook_retravaill!G1013</f>
        <v>1101195.4808659849</v>
      </c>
      <c r="H1013" s="3">
        <f>IF([1]Result_notebook_retravaill!I1013&gt;[1]Result_notebook_retravaill!G1013,[1]Result_notebook_retravaill!I1013/[1]Result_notebook_retravaill!N1013,[1]Result_notebook_retravaill!H1013)</f>
        <v>260859</v>
      </c>
      <c r="I1013" s="3">
        <f>[1]Result_notebook_retravaill!K1013</f>
        <v>1065882.5432120301</v>
      </c>
      <c r="J1013" s="3">
        <f>MIN(G1013,[1]Result_notebook_retravaill!I1013)</f>
        <v>137109.7566079231</v>
      </c>
      <c r="K1013" s="3">
        <f>IF([1]Result_notebook_retravaill!I1013&gt;[1]Result_notebook_retravaill!G1013,0,IF([1]Result_notebook_retravaill!I1013+[1]Result_notebook_retravaill!J1013&gt;[1]Result_notebook_retravaill!G1013,[1]Result_notebook_retravaill!G1013-[1]Result_notebook_retravaill!I1013,[1]Result_notebook_retravaill!J1013))</f>
        <v>80641.188307331031</v>
      </c>
      <c r="L1013" s="3">
        <f>IF([1]Result_notebook_retravaill!I1013&gt;[1]Result_notebook_retravaill!G1013,0,IF([1]Result_notebook_retravaill!I1013+[1]Result_notebook_retravaill!J1013&gt;[1]Result_notebook_retravaill!G1013,0,[1]Result_notebook_retravaill!M1013))</f>
        <v>883444.53595073067</v>
      </c>
    </row>
    <row r="1014" spans="1:12">
      <c r="A1014">
        <f>[1]Result_notebook_retravaill!A1014</f>
        <v>2036</v>
      </c>
      <c r="B1014" t="str">
        <f>[1]Result_notebook_retravaill!B1014</f>
        <v>Copper</v>
      </c>
      <c r="C1014" t="str">
        <f>[1]Result_notebook_retravaill!C1014</f>
        <v>Current Measures</v>
      </c>
      <c r="D1014" t="str">
        <f>[1]Result_notebook_retravaill!D1014</f>
        <v>Production potential</v>
      </c>
      <c r="E1014" t="str">
        <f>[1]Result_notebook_retravaill!E1014</f>
        <v>Current shares</v>
      </c>
      <c r="F1014" t="str">
        <f>[1]Result_notebook_retravaill!F1014</f>
        <v>Expansion Extractive</v>
      </c>
      <c r="G1014">
        <f>[1]Result_notebook_retravaill!G1014</f>
        <v>1101195.4808659849</v>
      </c>
      <c r="H1014" s="3">
        <f>IF([1]Result_notebook_retravaill!I1014&gt;[1]Result_notebook_retravaill!G1014,[1]Result_notebook_retravaill!I1014/[1]Result_notebook_retravaill!N1014,[1]Result_notebook_retravaill!H1014)</f>
        <v>925742.0247192611</v>
      </c>
      <c r="I1014" s="3">
        <f>[1]Result_notebook_retravaill!K1014</f>
        <v>400999.51849276898</v>
      </c>
      <c r="J1014" s="3">
        <f>MIN(G1014,[1]Result_notebook_retravaill!I1014)</f>
        <v>486578.05055981921</v>
      </c>
      <c r="K1014" s="3">
        <f>IF([1]Result_notebook_retravaill!I1014&gt;[1]Result_notebook_retravaill!G1014,0,IF([1]Result_notebook_retravaill!I1014+[1]Result_notebook_retravaill!J1014&gt;[1]Result_notebook_retravaill!G1014,[1]Result_notebook_retravaill!G1014-[1]Result_notebook_retravaill!I1014,[1]Result_notebook_retravaill!J1014))</f>
        <v>286181.18193888559</v>
      </c>
      <c r="L1014" s="3">
        <f>IF([1]Result_notebook_retravaill!I1014&gt;[1]Result_notebook_retravaill!G1014,0,IF([1]Result_notebook_retravaill!I1014+[1]Result_notebook_retravaill!J1014&gt;[1]Result_notebook_retravaill!G1014,0,[1]Result_notebook_retravaill!M1014))</f>
        <v>328436.24836728012</v>
      </c>
    </row>
    <row r="1015" spans="1:12">
      <c r="A1015">
        <f>[1]Result_notebook_retravaill!A1015</f>
        <v>2036</v>
      </c>
      <c r="B1015" t="str">
        <f>[1]Result_notebook_retravaill!B1015</f>
        <v>Copper</v>
      </c>
      <c r="C1015" t="str">
        <f>[1]Result_notebook_retravaill!C1015</f>
        <v>Current Measures</v>
      </c>
      <c r="D1015" t="str">
        <f>[1]Result_notebook_retravaill!D1015</f>
        <v>Production potential</v>
      </c>
      <c r="E1015" t="str">
        <f>[1]Result_notebook_retravaill!E1015</f>
        <v>Current shares</v>
      </c>
      <c r="F1015" t="str">
        <f>[1]Result_notebook_retravaill!F1015</f>
        <v>Expansion Extractive+Circularity</v>
      </c>
      <c r="G1015">
        <f>[1]Result_notebook_retravaill!G1015</f>
        <v>1101195.4808659849</v>
      </c>
      <c r="H1015" s="3">
        <f>IF([1]Result_notebook_retravaill!I1015&gt;[1]Result_notebook_retravaill!G1015,[1]Result_notebook_retravaill!I1015/[1]Result_notebook_retravaill!N1015,[1]Result_notebook_retravaill!H1015)</f>
        <v>925742.0247192611</v>
      </c>
      <c r="I1015" s="3">
        <f>[1]Result_notebook_retravaill!K1015</f>
        <v>400999.51849276898</v>
      </c>
      <c r="J1015" s="3">
        <f>MIN(G1015,[1]Result_notebook_retravaill!I1015)</f>
        <v>486578.05055981921</v>
      </c>
      <c r="K1015" s="3">
        <f>IF([1]Result_notebook_retravaill!I1015&gt;[1]Result_notebook_retravaill!G1015,0,IF([1]Result_notebook_retravaill!I1015+[1]Result_notebook_retravaill!J1015&gt;[1]Result_notebook_retravaill!G1015,[1]Result_notebook_retravaill!G1015-[1]Result_notebook_retravaill!I1015,[1]Result_notebook_retravaill!J1015))</f>
        <v>286181.18193888559</v>
      </c>
      <c r="L1015" s="3">
        <f>IF([1]Result_notebook_retravaill!I1015&gt;[1]Result_notebook_retravaill!G1015,0,IF([1]Result_notebook_retravaill!I1015+[1]Result_notebook_retravaill!J1015&gt;[1]Result_notebook_retravaill!G1015,0,[1]Result_notebook_retravaill!M1015))</f>
        <v>328436.24836728012</v>
      </c>
    </row>
    <row r="1016" spans="1:12">
      <c r="A1016">
        <f>[1]Result_notebook_retravaill!A1016</f>
        <v>2036</v>
      </c>
      <c r="B1016" t="str">
        <f>[1]Result_notebook_retravaill!B1016</f>
        <v>Copper</v>
      </c>
      <c r="C1016" t="str">
        <f>[1]Result_notebook_retravaill!C1016</f>
        <v>Current Measures</v>
      </c>
      <c r="D1016" t="str">
        <f>[1]Result_notebook_retravaill!D1016</f>
        <v>Production potential</v>
      </c>
      <c r="E1016" t="str">
        <f>[1]Result_notebook_retravaill!E1016</f>
        <v>100% CAN</v>
      </c>
      <c r="F1016" t="str">
        <f>[1]Result_notebook_retravaill!F1016</f>
        <v>Integrated</v>
      </c>
      <c r="G1016">
        <f>[1]Result_notebook_retravaill!G1016</f>
        <v>1101195.4808659849</v>
      </c>
      <c r="H1016" s="3">
        <f>IF([1]Result_notebook_retravaill!I1016&gt;[1]Result_notebook_retravaill!G1016,[1]Result_notebook_retravaill!I1016/[1]Result_notebook_retravaill!N1016,[1]Result_notebook_retravaill!H1016)</f>
        <v>925742.0247192611</v>
      </c>
      <c r="I1016" s="3">
        <f>[1]Result_notebook_retravaill!K1016</f>
        <v>400999.51849276898</v>
      </c>
      <c r="J1016" s="3">
        <f>MIN(G1016,[1]Result_notebook_retravaill!I1016)</f>
        <v>772759.23249870527</v>
      </c>
      <c r="K1016" s="3">
        <f>IF([1]Result_notebook_retravaill!I1016&gt;[1]Result_notebook_retravaill!G1016,0,IF([1]Result_notebook_retravaill!I1016+[1]Result_notebook_retravaill!J1016&gt;[1]Result_notebook_retravaill!G1016,[1]Result_notebook_retravaill!G1016-[1]Result_notebook_retravaill!I1016,[1]Result_notebook_retravaill!J1016))</f>
        <v>0</v>
      </c>
      <c r="L1016" s="3">
        <f>IF([1]Result_notebook_retravaill!I1016&gt;[1]Result_notebook_retravaill!G1016,0,IF([1]Result_notebook_retravaill!I1016+[1]Result_notebook_retravaill!J1016&gt;[1]Result_notebook_retravaill!G1016,0,[1]Result_notebook_retravaill!M1016))</f>
        <v>328436.24836727971</v>
      </c>
    </row>
    <row r="1017" spans="1:12">
      <c r="A1017">
        <f>[1]Result_notebook_retravaill!A1017</f>
        <v>2036</v>
      </c>
      <c r="B1017" t="str">
        <f>[1]Result_notebook_retravaill!B1017</f>
        <v>Copper</v>
      </c>
      <c r="C1017" t="str">
        <f>[1]Result_notebook_retravaill!C1017</f>
        <v>Global Net-zero</v>
      </c>
      <c r="D1017" t="str">
        <f>[1]Result_notebook_retravaill!D1017</f>
        <v>Existing production</v>
      </c>
      <c r="E1017" t="str">
        <f>[1]Result_notebook_retravaill!E1017</f>
        <v>Current shares</v>
      </c>
      <c r="F1017" t="str">
        <f>[1]Result_notebook_retravaill!F1017</f>
        <v>NIMBY</v>
      </c>
      <c r="G1017">
        <f>[1]Result_notebook_retravaill!G1017</f>
        <v>1361946.7246063449</v>
      </c>
      <c r="H1017" s="3">
        <f>IF([1]Result_notebook_retravaill!I1017&gt;[1]Result_notebook_retravaill!G1017,[1]Result_notebook_retravaill!I1017/[1]Result_notebook_retravaill!N1017,[1]Result_notebook_retravaill!H1017)</f>
        <v>0</v>
      </c>
      <c r="I1017" s="3">
        <f>[1]Result_notebook_retravaill!K1017</f>
        <v>1640899.668200416</v>
      </c>
      <c r="J1017" s="3">
        <f>MIN(G1017,[1]Result_notebook_retravaill!I1017)</f>
        <v>0</v>
      </c>
      <c r="K1017" s="3">
        <f>IF([1]Result_notebook_retravaill!I1017&gt;[1]Result_notebook_retravaill!G1017,0,IF([1]Result_notebook_retravaill!I1017+[1]Result_notebook_retravaill!J1017&gt;[1]Result_notebook_retravaill!G1017,[1]Result_notebook_retravaill!G1017-[1]Result_notebook_retravaill!I1017,[1]Result_notebook_retravaill!J1017))</f>
        <v>0</v>
      </c>
      <c r="L1017" s="3">
        <f>IF([1]Result_notebook_retravaill!I1017&gt;[1]Result_notebook_retravaill!G1017,0,IF([1]Result_notebook_retravaill!I1017+[1]Result_notebook_retravaill!J1017&gt;[1]Result_notebook_retravaill!G1017,0,[1]Result_notebook_retravaill!M1017))</f>
        <v>1361946.7246063449</v>
      </c>
    </row>
    <row r="1018" spans="1:12">
      <c r="A1018">
        <f>[1]Result_notebook_retravaill!A1018</f>
        <v>2036</v>
      </c>
      <c r="B1018" t="str">
        <f>[1]Result_notebook_retravaill!B1018</f>
        <v>Copper</v>
      </c>
      <c r="C1018" t="str">
        <f>[1]Result_notebook_retravaill!C1018</f>
        <v>Global Net-zero</v>
      </c>
      <c r="D1018" t="str">
        <f>[1]Result_notebook_retravaill!D1018</f>
        <v>Existing production</v>
      </c>
      <c r="E1018" t="str">
        <f>[1]Result_notebook_retravaill!E1018</f>
        <v>Current shares</v>
      </c>
      <c r="F1018" t="str">
        <f>[1]Result_notebook_retravaill!F1018</f>
        <v>Status Quo</v>
      </c>
      <c r="G1018">
        <f>[1]Result_notebook_retravaill!G1018</f>
        <v>1361946.7246063449</v>
      </c>
      <c r="H1018" s="3">
        <f>IF([1]Result_notebook_retravaill!I1018&gt;[1]Result_notebook_retravaill!G1018,[1]Result_notebook_retravaill!I1018/[1]Result_notebook_retravaill!N1018,[1]Result_notebook_retravaill!H1018)</f>
        <v>260859</v>
      </c>
      <c r="I1018" s="3">
        <f>[1]Result_notebook_retravaill!K1018</f>
        <v>1380040.668200416</v>
      </c>
      <c r="J1018" s="3">
        <f>MIN(G1018,[1]Result_notebook_retravaill!I1018)</f>
        <v>137109.7566079231</v>
      </c>
      <c r="K1018" s="3">
        <f>IF([1]Result_notebook_retravaill!I1018&gt;[1]Result_notebook_retravaill!G1018,0,IF([1]Result_notebook_retravaill!I1018+[1]Result_notebook_retravaill!J1018&gt;[1]Result_notebook_retravaill!G1018,[1]Result_notebook_retravaill!G1018-[1]Result_notebook_retravaill!I1018,[1]Result_notebook_retravaill!J1018))</f>
        <v>80641.188307331031</v>
      </c>
      <c r="L1018" s="3">
        <f>IF([1]Result_notebook_retravaill!I1018&gt;[1]Result_notebook_retravaill!G1018,0,IF([1]Result_notebook_retravaill!I1018+[1]Result_notebook_retravaill!J1018&gt;[1]Result_notebook_retravaill!G1018,0,[1]Result_notebook_retravaill!M1018))</f>
        <v>1144195.779691091</v>
      </c>
    </row>
    <row r="1019" spans="1:12">
      <c r="A1019">
        <f>[1]Result_notebook_retravaill!A1019</f>
        <v>2036</v>
      </c>
      <c r="B1019" t="str">
        <f>[1]Result_notebook_retravaill!B1019</f>
        <v>Copper</v>
      </c>
      <c r="C1019" t="str">
        <f>[1]Result_notebook_retravaill!C1019</f>
        <v>Global Net-zero</v>
      </c>
      <c r="D1019" t="str">
        <f>[1]Result_notebook_retravaill!D1019</f>
        <v>Production potential</v>
      </c>
      <c r="E1019" t="str">
        <f>[1]Result_notebook_retravaill!E1019</f>
        <v>Current shares</v>
      </c>
      <c r="F1019" t="str">
        <f>[1]Result_notebook_retravaill!F1019</f>
        <v>Expansion Extractive</v>
      </c>
      <c r="G1019">
        <f>[1]Result_notebook_retravaill!G1019</f>
        <v>1361946.7246063449</v>
      </c>
      <c r="H1019" s="3">
        <f>IF([1]Result_notebook_retravaill!I1019&gt;[1]Result_notebook_retravaill!G1019,[1]Result_notebook_retravaill!I1019/[1]Result_notebook_retravaill!N1019,[1]Result_notebook_retravaill!H1019)</f>
        <v>925742.0247192611</v>
      </c>
      <c r="I1019" s="3">
        <f>[1]Result_notebook_retravaill!K1019</f>
        <v>715157.64348115446</v>
      </c>
      <c r="J1019" s="3">
        <f>MIN(G1019,[1]Result_notebook_retravaill!I1019)</f>
        <v>486578.05055981921</v>
      </c>
      <c r="K1019" s="3">
        <f>IF([1]Result_notebook_retravaill!I1019&gt;[1]Result_notebook_retravaill!G1019,0,IF([1]Result_notebook_retravaill!I1019+[1]Result_notebook_retravaill!J1019&gt;[1]Result_notebook_retravaill!G1019,[1]Result_notebook_retravaill!G1019-[1]Result_notebook_retravaill!I1019,[1]Result_notebook_retravaill!J1019))</f>
        <v>286181.18193888559</v>
      </c>
      <c r="L1019" s="3">
        <f>IF([1]Result_notebook_retravaill!I1019&gt;[1]Result_notebook_retravaill!G1019,0,IF([1]Result_notebook_retravaill!I1019+[1]Result_notebook_retravaill!J1019&gt;[1]Result_notebook_retravaill!G1019,0,[1]Result_notebook_retravaill!M1019))</f>
        <v>589187.49210764014</v>
      </c>
    </row>
    <row r="1020" spans="1:12">
      <c r="A1020">
        <f>[1]Result_notebook_retravaill!A1020</f>
        <v>2036</v>
      </c>
      <c r="B1020" t="str">
        <f>[1]Result_notebook_retravaill!B1020</f>
        <v>Copper</v>
      </c>
      <c r="C1020" t="str">
        <f>[1]Result_notebook_retravaill!C1020</f>
        <v>Global Net-zero</v>
      </c>
      <c r="D1020" t="str">
        <f>[1]Result_notebook_retravaill!D1020</f>
        <v>Production potential</v>
      </c>
      <c r="E1020" t="str">
        <f>[1]Result_notebook_retravaill!E1020</f>
        <v>Current shares</v>
      </c>
      <c r="F1020" t="str">
        <f>[1]Result_notebook_retravaill!F1020</f>
        <v>Expansion Extractive+Circularity</v>
      </c>
      <c r="G1020">
        <f>[1]Result_notebook_retravaill!G1020</f>
        <v>1361946.7246063449</v>
      </c>
      <c r="H1020" s="3">
        <f>IF([1]Result_notebook_retravaill!I1020&gt;[1]Result_notebook_retravaill!G1020,[1]Result_notebook_retravaill!I1020/[1]Result_notebook_retravaill!N1020,[1]Result_notebook_retravaill!H1020)</f>
        <v>925742.0247192611</v>
      </c>
      <c r="I1020" s="3">
        <f>[1]Result_notebook_retravaill!K1020</f>
        <v>715157.64348115446</v>
      </c>
      <c r="J1020" s="3">
        <f>MIN(G1020,[1]Result_notebook_retravaill!I1020)</f>
        <v>486578.05055981921</v>
      </c>
      <c r="K1020" s="3">
        <f>IF([1]Result_notebook_retravaill!I1020&gt;[1]Result_notebook_retravaill!G1020,0,IF([1]Result_notebook_retravaill!I1020+[1]Result_notebook_retravaill!J1020&gt;[1]Result_notebook_retravaill!G1020,[1]Result_notebook_retravaill!G1020-[1]Result_notebook_retravaill!I1020,[1]Result_notebook_retravaill!J1020))</f>
        <v>286181.18193888559</v>
      </c>
      <c r="L1020" s="3">
        <f>IF([1]Result_notebook_retravaill!I1020&gt;[1]Result_notebook_retravaill!G1020,0,IF([1]Result_notebook_retravaill!I1020+[1]Result_notebook_retravaill!J1020&gt;[1]Result_notebook_retravaill!G1020,0,[1]Result_notebook_retravaill!M1020))</f>
        <v>589187.49210764014</v>
      </c>
    </row>
    <row r="1021" spans="1:12">
      <c r="A1021">
        <f>[1]Result_notebook_retravaill!A1021</f>
        <v>2036</v>
      </c>
      <c r="B1021" t="str">
        <f>[1]Result_notebook_retravaill!B1021</f>
        <v>Copper</v>
      </c>
      <c r="C1021" t="str">
        <f>[1]Result_notebook_retravaill!C1021</f>
        <v>Global Net-zero</v>
      </c>
      <c r="D1021" t="str">
        <f>[1]Result_notebook_retravaill!D1021</f>
        <v>Production potential</v>
      </c>
      <c r="E1021" t="str">
        <f>[1]Result_notebook_retravaill!E1021</f>
        <v>100% CAN</v>
      </c>
      <c r="F1021" t="str">
        <f>[1]Result_notebook_retravaill!F1021</f>
        <v>Integrated</v>
      </c>
      <c r="G1021">
        <f>[1]Result_notebook_retravaill!G1021</f>
        <v>1361946.7246063449</v>
      </c>
      <c r="H1021" s="3">
        <f>IF([1]Result_notebook_retravaill!I1021&gt;[1]Result_notebook_retravaill!G1021,[1]Result_notebook_retravaill!I1021/[1]Result_notebook_retravaill!N1021,[1]Result_notebook_retravaill!H1021)</f>
        <v>925742.0247192611</v>
      </c>
      <c r="I1021" s="3">
        <f>[1]Result_notebook_retravaill!K1021</f>
        <v>715157.64348115446</v>
      </c>
      <c r="J1021" s="3">
        <f>MIN(G1021,[1]Result_notebook_retravaill!I1021)</f>
        <v>772759.23249870527</v>
      </c>
      <c r="K1021" s="3">
        <f>IF([1]Result_notebook_retravaill!I1021&gt;[1]Result_notebook_retravaill!G1021,0,IF([1]Result_notebook_retravaill!I1021+[1]Result_notebook_retravaill!J1021&gt;[1]Result_notebook_retravaill!G1021,[1]Result_notebook_retravaill!G1021-[1]Result_notebook_retravaill!I1021,[1]Result_notebook_retravaill!J1021))</f>
        <v>0</v>
      </c>
      <c r="L1021" s="3">
        <f>IF([1]Result_notebook_retravaill!I1021&gt;[1]Result_notebook_retravaill!G1021,0,IF([1]Result_notebook_retravaill!I1021+[1]Result_notebook_retravaill!J1021&gt;[1]Result_notebook_retravaill!G1021,0,[1]Result_notebook_retravaill!M1021))</f>
        <v>589187.49210763967</v>
      </c>
    </row>
    <row r="1022" spans="1:12">
      <c r="A1022">
        <f>[1]Result_notebook_retravaill!A1022</f>
        <v>2036</v>
      </c>
      <c r="B1022" t="str">
        <f>[1]Result_notebook_retravaill!B1022</f>
        <v>Neodymium</v>
      </c>
      <c r="C1022" t="str">
        <f>[1]Result_notebook_retravaill!C1022</f>
        <v>Canada Net-zero</v>
      </c>
      <c r="D1022" t="str">
        <f>[1]Result_notebook_retravaill!D1022</f>
        <v>Existing production</v>
      </c>
      <c r="E1022" t="str">
        <f>[1]Result_notebook_retravaill!E1022</f>
        <v>Current shares</v>
      </c>
      <c r="F1022" t="str">
        <f>[1]Result_notebook_retravaill!F1022</f>
        <v>NIMBY</v>
      </c>
      <c r="G1022">
        <f>[1]Result_notebook_retravaill!G1022</f>
        <v>5473.9657750696551</v>
      </c>
      <c r="H1022" s="3">
        <f>IF([1]Result_notebook_retravaill!I1022&gt;[1]Result_notebook_retravaill!G1022,[1]Result_notebook_retravaill!I1022/[1]Result_notebook_retravaill!N1022,[1]Result_notebook_retravaill!H1022)</f>
        <v>0</v>
      </c>
      <c r="I1022" s="3">
        <f>[1]Result_notebook_retravaill!K1022</f>
        <v>9123.2762917827586</v>
      </c>
      <c r="J1022" s="3">
        <f>MIN(G1022,[1]Result_notebook_retravaill!I1022)</f>
        <v>0</v>
      </c>
      <c r="K1022" s="3">
        <f>IF([1]Result_notebook_retravaill!I1022&gt;[1]Result_notebook_retravaill!G1022,0,IF([1]Result_notebook_retravaill!I1022+[1]Result_notebook_retravaill!J1022&gt;[1]Result_notebook_retravaill!G1022,[1]Result_notebook_retravaill!G1022-[1]Result_notebook_retravaill!I1022,[1]Result_notebook_retravaill!J1022))</f>
        <v>0</v>
      </c>
      <c r="L1022" s="3">
        <f>IF([1]Result_notebook_retravaill!I1022&gt;[1]Result_notebook_retravaill!G1022,0,IF([1]Result_notebook_retravaill!I1022+[1]Result_notebook_retravaill!J1022&gt;[1]Result_notebook_retravaill!G1022,0,[1]Result_notebook_retravaill!M1022))</f>
        <v>5473.9657750696551</v>
      </c>
    </row>
    <row r="1023" spans="1:12">
      <c r="A1023">
        <f>[1]Result_notebook_retravaill!A1023</f>
        <v>2036</v>
      </c>
      <c r="B1023" t="str">
        <f>[1]Result_notebook_retravaill!B1023</f>
        <v>Neodymium</v>
      </c>
      <c r="C1023" t="str">
        <f>[1]Result_notebook_retravaill!C1023</f>
        <v>Canada Net-zero</v>
      </c>
      <c r="D1023" t="str">
        <f>[1]Result_notebook_retravaill!D1023</f>
        <v>Existing production</v>
      </c>
      <c r="E1023" t="str">
        <f>[1]Result_notebook_retravaill!E1023</f>
        <v>Current shares</v>
      </c>
      <c r="F1023" t="str">
        <f>[1]Result_notebook_retravaill!F1023</f>
        <v>Status Quo</v>
      </c>
      <c r="G1023">
        <f>[1]Result_notebook_retravaill!G1023</f>
        <v>5473.9657750696551</v>
      </c>
      <c r="H1023" s="3">
        <f>IF([1]Result_notebook_retravaill!I1023&gt;[1]Result_notebook_retravaill!G1023,[1]Result_notebook_retravaill!I1023/[1]Result_notebook_retravaill!N1023,[1]Result_notebook_retravaill!H1023)</f>
        <v>0</v>
      </c>
      <c r="I1023" s="3">
        <f>[1]Result_notebook_retravaill!K1023</f>
        <v>9123.2762917827586</v>
      </c>
      <c r="J1023" s="3">
        <f>MIN(G1023,[1]Result_notebook_retravaill!I1023)</f>
        <v>0</v>
      </c>
      <c r="K1023" s="3">
        <f>IF([1]Result_notebook_retravaill!I1023&gt;[1]Result_notebook_retravaill!G1023,0,IF([1]Result_notebook_retravaill!I1023+[1]Result_notebook_retravaill!J1023&gt;[1]Result_notebook_retravaill!G1023,[1]Result_notebook_retravaill!G1023-[1]Result_notebook_retravaill!I1023,[1]Result_notebook_retravaill!J1023))</f>
        <v>0</v>
      </c>
      <c r="L1023" s="3">
        <f>IF([1]Result_notebook_retravaill!I1023&gt;[1]Result_notebook_retravaill!G1023,0,IF([1]Result_notebook_retravaill!I1023+[1]Result_notebook_retravaill!J1023&gt;[1]Result_notebook_retravaill!G1023,0,[1]Result_notebook_retravaill!M1023))</f>
        <v>5473.9657750696551</v>
      </c>
    </row>
    <row r="1024" spans="1:12">
      <c r="A1024">
        <f>[1]Result_notebook_retravaill!A1024</f>
        <v>2036</v>
      </c>
      <c r="B1024" t="str">
        <f>[1]Result_notebook_retravaill!B1024</f>
        <v>Neodymium</v>
      </c>
      <c r="C1024" t="str">
        <f>[1]Result_notebook_retravaill!C1024</f>
        <v>Canada Net-zero</v>
      </c>
      <c r="D1024" t="str">
        <f>[1]Result_notebook_retravaill!D1024</f>
        <v>Production potential</v>
      </c>
      <c r="E1024" t="str">
        <f>[1]Result_notebook_retravaill!E1024</f>
        <v>Current shares</v>
      </c>
      <c r="F1024" t="str">
        <f>[1]Result_notebook_retravaill!F1024</f>
        <v>Expansion Extractive</v>
      </c>
      <c r="G1024">
        <f>[1]Result_notebook_retravaill!G1024</f>
        <v>5473.9657750696551</v>
      </c>
      <c r="H1024" s="3">
        <f>IF([1]Result_notebook_retravaill!I1024&gt;[1]Result_notebook_retravaill!G1024,[1]Result_notebook_retravaill!I1024/[1]Result_notebook_retravaill!N1024,[1]Result_notebook_retravaill!H1024)</f>
        <v>112.111990107284</v>
      </c>
      <c r="I1024" s="3">
        <f>[1]Result_notebook_retravaill!K1024</f>
        <v>9011.1643016754751</v>
      </c>
      <c r="J1024" s="3">
        <f>MIN(G1024,[1]Result_notebook_retravaill!I1024)</f>
        <v>67.10394936401832</v>
      </c>
      <c r="K1024" s="3">
        <f>IF([1]Result_notebook_retravaill!I1024&gt;[1]Result_notebook_retravaill!G1024,0,IF([1]Result_notebook_retravaill!I1024+[1]Result_notebook_retravaill!J1024&gt;[1]Result_notebook_retravaill!G1024,[1]Result_notebook_retravaill!G1024-[1]Result_notebook_retravaill!I1024,[1]Result_notebook_retravaill!J1024))</f>
        <v>45.008040743265681</v>
      </c>
      <c r="L1024" s="3">
        <f>IF([1]Result_notebook_retravaill!I1024&gt;[1]Result_notebook_retravaill!G1024,0,IF([1]Result_notebook_retravaill!I1024+[1]Result_notebook_retravaill!J1024&gt;[1]Result_notebook_retravaill!G1024,0,[1]Result_notebook_retravaill!M1024))</f>
        <v>5361.8537849623708</v>
      </c>
    </row>
    <row r="1025" spans="1:12">
      <c r="A1025">
        <f>[1]Result_notebook_retravaill!A1025</f>
        <v>2036</v>
      </c>
      <c r="B1025" t="str">
        <f>[1]Result_notebook_retravaill!B1025</f>
        <v>Neodymium</v>
      </c>
      <c r="C1025" t="str">
        <f>[1]Result_notebook_retravaill!C1025</f>
        <v>Canada Net-zero</v>
      </c>
      <c r="D1025" t="str">
        <f>[1]Result_notebook_retravaill!D1025</f>
        <v>Production potential</v>
      </c>
      <c r="E1025" t="str">
        <f>[1]Result_notebook_retravaill!E1025</f>
        <v>Current shares</v>
      </c>
      <c r="F1025" t="str">
        <f>[1]Result_notebook_retravaill!F1025</f>
        <v>Expansion Extractive+Circularity</v>
      </c>
      <c r="G1025">
        <f>[1]Result_notebook_retravaill!G1025</f>
        <v>5473.9657750696551</v>
      </c>
      <c r="H1025" s="3">
        <f>IF([1]Result_notebook_retravaill!I1025&gt;[1]Result_notebook_retravaill!G1025,[1]Result_notebook_retravaill!I1025/[1]Result_notebook_retravaill!N1025,[1]Result_notebook_retravaill!H1025)</f>
        <v>112.111990107284</v>
      </c>
      <c r="I1025" s="3">
        <f>[1]Result_notebook_retravaill!K1025</f>
        <v>9011.1643016754751</v>
      </c>
      <c r="J1025" s="3">
        <f>MIN(G1025,[1]Result_notebook_retravaill!I1025)</f>
        <v>67.10394936401832</v>
      </c>
      <c r="K1025" s="3">
        <f>IF([1]Result_notebook_retravaill!I1025&gt;[1]Result_notebook_retravaill!G1025,0,IF([1]Result_notebook_retravaill!I1025+[1]Result_notebook_retravaill!J1025&gt;[1]Result_notebook_retravaill!G1025,[1]Result_notebook_retravaill!G1025-[1]Result_notebook_retravaill!I1025,[1]Result_notebook_retravaill!J1025))</f>
        <v>45.008040743265681</v>
      </c>
      <c r="L1025" s="3">
        <f>IF([1]Result_notebook_retravaill!I1025&gt;[1]Result_notebook_retravaill!G1025,0,IF([1]Result_notebook_retravaill!I1025+[1]Result_notebook_retravaill!J1025&gt;[1]Result_notebook_retravaill!G1025,0,[1]Result_notebook_retravaill!M1025))</f>
        <v>5361.8537849623708</v>
      </c>
    </row>
    <row r="1026" spans="1:12">
      <c r="A1026">
        <f>[1]Result_notebook_retravaill!A1026</f>
        <v>2036</v>
      </c>
      <c r="B1026" t="str">
        <f>[1]Result_notebook_retravaill!B1026</f>
        <v>Neodymium</v>
      </c>
      <c r="C1026" t="str">
        <f>[1]Result_notebook_retravaill!C1026</f>
        <v>Canada Net-zero</v>
      </c>
      <c r="D1026" t="str">
        <f>[1]Result_notebook_retravaill!D1026</f>
        <v>Production potential</v>
      </c>
      <c r="E1026" t="str">
        <f>[1]Result_notebook_retravaill!E1026</f>
        <v>100% CAN</v>
      </c>
      <c r="F1026" t="str">
        <f>[1]Result_notebook_retravaill!F1026</f>
        <v>Integrated</v>
      </c>
      <c r="G1026">
        <f>[1]Result_notebook_retravaill!G1026</f>
        <v>5473.9657750696551</v>
      </c>
      <c r="H1026" s="3">
        <f>IF([1]Result_notebook_retravaill!I1026&gt;[1]Result_notebook_retravaill!G1026,[1]Result_notebook_retravaill!I1026/[1]Result_notebook_retravaill!N1026,[1]Result_notebook_retravaill!H1026)</f>
        <v>112.111990107284</v>
      </c>
      <c r="I1026" s="3">
        <f>[1]Result_notebook_retravaill!K1026</f>
        <v>9011.1643016754751</v>
      </c>
      <c r="J1026" s="3">
        <f>MIN(G1026,[1]Result_notebook_retravaill!I1026)</f>
        <v>67.10394936401832</v>
      </c>
      <c r="K1026" s="3">
        <f>IF([1]Result_notebook_retravaill!I1026&gt;[1]Result_notebook_retravaill!G1026,0,IF([1]Result_notebook_retravaill!I1026+[1]Result_notebook_retravaill!J1026&gt;[1]Result_notebook_retravaill!G1026,[1]Result_notebook_retravaill!G1026-[1]Result_notebook_retravaill!I1026,[1]Result_notebook_retravaill!J1026))</f>
        <v>45.008040743265681</v>
      </c>
      <c r="L1026" s="3">
        <f>IF([1]Result_notebook_retravaill!I1026&gt;[1]Result_notebook_retravaill!G1026,0,IF([1]Result_notebook_retravaill!I1026+[1]Result_notebook_retravaill!J1026&gt;[1]Result_notebook_retravaill!G1026,0,[1]Result_notebook_retravaill!M1026))</f>
        <v>5361.8537849623708</v>
      </c>
    </row>
    <row r="1027" spans="1:12">
      <c r="A1027">
        <f>[1]Result_notebook_retravaill!A1027</f>
        <v>2036</v>
      </c>
      <c r="B1027" t="str">
        <f>[1]Result_notebook_retravaill!B1027</f>
        <v>Neodymium</v>
      </c>
      <c r="C1027" t="str">
        <f>[1]Result_notebook_retravaill!C1027</f>
        <v>Current Measures</v>
      </c>
      <c r="D1027" t="str">
        <f>[1]Result_notebook_retravaill!D1027</f>
        <v>Existing production</v>
      </c>
      <c r="E1027" t="str">
        <f>[1]Result_notebook_retravaill!E1027</f>
        <v>Current shares</v>
      </c>
      <c r="F1027" t="str">
        <f>[1]Result_notebook_retravaill!F1027</f>
        <v>NIMBY</v>
      </c>
      <c r="G1027">
        <f>[1]Result_notebook_retravaill!G1027</f>
        <v>1758.8013355418279</v>
      </c>
      <c r="H1027" s="3">
        <f>IF([1]Result_notebook_retravaill!I1027&gt;[1]Result_notebook_retravaill!G1027,[1]Result_notebook_retravaill!I1027/[1]Result_notebook_retravaill!N1027,[1]Result_notebook_retravaill!H1027)</f>
        <v>0</v>
      </c>
      <c r="I1027" s="3">
        <f>[1]Result_notebook_retravaill!K1027</f>
        <v>2931.33555923638</v>
      </c>
      <c r="J1027" s="3">
        <f>MIN(G1027,[1]Result_notebook_retravaill!I1027)</f>
        <v>0</v>
      </c>
      <c r="K1027" s="3">
        <f>IF([1]Result_notebook_retravaill!I1027&gt;[1]Result_notebook_retravaill!G1027,0,IF([1]Result_notebook_retravaill!I1027+[1]Result_notebook_retravaill!J1027&gt;[1]Result_notebook_retravaill!G1027,[1]Result_notebook_retravaill!G1027-[1]Result_notebook_retravaill!I1027,[1]Result_notebook_retravaill!J1027))</f>
        <v>0</v>
      </c>
      <c r="L1027" s="3">
        <f>IF([1]Result_notebook_retravaill!I1027&gt;[1]Result_notebook_retravaill!G1027,0,IF([1]Result_notebook_retravaill!I1027+[1]Result_notebook_retravaill!J1027&gt;[1]Result_notebook_retravaill!G1027,0,[1]Result_notebook_retravaill!M1027))</f>
        <v>1758.8013355418279</v>
      </c>
    </row>
    <row r="1028" spans="1:12">
      <c r="A1028">
        <f>[1]Result_notebook_retravaill!A1028</f>
        <v>2036</v>
      </c>
      <c r="B1028" t="str">
        <f>[1]Result_notebook_retravaill!B1028</f>
        <v>Neodymium</v>
      </c>
      <c r="C1028" t="str">
        <f>[1]Result_notebook_retravaill!C1028</f>
        <v>Current Measures</v>
      </c>
      <c r="D1028" t="str">
        <f>[1]Result_notebook_retravaill!D1028</f>
        <v>Existing production</v>
      </c>
      <c r="E1028" t="str">
        <f>[1]Result_notebook_retravaill!E1028</f>
        <v>Current shares</v>
      </c>
      <c r="F1028" t="str">
        <f>[1]Result_notebook_retravaill!F1028</f>
        <v>Status Quo</v>
      </c>
      <c r="G1028">
        <f>[1]Result_notebook_retravaill!G1028</f>
        <v>1758.8013355418279</v>
      </c>
      <c r="H1028" s="3">
        <f>IF([1]Result_notebook_retravaill!I1028&gt;[1]Result_notebook_retravaill!G1028,[1]Result_notebook_retravaill!I1028/[1]Result_notebook_retravaill!N1028,[1]Result_notebook_retravaill!H1028)</f>
        <v>0</v>
      </c>
      <c r="I1028" s="3">
        <f>[1]Result_notebook_retravaill!K1028</f>
        <v>2931.33555923638</v>
      </c>
      <c r="J1028" s="3">
        <f>MIN(G1028,[1]Result_notebook_retravaill!I1028)</f>
        <v>0</v>
      </c>
      <c r="K1028" s="3">
        <f>IF([1]Result_notebook_retravaill!I1028&gt;[1]Result_notebook_retravaill!G1028,0,IF([1]Result_notebook_retravaill!I1028+[1]Result_notebook_retravaill!J1028&gt;[1]Result_notebook_retravaill!G1028,[1]Result_notebook_retravaill!G1028-[1]Result_notebook_retravaill!I1028,[1]Result_notebook_retravaill!J1028))</f>
        <v>0</v>
      </c>
      <c r="L1028" s="3">
        <f>IF([1]Result_notebook_retravaill!I1028&gt;[1]Result_notebook_retravaill!G1028,0,IF([1]Result_notebook_retravaill!I1028+[1]Result_notebook_retravaill!J1028&gt;[1]Result_notebook_retravaill!G1028,0,[1]Result_notebook_retravaill!M1028))</f>
        <v>1758.8013355418279</v>
      </c>
    </row>
    <row r="1029" spans="1:12">
      <c r="A1029">
        <f>[1]Result_notebook_retravaill!A1029</f>
        <v>2036</v>
      </c>
      <c r="B1029" t="str">
        <f>[1]Result_notebook_retravaill!B1029</f>
        <v>Neodymium</v>
      </c>
      <c r="C1029" t="str">
        <f>[1]Result_notebook_retravaill!C1029</f>
        <v>Current Measures</v>
      </c>
      <c r="D1029" t="str">
        <f>[1]Result_notebook_retravaill!D1029</f>
        <v>Production potential</v>
      </c>
      <c r="E1029" t="str">
        <f>[1]Result_notebook_retravaill!E1029</f>
        <v>Current shares</v>
      </c>
      <c r="F1029" t="str">
        <f>[1]Result_notebook_retravaill!F1029</f>
        <v>Expansion Extractive</v>
      </c>
      <c r="G1029">
        <f>[1]Result_notebook_retravaill!G1029</f>
        <v>1758.8013355418279</v>
      </c>
      <c r="H1029" s="3">
        <f>IF([1]Result_notebook_retravaill!I1029&gt;[1]Result_notebook_retravaill!G1029,[1]Result_notebook_retravaill!I1029/[1]Result_notebook_retravaill!N1029,[1]Result_notebook_retravaill!H1029)</f>
        <v>112.111990107284</v>
      </c>
      <c r="I1029" s="3">
        <f>[1]Result_notebook_retravaill!K1029</f>
        <v>2819.2235691290962</v>
      </c>
      <c r="J1029" s="3">
        <f>MIN(G1029,[1]Result_notebook_retravaill!I1029)</f>
        <v>67.10394936401832</v>
      </c>
      <c r="K1029" s="3">
        <f>IF([1]Result_notebook_retravaill!I1029&gt;[1]Result_notebook_retravaill!G1029,0,IF([1]Result_notebook_retravaill!I1029+[1]Result_notebook_retravaill!J1029&gt;[1]Result_notebook_retravaill!G1029,[1]Result_notebook_retravaill!G1029-[1]Result_notebook_retravaill!I1029,[1]Result_notebook_retravaill!J1029))</f>
        <v>45.008040743265681</v>
      </c>
      <c r="L1029" s="3">
        <f>IF([1]Result_notebook_retravaill!I1029&gt;[1]Result_notebook_retravaill!G1029,0,IF([1]Result_notebook_retravaill!I1029+[1]Result_notebook_retravaill!J1029&gt;[1]Result_notebook_retravaill!G1029,0,[1]Result_notebook_retravaill!M1029))</f>
        <v>1646.6893454345443</v>
      </c>
    </row>
    <row r="1030" spans="1:12">
      <c r="A1030">
        <f>[1]Result_notebook_retravaill!A1030</f>
        <v>2036</v>
      </c>
      <c r="B1030" t="str">
        <f>[1]Result_notebook_retravaill!B1030</f>
        <v>Neodymium</v>
      </c>
      <c r="C1030" t="str">
        <f>[1]Result_notebook_retravaill!C1030</f>
        <v>Current Measures</v>
      </c>
      <c r="D1030" t="str">
        <f>[1]Result_notebook_retravaill!D1030</f>
        <v>Production potential</v>
      </c>
      <c r="E1030" t="str">
        <f>[1]Result_notebook_retravaill!E1030</f>
        <v>Current shares</v>
      </c>
      <c r="F1030" t="str">
        <f>[1]Result_notebook_retravaill!F1030</f>
        <v>Expansion Extractive+Circularity</v>
      </c>
      <c r="G1030">
        <f>[1]Result_notebook_retravaill!G1030</f>
        <v>1758.8013355418279</v>
      </c>
      <c r="H1030" s="3">
        <f>IF([1]Result_notebook_retravaill!I1030&gt;[1]Result_notebook_retravaill!G1030,[1]Result_notebook_retravaill!I1030/[1]Result_notebook_retravaill!N1030,[1]Result_notebook_retravaill!H1030)</f>
        <v>112.111990107284</v>
      </c>
      <c r="I1030" s="3">
        <f>[1]Result_notebook_retravaill!K1030</f>
        <v>2819.2235691290962</v>
      </c>
      <c r="J1030" s="3">
        <f>MIN(G1030,[1]Result_notebook_retravaill!I1030)</f>
        <v>67.10394936401832</v>
      </c>
      <c r="K1030" s="3">
        <f>IF([1]Result_notebook_retravaill!I1030&gt;[1]Result_notebook_retravaill!G1030,0,IF([1]Result_notebook_retravaill!I1030+[1]Result_notebook_retravaill!J1030&gt;[1]Result_notebook_retravaill!G1030,[1]Result_notebook_retravaill!G1030-[1]Result_notebook_retravaill!I1030,[1]Result_notebook_retravaill!J1030))</f>
        <v>45.008040743265681</v>
      </c>
      <c r="L1030" s="3">
        <f>IF([1]Result_notebook_retravaill!I1030&gt;[1]Result_notebook_retravaill!G1030,0,IF([1]Result_notebook_retravaill!I1030+[1]Result_notebook_retravaill!J1030&gt;[1]Result_notebook_retravaill!G1030,0,[1]Result_notebook_retravaill!M1030))</f>
        <v>1646.6893454345443</v>
      </c>
    </row>
    <row r="1031" spans="1:12">
      <c r="A1031">
        <f>[1]Result_notebook_retravaill!A1031</f>
        <v>2036</v>
      </c>
      <c r="B1031" t="str">
        <f>[1]Result_notebook_retravaill!B1031</f>
        <v>Neodymium</v>
      </c>
      <c r="C1031" t="str">
        <f>[1]Result_notebook_retravaill!C1031</f>
        <v>Current Measures</v>
      </c>
      <c r="D1031" t="str">
        <f>[1]Result_notebook_retravaill!D1031</f>
        <v>Production potential</v>
      </c>
      <c r="E1031" t="str">
        <f>[1]Result_notebook_retravaill!E1031</f>
        <v>100% CAN</v>
      </c>
      <c r="F1031" t="str">
        <f>[1]Result_notebook_retravaill!F1031</f>
        <v>Integrated</v>
      </c>
      <c r="G1031">
        <f>[1]Result_notebook_retravaill!G1031</f>
        <v>1758.8013355418279</v>
      </c>
      <c r="H1031" s="3">
        <f>IF([1]Result_notebook_retravaill!I1031&gt;[1]Result_notebook_retravaill!G1031,[1]Result_notebook_retravaill!I1031/[1]Result_notebook_retravaill!N1031,[1]Result_notebook_retravaill!H1031)</f>
        <v>112.111990107284</v>
      </c>
      <c r="I1031" s="3">
        <f>[1]Result_notebook_retravaill!K1031</f>
        <v>2819.2235691290962</v>
      </c>
      <c r="J1031" s="3">
        <f>MIN(G1031,[1]Result_notebook_retravaill!I1031)</f>
        <v>67.10394936401832</v>
      </c>
      <c r="K1031" s="3">
        <f>IF([1]Result_notebook_retravaill!I1031&gt;[1]Result_notebook_retravaill!G1031,0,IF([1]Result_notebook_retravaill!I1031+[1]Result_notebook_retravaill!J1031&gt;[1]Result_notebook_retravaill!G1031,[1]Result_notebook_retravaill!G1031-[1]Result_notebook_retravaill!I1031,[1]Result_notebook_retravaill!J1031))</f>
        <v>45.008040743265681</v>
      </c>
      <c r="L1031" s="3">
        <f>IF([1]Result_notebook_retravaill!I1031&gt;[1]Result_notebook_retravaill!G1031,0,IF([1]Result_notebook_retravaill!I1031+[1]Result_notebook_retravaill!J1031&gt;[1]Result_notebook_retravaill!G1031,0,[1]Result_notebook_retravaill!M1031))</f>
        <v>1646.6893454345443</v>
      </c>
    </row>
    <row r="1032" spans="1:12">
      <c r="A1032">
        <f>[1]Result_notebook_retravaill!A1032</f>
        <v>2036</v>
      </c>
      <c r="B1032" t="str">
        <f>[1]Result_notebook_retravaill!B1032</f>
        <v>Neodymium</v>
      </c>
      <c r="C1032" t="str">
        <f>[1]Result_notebook_retravaill!C1032</f>
        <v>Global Net-zero</v>
      </c>
      <c r="D1032" t="str">
        <f>[1]Result_notebook_retravaill!D1032</f>
        <v>Existing production</v>
      </c>
      <c r="E1032" t="str">
        <f>[1]Result_notebook_retravaill!E1032</f>
        <v>Current shares</v>
      </c>
      <c r="F1032" t="str">
        <f>[1]Result_notebook_retravaill!F1032</f>
        <v>NIMBY</v>
      </c>
      <c r="G1032">
        <f>[1]Result_notebook_retravaill!G1032</f>
        <v>5249.778261831415</v>
      </c>
      <c r="H1032" s="3">
        <f>IF([1]Result_notebook_retravaill!I1032&gt;[1]Result_notebook_retravaill!G1032,[1]Result_notebook_retravaill!I1032/[1]Result_notebook_retravaill!N1032,[1]Result_notebook_retravaill!H1032)</f>
        <v>0</v>
      </c>
      <c r="I1032" s="3">
        <f>[1]Result_notebook_retravaill!K1032</f>
        <v>8749.6304363856925</v>
      </c>
      <c r="J1032" s="3">
        <f>MIN(G1032,[1]Result_notebook_retravaill!I1032)</f>
        <v>0</v>
      </c>
      <c r="K1032" s="3">
        <f>IF([1]Result_notebook_retravaill!I1032&gt;[1]Result_notebook_retravaill!G1032,0,IF([1]Result_notebook_retravaill!I1032+[1]Result_notebook_retravaill!J1032&gt;[1]Result_notebook_retravaill!G1032,[1]Result_notebook_retravaill!G1032-[1]Result_notebook_retravaill!I1032,[1]Result_notebook_retravaill!J1032))</f>
        <v>0</v>
      </c>
      <c r="L1032" s="3">
        <f>IF([1]Result_notebook_retravaill!I1032&gt;[1]Result_notebook_retravaill!G1032,0,IF([1]Result_notebook_retravaill!I1032+[1]Result_notebook_retravaill!J1032&gt;[1]Result_notebook_retravaill!G1032,0,[1]Result_notebook_retravaill!M1032))</f>
        <v>5249.778261831415</v>
      </c>
    </row>
    <row r="1033" spans="1:12">
      <c r="A1033">
        <f>[1]Result_notebook_retravaill!A1033</f>
        <v>2036</v>
      </c>
      <c r="B1033" t="str">
        <f>[1]Result_notebook_retravaill!B1033</f>
        <v>Neodymium</v>
      </c>
      <c r="C1033" t="str">
        <f>[1]Result_notebook_retravaill!C1033</f>
        <v>Global Net-zero</v>
      </c>
      <c r="D1033" t="str">
        <f>[1]Result_notebook_retravaill!D1033</f>
        <v>Existing production</v>
      </c>
      <c r="E1033" t="str">
        <f>[1]Result_notebook_retravaill!E1033</f>
        <v>Current shares</v>
      </c>
      <c r="F1033" t="str">
        <f>[1]Result_notebook_retravaill!F1033</f>
        <v>Status Quo</v>
      </c>
      <c r="G1033">
        <f>[1]Result_notebook_retravaill!G1033</f>
        <v>5249.778261831415</v>
      </c>
      <c r="H1033" s="3">
        <f>IF([1]Result_notebook_retravaill!I1033&gt;[1]Result_notebook_retravaill!G1033,[1]Result_notebook_retravaill!I1033/[1]Result_notebook_retravaill!N1033,[1]Result_notebook_retravaill!H1033)</f>
        <v>0</v>
      </c>
      <c r="I1033" s="3">
        <f>[1]Result_notebook_retravaill!K1033</f>
        <v>8749.6304363856925</v>
      </c>
      <c r="J1033" s="3">
        <f>MIN(G1033,[1]Result_notebook_retravaill!I1033)</f>
        <v>0</v>
      </c>
      <c r="K1033" s="3">
        <f>IF([1]Result_notebook_retravaill!I1033&gt;[1]Result_notebook_retravaill!G1033,0,IF([1]Result_notebook_retravaill!I1033+[1]Result_notebook_retravaill!J1033&gt;[1]Result_notebook_retravaill!G1033,[1]Result_notebook_retravaill!G1033-[1]Result_notebook_retravaill!I1033,[1]Result_notebook_retravaill!J1033))</f>
        <v>0</v>
      </c>
      <c r="L1033" s="3">
        <f>IF([1]Result_notebook_retravaill!I1033&gt;[1]Result_notebook_retravaill!G1033,0,IF([1]Result_notebook_retravaill!I1033+[1]Result_notebook_retravaill!J1033&gt;[1]Result_notebook_retravaill!G1033,0,[1]Result_notebook_retravaill!M1033))</f>
        <v>5249.778261831415</v>
      </c>
    </row>
    <row r="1034" spans="1:12">
      <c r="A1034">
        <f>[1]Result_notebook_retravaill!A1034</f>
        <v>2036</v>
      </c>
      <c r="B1034" t="str">
        <f>[1]Result_notebook_retravaill!B1034</f>
        <v>Neodymium</v>
      </c>
      <c r="C1034" t="str">
        <f>[1]Result_notebook_retravaill!C1034</f>
        <v>Global Net-zero</v>
      </c>
      <c r="D1034" t="str">
        <f>[1]Result_notebook_retravaill!D1034</f>
        <v>Production potential</v>
      </c>
      <c r="E1034" t="str">
        <f>[1]Result_notebook_retravaill!E1034</f>
        <v>Current shares</v>
      </c>
      <c r="F1034" t="str">
        <f>[1]Result_notebook_retravaill!F1034</f>
        <v>Expansion Extractive</v>
      </c>
      <c r="G1034">
        <f>[1]Result_notebook_retravaill!G1034</f>
        <v>5249.778261831415</v>
      </c>
      <c r="H1034" s="3">
        <f>IF([1]Result_notebook_retravaill!I1034&gt;[1]Result_notebook_retravaill!G1034,[1]Result_notebook_retravaill!I1034/[1]Result_notebook_retravaill!N1034,[1]Result_notebook_retravaill!H1034)</f>
        <v>112.111990107284</v>
      </c>
      <c r="I1034" s="3">
        <f>[1]Result_notebook_retravaill!K1034</f>
        <v>8637.5184462784091</v>
      </c>
      <c r="J1034" s="3">
        <f>MIN(G1034,[1]Result_notebook_retravaill!I1034)</f>
        <v>67.10394936401832</v>
      </c>
      <c r="K1034" s="3">
        <f>IF([1]Result_notebook_retravaill!I1034&gt;[1]Result_notebook_retravaill!G1034,0,IF([1]Result_notebook_retravaill!I1034+[1]Result_notebook_retravaill!J1034&gt;[1]Result_notebook_retravaill!G1034,[1]Result_notebook_retravaill!G1034-[1]Result_notebook_retravaill!I1034,[1]Result_notebook_retravaill!J1034))</f>
        <v>45.008040743265681</v>
      </c>
      <c r="L1034" s="3">
        <f>IF([1]Result_notebook_retravaill!I1034&gt;[1]Result_notebook_retravaill!G1034,0,IF([1]Result_notebook_retravaill!I1034+[1]Result_notebook_retravaill!J1034&gt;[1]Result_notebook_retravaill!G1034,0,[1]Result_notebook_retravaill!M1034))</f>
        <v>5137.6662717241306</v>
      </c>
    </row>
    <row r="1035" spans="1:12">
      <c r="A1035">
        <f>[1]Result_notebook_retravaill!A1035</f>
        <v>2036</v>
      </c>
      <c r="B1035" t="str">
        <f>[1]Result_notebook_retravaill!B1035</f>
        <v>Neodymium</v>
      </c>
      <c r="C1035" t="str">
        <f>[1]Result_notebook_retravaill!C1035</f>
        <v>Global Net-zero</v>
      </c>
      <c r="D1035" t="str">
        <f>[1]Result_notebook_retravaill!D1035</f>
        <v>Production potential</v>
      </c>
      <c r="E1035" t="str">
        <f>[1]Result_notebook_retravaill!E1035</f>
        <v>Current shares</v>
      </c>
      <c r="F1035" t="str">
        <f>[1]Result_notebook_retravaill!F1035</f>
        <v>Expansion Extractive+Circularity</v>
      </c>
      <c r="G1035">
        <f>[1]Result_notebook_retravaill!G1035</f>
        <v>5249.778261831415</v>
      </c>
      <c r="H1035" s="3">
        <f>IF([1]Result_notebook_retravaill!I1035&gt;[1]Result_notebook_retravaill!G1035,[1]Result_notebook_retravaill!I1035/[1]Result_notebook_retravaill!N1035,[1]Result_notebook_retravaill!H1035)</f>
        <v>112.111990107284</v>
      </c>
      <c r="I1035" s="3">
        <f>[1]Result_notebook_retravaill!K1035</f>
        <v>8637.5184462784091</v>
      </c>
      <c r="J1035" s="3">
        <f>MIN(G1035,[1]Result_notebook_retravaill!I1035)</f>
        <v>67.10394936401832</v>
      </c>
      <c r="K1035" s="3">
        <f>IF([1]Result_notebook_retravaill!I1035&gt;[1]Result_notebook_retravaill!G1035,0,IF([1]Result_notebook_retravaill!I1035+[1]Result_notebook_retravaill!J1035&gt;[1]Result_notebook_retravaill!G1035,[1]Result_notebook_retravaill!G1035-[1]Result_notebook_retravaill!I1035,[1]Result_notebook_retravaill!J1035))</f>
        <v>45.008040743265681</v>
      </c>
      <c r="L1035" s="3">
        <f>IF([1]Result_notebook_retravaill!I1035&gt;[1]Result_notebook_retravaill!G1035,0,IF([1]Result_notebook_retravaill!I1035+[1]Result_notebook_retravaill!J1035&gt;[1]Result_notebook_retravaill!G1035,0,[1]Result_notebook_retravaill!M1035))</f>
        <v>5137.6662717241306</v>
      </c>
    </row>
    <row r="1036" spans="1:12">
      <c r="A1036">
        <f>[1]Result_notebook_retravaill!A1036</f>
        <v>2036</v>
      </c>
      <c r="B1036" t="str">
        <f>[1]Result_notebook_retravaill!B1036</f>
        <v>Neodymium</v>
      </c>
      <c r="C1036" t="str">
        <f>[1]Result_notebook_retravaill!C1036</f>
        <v>Global Net-zero</v>
      </c>
      <c r="D1036" t="str">
        <f>[1]Result_notebook_retravaill!D1036</f>
        <v>Production potential</v>
      </c>
      <c r="E1036" t="str">
        <f>[1]Result_notebook_retravaill!E1036</f>
        <v>100% CAN</v>
      </c>
      <c r="F1036" t="str">
        <f>[1]Result_notebook_retravaill!F1036</f>
        <v>Integrated</v>
      </c>
      <c r="G1036">
        <f>[1]Result_notebook_retravaill!G1036</f>
        <v>5249.778261831415</v>
      </c>
      <c r="H1036" s="3">
        <f>IF([1]Result_notebook_retravaill!I1036&gt;[1]Result_notebook_retravaill!G1036,[1]Result_notebook_retravaill!I1036/[1]Result_notebook_retravaill!N1036,[1]Result_notebook_retravaill!H1036)</f>
        <v>112.111990107284</v>
      </c>
      <c r="I1036" s="3">
        <f>[1]Result_notebook_retravaill!K1036</f>
        <v>8637.5184462784091</v>
      </c>
      <c r="J1036" s="3">
        <f>MIN(G1036,[1]Result_notebook_retravaill!I1036)</f>
        <v>67.10394936401832</v>
      </c>
      <c r="K1036" s="3">
        <f>IF([1]Result_notebook_retravaill!I1036&gt;[1]Result_notebook_retravaill!G1036,0,IF([1]Result_notebook_retravaill!I1036+[1]Result_notebook_retravaill!J1036&gt;[1]Result_notebook_retravaill!G1036,[1]Result_notebook_retravaill!G1036-[1]Result_notebook_retravaill!I1036,[1]Result_notebook_retravaill!J1036))</f>
        <v>45.008040743265681</v>
      </c>
      <c r="L1036" s="3">
        <f>IF([1]Result_notebook_retravaill!I1036&gt;[1]Result_notebook_retravaill!G1036,0,IF([1]Result_notebook_retravaill!I1036+[1]Result_notebook_retravaill!J1036&gt;[1]Result_notebook_retravaill!G1036,0,[1]Result_notebook_retravaill!M1036))</f>
        <v>5137.6662717241306</v>
      </c>
    </row>
    <row r="1037" spans="1:12">
      <c r="A1037">
        <f>[1]Result_notebook_retravaill!A1037</f>
        <v>2036</v>
      </c>
      <c r="B1037" t="str">
        <f>[1]Result_notebook_retravaill!B1037</f>
        <v>Nickel</v>
      </c>
      <c r="C1037" t="str">
        <f>[1]Result_notebook_retravaill!C1037</f>
        <v>Canada Net-zero</v>
      </c>
      <c r="D1037" t="str">
        <f>[1]Result_notebook_retravaill!D1037</f>
        <v>Existing production</v>
      </c>
      <c r="E1037" t="str">
        <f>[1]Result_notebook_retravaill!E1037</f>
        <v>Current shares</v>
      </c>
      <c r="F1037" t="str">
        <f>[1]Result_notebook_retravaill!F1037</f>
        <v>NIMBY</v>
      </c>
      <c r="G1037">
        <f>[1]Result_notebook_retravaill!G1037</f>
        <v>165843.46419653171</v>
      </c>
      <c r="H1037" s="3">
        <f>IF([1]Result_notebook_retravaill!I1037&gt;[1]Result_notebook_retravaill!G1037,[1]Result_notebook_retravaill!I1037/[1]Result_notebook_retravaill!N1037,[1]Result_notebook_retravaill!H1037)</f>
        <v>0</v>
      </c>
      <c r="I1037" s="3">
        <f>[1]Result_notebook_retravaill!K1037</f>
        <v>209928.43569181231</v>
      </c>
      <c r="J1037" s="3">
        <f>MIN(G1037,[1]Result_notebook_retravaill!I1037)</f>
        <v>0</v>
      </c>
      <c r="K1037" s="3">
        <f>IF([1]Result_notebook_retravaill!I1037&gt;[1]Result_notebook_retravaill!G1037,0,IF([1]Result_notebook_retravaill!I1037+[1]Result_notebook_retravaill!J1037&gt;[1]Result_notebook_retravaill!G1037,[1]Result_notebook_retravaill!G1037-[1]Result_notebook_retravaill!I1037,[1]Result_notebook_retravaill!J1037))</f>
        <v>0</v>
      </c>
      <c r="L1037" s="3">
        <f>IF([1]Result_notebook_retravaill!I1037&gt;[1]Result_notebook_retravaill!G1037,0,IF([1]Result_notebook_retravaill!I1037+[1]Result_notebook_retravaill!J1037&gt;[1]Result_notebook_retravaill!G1037,0,[1]Result_notebook_retravaill!M1037))</f>
        <v>165843.46419653171</v>
      </c>
    </row>
    <row r="1038" spans="1:12">
      <c r="A1038">
        <f>[1]Result_notebook_retravaill!A1038</f>
        <v>2036</v>
      </c>
      <c r="B1038" t="str">
        <f>[1]Result_notebook_retravaill!B1038</f>
        <v>Nickel</v>
      </c>
      <c r="C1038" t="str">
        <f>[1]Result_notebook_retravaill!C1038</f>
        <v>Canada Net-zero</v>
      </c>
      <c r="D1038" t="str">
        <f>[1]Result_notebook_retravaill!D1038</f>
        <v>Existing production</v>
      </c>
      <c r="E1038" t="str">
        <f>[1]Result_notebook_retravaill!E1038</f>
        <v>Current shares</v>
      </c>
      <c r="F1038" t="str">
        <f>[1]Result_notebook_retravaill!F1038</f>
        <v>Status Quo</v>
      </c>
      <c r="G1038">
        <f>[1]Result_notebook_retravaill!G1038</f>
        <v>165843.46419653171</v>
      </c>
      <c r="H1038" s="3">
        <f>IF([1]Result_notebook_retravaill!I1038&gt;[1]Result_notebook_retravaill!G1038,[1]Result_notebook_retravaill!I1038/[1]Result_notebook_retravaill!N1038,[1]Result_notebook_retravaill!H1038)</f>
        <v>116680</v>
      </c>
      <c r="I1038" s="3">
        <f>[1]Result_notebook_retravaill!K1038</f>
        <v>93248.435691812279</v>
      </c>
      <c r="J1038" s="3">
        <f>MIN(G1038,[1]Result_notebook_retravaill!I1038)</f>
        <v>65443.483404116138</v>
      </c>
      <c r="K1038" s="3">
        <f>IF([1]Result_notebook_retravaill!I1038&gt;[1]Result_notebook_retravaill!G1038,0,IF([1]Result_notebook_retravaill!I1038+[1]Result_notebook_retravaill!J1038&gt;[1]Result_notebook_retravaill!G1038,[1]Result_notebook_retravaill!G1038-[1]Result_notebook_retravaill!I1038,[1]Result_notebook_retravaill!J1038))</f>
        <v>16135.727142308955</v>
      </c>
      <c r="L1038" s="3">
        <f>IF([1]Result_notebook_retravaill!I1038&gt;[1]Result_notebook_retravaill!G1038,0,IF([1]Result_notebook_retravaill!I1038+[1]Result_notebook_retravaill!J1038&gt;[1]Result_notebook_retravaill!G1038,0,[1]Result_notebook_retravaill!M1038))</f>
        <v>84264.25365010665</v>
      </c>
    </row>
    <row r="1039" spans="1:12">
      <c r="A1039">
        <f>[1]Result_notebook_retravaill!A1039</f>
        <v>2036</v>
      </c>
      <c r="B1039" t="str">
        <f>[1]Result_notebook_retravaill!B1039</f>
        <v>Nickel</v>
      </c>
      <c r="C1039" t="str">
        <f>[1]Result_notebook_retravaill!C1039</f>
        <v>Canada Net-zero</v>
      </c>
      <c r="D1039" t="str">
        <f>[1]Result_notebook_retravaill!D1039</f>
        <v>Production potential</v>
      </c>
      <c r="E1039" t="str">
        <f>[1]Result_notebook_retravaill!E1039</f>
        <v>Current shares</v>
      </c>
      <c r="F1039" t="str">
        <f>[1]Result_notebook_retravaill!F1039</f>
        <v>Expansion Extractive</v>
      </c>
      <c r="G1039">
        <f>[1]Result_notebook_retravaill!G1039</f>
        <v>165843.46419653171</v>
      </c>
      <c r="H1039" s="3">
        <f>IF([1]Result_notebook_retravaill!I1039&gt;[1]Result_notebook_retravaill!G1039,[1]Result_notebook_retravaill!I1039/[1]Result_notebook_retravaill!N1039,[1]Result_notebook_retravaill!H1039)</f>
        <v>236101.16516190339</v>
      </c>
      <c r="I1039" s="3">
        <f>[1]Result_notebook_retravaill!K1039</f>
        <v>0</v>
      </c>
      <c r="J1039" s="3">
        <f>MIN(G1039,[1]Result_notebook_retravaill!I1039)</f>
        <v>132424.43164180251</v>
      </c>
      <c r="K1039" s="3">
        <f>IF([1]Result_notebook_retravaill!I1039&gt;[1]Result_notebook_retravaill!G1039,0,IF([1]Result_notebook_retravaill!I1039+[1]Result_notebook_retravaill!J1039&gt;[1]Result_notebook_retravaill!G1039,[1]Result_notebook_retravaill!G1039-[1]Result_notebook_retravaill!I1039,[1]Result_notebook_retravaill!J1039))</f>
        <v>32650.531188152934</v>
      </c>
      <c r="L1039" s="3">
        <f>IF([1]Result_notebook_retravaill!I1039&gt;[1]Result_notebook_retravaill!G1039,0,IF([1]Result_notebook_retravaill!I1039+[1]Result_notebook_retravaill!J1039&gt;[1]Result_notebook_retravaill!G1039,0,[1]Result_notebook_retravaill!M1039))</f>
        <v>768.50136657632538</v>
      </c>
    </row>
    <row r="1040" spans="1:12">
      <c r="A1040">
        <f>[1]Result_notebook_retravaill!A1040</f>
        <v>2036</v>
      </c>
      <c r="B1040" t="str">
        <f>[1]Result_notebook_retravaill!B1040</f>
        <v>Nickel</v>
      </c>
      <c r="C1040" t="str">
        <f>[1]Result_notebook_retravaill!C1040</f>
        <v>Canada Net-zero</v>
      </c>
      <c r="D1040" t="str">
        <f>[1]Result_notebook_retravaill!D1040</f>
        <v>Production potential</v>
      </c>
      <c r="E1040" t="str">
        <f>[1]Result_notebook_retravaill!E1040</f>
        <v>Current shares</v>
      </c>
      <c r="F1040" t="str">
        <f>[1]Result_notebook_retravaill!F1040</f>
        <v>Expansion Extractive+Circularity</v>
      </c>
      <c r="G1040">
        <f>[1]Result_notebook_retravaill!G1040</f>
        <v>165843.46419653171</v>
      </c>
      <c r="H1040" s="3">
        <f>IF([1]Result_notebook_retravaill!I1040&gt;[1]Result_notebook_retravaill!G1040,[1]Result_notebook_retravaill!I1040/[1]Result_notebook_retravaill!N1040,[1]Result_notebook_retravaill!H1040)</f>
        <v>236101.16516190339</v>
      </c>
      <c r="I1040" s="3">
        <f>[1]Result_notebook_retravaill!K1040</f>
        <v>0</v>
      </c>
      <c r="J1040" s="3">
        <f>MIN(G1040,[1]Result_notebook_retravaill!I1040)</f>
        <v>132424.43164180251</v>
      </c>
      <c r="K1040" s="3">
        <f>IF([1]Result_notebook_retravaill!I1040&gt;[1]Result_notebook_retravaill!G1040,0,IF([1]Result_notebook_retravaill!I1040+[1]Result_notebook_retravaill!J1040&gt;[1]Result_notebook_retravaill!G1040,[1]Result_notebook_retravaill!G1040-[1]Result_notebook_retravaill!I1040,[1]Result_notebook_retravaill!J1040))</f>
        <v>32650.531188152934</v>
      </c>
      <c r="L1040" s="3">
        <f>IF([1]Result_notebook_retravaill!I1040&gt;[1]Result_notebook_retravaill!G1040,0,IF([1]Result_notebook_retravaill!I1040+[1]Result_notebook_retravaill!J1040&gt;[1]Result_notebook_retravaill!G1040,0,[1]Result_notebook_retravaill!M1040))</f>
        <v>768.50136657632538</v>
      </c>
    </row>
    <row r="1041" spans="1:12">
      <c r="A1041">
        <f>[1]Result_notebook_retravaill!A1041</f>
        <v>2036</v>
      </c>
      <c r="B1041" t="str">
        <f>[1]Result_notebook_retravaill!B1041</f>
        <v>Nickel</v>
      </c>
      <c r="C1041" t="str">
        <f>[1]Result_notebook_retravaill!C1041</f>
        <v>Canada Net-zero</v>
      </c>
      <c r="D1041" t="str">
        <f>[1]Result_notebook_retravaill!D1041</f>
        <v>Production potential</v>
      </c>
      <c r="E1041" t="str">
        <f>[1]Result_notebook_retravaill!E1041</f>
        <v>100% CAN</v>
      </c>
      <c r="F1041" t="str">
        <f>[1]Result_notebook_retravaill!F1041</f>
        <v>Integrated</v>
      </c>
      <c r="G1041">
        <f>[1]Result_notebook_retravaill!G1041</f>
        <v>165843.46419653171</v>
      </c>
      <c r="H1041" s="3">
        <f>IF([1]Result_notebook_retravaill!I1041&gt;[1]Result_notebook_retravaill!G1041,[1]Result_notebook_retravaill!I1041/[1]Result_notebook_retravaill!N1041,[1]Result_notebook_retravaill!H1041)</f>
        <v>265947.51941340952</v>
      </c>
      <c r="I1041" s="3">
        <f>[1]Result_notebook_retravaill!K1041</f>
        <v>0</v>
      </c>
      <c r="J1041" s="3">
        <f>MIN(G1041,[1]Result_notebook_retravaill!I1041)</f>
        <v>165843.46419653171</v>
      </c>
      <c r="K1041" s="3">
        <f>IF([1]Result_notebook_retravaill!I1041&gt;[1]Result_notebook_retravaill!G1041,0,IF([1]Result_notebook_retravaill!I1041+[1]Result_notebook_retravaill!J1041&gt;[1]Result_notebook_retravaill!G1041,[1]Result_notebook_retravaill!G1041-[1]Result_notebook_retravaill!I1041,[1]Result_notebook_retravaill!J1041))</f>
        <v>0</v>
      </c>
      <c r="L1041" s="3">
        <f>IF([1]Result_notebook_retravaill!I1041&gt;[1]Result_notebook_retravaill!G1041,0,IF([1]Result_notebook_retravaill!I1041+[1]Result_notebook_retravaill!J1041&gt;[1]Result_notebook_retravaill!G1041,0,[1]Result_notebook_retravaill!M1041))</f>
        <v>0</v>
      </c>
    </row>
    <row r="1042" spans="1:12">
      <c r="A1042">
        <f>[1]Result_notebook_retravaill!A1042</f>
        <v>2036</v>
      </c>
      <c r="B1042" t="str">
        <f>[1]Result_notebook_retravaill!B1042</f>
        <v>Nickel</v>
      </c>
      <c r="C1042" t="str">
        <f>[1]Result_notebook_retravaill!C1042</f>
        <v>Current Measures</v>
      </c>
      <c r="D1042" t="str">
        <f>[1]Result_notebook_retravaill!D1042</f>
        <v>Existing production</v>
      </c>
      <c r="E1042" t="str">
        <f>[1]Result_notebook_retravaill!E1042</f>
        <v>Current shares</v>
      </c>
      <c r="F1042" t="str">
        <f>[1]Result_notebook_retravaill!F1042</f>
        <v>NIMBY</v>
      </c>
      <c r="G1042">
        <f>[1]Result_notebook_retravaill!G1042</f>
        <v>65540.179703389193</v>
      </c>
      <c r="H1042" s="3">
        <f>IF([1]Result_notebook_retravaill!I1042&gt;[1]Result_notebook_retravaill!G1042,[1]Result_notebook_retravaill!I1042/[1]Result_notebook_retravaill!N1042,[1]Result_notebook_retravaill!H1042)</f>
        <v>0</v>
      </c>
      <c r="I1042" s="3">
        <f>[1]Result_notebook_retravaill!K1042</f>
        <v>82962.252789100239</v>
      </c>
      <c r="J1042" s="3">
        <f>MIN(G1042,[1]Result_notebook_retravaill!I1042)</f>
        <v>0</v>
      </c>
      <c r="K1042" s="3">
        <f>IF([1]Result_notebook_retravaill!I1042&gt;[1]Result_notebook_retravaill!G1042,0,IF([1]Result_notebook_retravaill!I1042+[1]Result_notebook_retravaill!J1042&gt;[1]Result_notebook_retravaill!G1042,[1]Result_notebook_retravaill!G1042-[1]Result_notebook_retravaill!I1042,[1]Result_notebook_retravaill!J1042))</f>
        <v>0</v>
      </c>
      <c r="L1042" s="3">
        <f>IF([1]Result_notebook_retravaill!I1042&gt;[1]Result_notebook_retravaill!G1042,0,IF([1]Result_notebook_retravaill!I1042+[1]Result_notebook_retravaill!J1042&gt;[1]Result_notebook_retravaill!G1042,0,[1]Result_notebook_retravaill!M1042))</f>
        <v>65540.179703389193</v>
      </c>
    </row>
    <row r="1043" spans="1:12">
      <c r="A1043">
        <f>[1]Result_notebook_retravaill!A1043</f>
        <v>2036</v>
      </c>
      <c r="B1043" t="str">
        <f>[1]Result_notebook_retravaill!B1043</f>
        <v>Nickel</v>
      </c>
      <c r="C1043" t="str">
        <f>[1]Result_notebook_retravaill!C1043</f>
        <v>Current Measures</v>
      </c>
      <c r="D1043" t="str">
        <f>[1]Result_notebook_retravaill!D1043</f>
        <v>Existing production</v>
      </c>
      <c r="E1043" t="str">
        <f>[1]Result_notebook_retravaill!E1043</f>
        <v>Current shares</v>
      </c>
      <c r="F1043" t="str">
        <f>[1]Result_notebook_retravaill!F1043</f>
        <v>Status Quo</v>
      </c>
      <c r="G1043">
        <f>[1]Result_notebook_retravaill!G1043</f>
        <v>65540.179703389193</v>
      </c>
      <c r="H1043" s="3">
        <f>IF([1]Result_notebook_retravaill!I1043&gt;[1]Result_notebook_retravaill!G1043,[1]Result_notebook_retravaill!I1043/[1]Result_notebook_retravaill!N1043,[1]Result_notebook_retravaill!H1043)</f>
        <v>116680</v>
      </c>
      <c r="I1043" s="3">
        <f>[1]Result_notebook_retravaill!K1043</f>
        <v>0</v>
      </c>
      <c r="J1043" s="3">
        <f>MIN(G1043,[1]Result_notebook_retravaill!I1043)</f>
        <v>65443.483404116138</v>
      </c>
      <c r="K1043" s="3">
        <f>IF([1]Result_notebook_retravaill!I1043&gt;[1]Result_notebook_retravaill!G1043,0,IF([1]Result_notebook_retravaill!I1043+[1]Result_notebook_retravaill!J1043&gt;[1]Result_notebook_retravaill!G1043,[1]Result_notebook_retravaill!G1043-[1]Result_notebook_retravaill!I1043,[1]Result_notebook_retravaill!J1043))</f>
        <v>96.696299273055047</v>
      </c>
      <c r="L1043" s="3">
        <f>IF([1]Result_notebook_retravaill!I1043&gt;[1]Result_notebook_retravaill!G1043,0,IF([1]Result_notebook_retravaill!I1043+[1]Result_notebook_retravaill!J1043&gt;[1]Result_notebook_retravaill!G1043,0,[1]Result_notebook_retravaill!M1043))</f>
        <v>0</v>
      </c>
    </row>
    <row r="1044" spans="1:12">
      <c r="A1044">
        <f>[1]Result_notebook_retravaill!A1044</f>
        <v>2036</v>
      </c>
      <c r="B1044" t="str">
        <f>[1]Result_notebook_retravaill!B1044</f>
        <v>Nickel</v>
      </c>
      <c r="C1044" t="str">
        <f>[1]Result_notebook_retravaill!C1044</f>
        <v>Current Measures</v>
      </c>
      <c r="D1044" t="str">
        <f>[1]Result_notebook_retravaill!D1044</f>
        <v>Production potential</v>
      </c>
      <c r="E1044" t="str">
        <f>[1]Result_notebook_retravaill!E1044</f>
        <v>Current shares</v>
      </c>
      <c r="F1044" t="str">
        <f>[1]Result_notebook_retravaill!F1044</f>
        <v>Expansion Extractive</v>
      </c>
      <c r="G1044">
        <f>[1]Result_notebook_retravaill!G1044</f>
        <v>65540.179703389193</v>
      </c>
      <c r="H1044" s="3">
        <f>IF([1]Result_notebook_retravaill!I1044&gt;[1]Result_notebook_retravaill!G1044,[1]Result_notebook_retravaill!I1044/[1]Result_notebook_retravaill!N1044,[1]Result_notebook_retravaill!H1044)</f>
        <v>189402.20897544114</v>
      </c>
      <c r="I1044" s="3">
        <f>[1]Result_notebook_retravaill!K1044</f>
        <v>0</v>
      </c>
      <c r="J1044" s="3">
        <f>MIN(G1044,[1]Result_notebook_retravaill!I1044)</f>
        <v>65540.179703389193</v>
      </c>
      <c r="K1044" s="3">
        <f>IF([1]Result_notebook_retravaill!I1044&gt;[1]Result_notebook_retravaill!G1044,0,IF([1]Result_notebook_retravaill!I1044+[1]Result_notebook_retravaill!J1044&gt;[1]Result_notebook_retravaill!G1044,[1]Result_notebook_retravaill!G1044-[1]Result_notebook_retravaill!I1044,[1]Result_notebook_retravaill!J1044))</f>
        <v>0</v>
      </c>
      <c r="L1044" s="3">
        <f>IF([1]Result_notebook_retravaill!I1044&gt;[1]Result_notebook_retravaill!G1044,0,IF([1]Result_notebook_retravaill!I1044+[1]Result_notebook_retravaill!J1044&gt;[1]Result_notebook_retravaill!G1044,0,[1]Result_notebook_retravaill!M1044))</f>
        <v>0</v>
      </c>
    </row>
    <row r="1045" spans="1:12">
      <c r="A1045">
        <f>[1]Result_notebook_retravaill!A1045</f>
        <v>2036</v>
      </c>
      <c r="B1045" t="str">
        <f>[1]Result_notebook_retravaill!B1045</f>
        <v>Nickel</v>
      </c>
      <c r="C1045" t="str">
        <f>[1]Result_notebook_retravaill!C1045</f>
        <v>Current Measures</v>
      </c>
      <c r="D1045" t="str">
        <f>[1]Result_notebook_retravaill!D1045</f>
        <v>Production potential</v>
      </c>
      <c r="E1045" t="str">
        <f>[1]Result_notebook_retravaill!E1045</f>
        <v>Current shares</v>
      </c>
      <c r="F1045" t="str">
        <f>[1]Result_notebook_retravaill!F1045</f>
        <v>Expansion Extractive+Circularity</v>
      </c>
      <c r="G1045">
        <f>[1]Result_notebook_retravaill!G1045</f>
        <v>65540.179703389193</v>
      </c>
      <c r="H1045" s="3">
        <f>IF([1]Result_notebook_retravaill!I1045&gt;[1]Result_notebook_retravaill!G1045,[1]Result_notebook_retravaill!I1045/[1]Result_notebook_retravaill!N1045,[1]Result_notebook_retravaill!H1045)</f>
        <v>189402.20897544114</v>
      </c>
      <c r="I1045" s="3">
        <f>[1]Result_notebook_retravaill!K1045</f>
        <v>0</v>
      </c>
      <c r="J1045" s="3">
        <f>MIN(G1045,[1]Result_notebook_retravaill!I1045)</f>
        <v>65540.179703389193</v>
      </c>
      <c r="K1045" s="3">
        <f>IF([1]Result_notebook_retravaill!I1045&gt;[1]Result_notebook_retravaill!G1045,0,IF([1]Result_notebook_retravaill!I1045+[1]Result_notebook_retravaill!J1045&gt;[1]Result_notebook_retravaill!G1045,[1]Result_notebook_retravaill!G1045-[1]Result_notebook_retravaill!I1045,[1]Result_notebook_retravaill!J1045))</f>
        <v>0</v>
      </c>
      <c r="L1045" s="3">
        <f>IF([1]Result_notebook_retravaill!I1045&gt;[1]Result_notebook_retravaill!G1045,0,IF([1]Result_notebook_retravaill!I1045+[1]Result_notebook_retravaill!J1045&gt;[1]Result_notebook_retravaill!G1045,0,[1]Result_notebook_retravaill!M1045))</f>
        <v>0</v>
      </c>
    </row>
    <row r="1046" spans="1:12">
      <c r="A1046">
        <f>[1]Result_notebook_retravaill!A1046</f>
        <v>2036</v>
      </c>
      <c r="B1046" t="str">
        <f>[1]Result_notebook_retravaill!B1046</f>
        <v>Nickel</v>
      </c>
      <c r="C1046" t="str">
        <f>[1]Result_notebook_retravaill!C1046</f>
        <v>Current Measures</v>
      </c>
      <c r="D1046" t="str">
        <f>[1]Result_notebook_retravaill!D1046</f>
        <v>Production potential</v>
      </c>
      <c r="E1046" t="str">
        <f>[1]Result_notebook_retravaill!E1046</f>
        <v>100% CAN</v>
      </c>
      <c r="F1046" t="str">
        <f>[1]Result_notebook_retravaill!F1046</f>
        <v>Integrated</v>
      </c>
      <c r="G1046">
        <f>[1]Result_notebook_retravaill!G1046</f>
        <v>65540.179703389193</v>
      </c>
      <c r="H1046" s="3">
        <f>IF([1]Result_notebook_retravaill!I1046&gt;[1]Result_notebook_retravaill!G1046,[1]Result_notebook_retravaill!I1046/[1]Result_notebook_retravaill!N1046,[1]Result_notebook_retravaill!H1046)</f>
        <v>265947.51941340952</v>
      </c>
      <c r="I1046" s="3">
        <f>[1]Result_notebook_retravaill!K1046</f>
        <v>0</v>
      </c>
      <c r="J1046" s="3">
        <f>MIN(G1046,[1]Result_notebook_retravaill!I1046)</f>
        <v>65540.179703389193</v>
      </c>
      <c r="K1046" s="3">
        <f>IF([1]Result_notebook_retravaill!I1046&gt;[1]Result_notebook_retravaill!G1046,0,IF([1]Result_notebook_retravaill!I1046+[1]Result_notebook_retravaill!J1046&gt;[1]Result_notebook_retravaill!G1046,[1]Result_notebook_retravaill!G1046-[1]Result_notebook_retravaill!I1046,[1]Result_notebook_retravaill!J1046))</f>
        <v>0</v>
      </c>
      <c r="L1046" s="3">
        <f>IF([1]Result_notebook_retravaill!I1046&gt;[1]Result_notebook_retravaill!G1046,0,IF([1]Result_notebook_retravaill!I1046+[1]Result_notebook_retravaill!J1046&gt;[1]Result_notebook_retravaill!G1046,0,[1]Result_notebook_retravaill!M1046))</f>
        <v>0</v>
      </c>
    </row>
    <row r="1047" spans="1:12">
      <c r="A1047">
        <f>[1]Result_notebook_retravaill!A1047</f>
        <v>2036</v>
      </c>
      <c r="B1047" t="str">
        <f>[1]Result_notebook_retravaill!B1047</f>
        <v>Nickel</v>
      </c>
      <c r="C1047" t="str">
        <f>[1]Result_notebook_retravaill!C1047</f>
        <v>Global Net-zero</v>
      </c>
      <c r="D1047" t="str">
        <f>[1]Result_notebook_retravaill!D1047</f>
        <v>Existing production</v>
      </c>
      <c r="E1047" t="str">
        <f>[1]Result_notebook_retravaill!E1047</f>
        <v>Current shares</v>
      </c>
      <c r="F1047" t="str">
        <f>[1]Result_notebook_retravaill!F1047</f>
        <v>NIMBY</v>
      </c>
      <c r="G1047">
        <f>[1]Result_notebook_retravaill!G1047</f>
        <v>159552.34537882611</v>
      </c>
      <c r="H1047" s="3">
        <f>IF([1]Result_notebook_retravaill!I1047&gt;[1]Result_notebook_retravaill!G1047,[1]Result_notebook_retravaill!I1047/[1]Result_notebook_retravaill!N1047,[1]Result_notebook_retravaill!H1047)</f>
        <v>0</v>
      </c>
      <c r="I1047" s="3">
        <f>[1]Result_notebook_retravaill!K1047</f>
        <v>201964.99415041279</v>
      </c>
      <c r="J1047" s="3">
        <f>MIN(G1047,[1]Result_notebook_retravaill!I1047)</f>
        <v>0</v>
      </c>
      <c r="K1047" s="3">
        <f>IF([1]Result_notebook_retravaill!I1047&gt;[1]Result_notebook_retravaill!G1047,0,IF([1]Result_notebook_retravaill!I1047+[1]Result_notebook_retravaill!J1047&gt;[1]Result_notebook_retravaill!G1047,[1]Result_notebook_retravaill!G1047-[1]Result_notebook_retravaill!I1047,[1]Result_notebook_retravaill!J1047))</f>
        <v>0</v>
      </c>
      <c r="L1047" s="3">
        <f>IF([1]Result_notebook_retravaill!I1047&gt;[1]Result_notebook_retravaill!G1047,0,IF([1]Result_notebook_retravaill!I1047+[1]Result_notebook_retravaill!J1047&gt;[1]Result_notebook_retravaill!G1047,0,[1]Result_notebook_retravaill!M1047))</f>
        <v>159552.34537882611</v>
      </c>
    </row>
    <row r="1048" spans="1:12">
      <c r="A1048">
        <f>[1]Result_notebook_retravaill!A1048</f>
        <v>2036</v>
      </c>
      <c r="B1048" t="str">
        <f>[1]Result_notebook_retravaill!B1048</f>
        <v>Nickel</v>
      </c>
      <c r="C1048" t="str">
        <f>[1]Result_notebook_retravaill!C1048</f>
        <v>Global Net-zero</v>
      </c>
      <c r="D1048" t="str">
        <f>[1]Result_notebook_retravaill!D1048</f>
        <v>Existing production</v>
      </c>
      <c r="E1048" t="str">
        <f>[1]Result_notebook_retravaill!E1048</f>
        <v>Current shares</v>
      </c>
      <c r="F1048" t="str">
        <f>[1]Result_notebook_retravaill!F1048</f>
        <v>Status Quo</v>
      </c>
      <c r="G1048">
        <f>[1]Result_notebook_retravaill!G1048</f>
        <v>159552.34537882611</v>
      </c>
      <c r="H1048" s="3">
        <f>IF([1]Result_notebook_retravaill!I1048&gt;[1]Result_notebook_retravaill!G1048,[1]Result_notebook_retravaill!I1048/[1]Result_notebook_retravaill!N1048,[1]Result_notebook_retravaill!H1048)</f>
        <v>116680</v>
      </c>
      <c r="I1048" s="3">
        <f>[1]Result_notebook_retravaill!K1048</f>
        <v>85284.994150412793</v>
      </c>
      <c r="J1048" s="3">
        <f>MIN(G1048,[1]Result_notebook_retravaill!I1048)</f>
        <v>65443.483404116138</v>
      </c>
      <c r="K1048" s="3">
        <f>IF([1]Result_notebook_retravaill!I1048&gt;[1]Result_notebook_retravaill!G1048,0,IF([1]Result_notebook_retravaill!I1048+[1]Result_notebook_retravaill!J1048&gt;[1]Result_notebook_retravaill!G1048,[1]Result_notebook_retravaill!G1048-[1]Result_notebook_retravaill!I1048,[1]Result_notebook_retravaill!J1048))</f>
        <v>16135.727142308955</v>
      </c>
      <c r="L1048" s="3">
        <f>IF([1]Result_notebook_retravaill!I1048&gt;[1]Result_notebook_retravaill!G1048,0,IF([1]Result_notebook_retravaill!I1048+[1]Result_notebook_retravaill!J1048&gt;[1]Result_notebook_retravaill!G1048,0,[1]Result_notebook_retravaill!M1048))</f>
        <v>77973.134832401018</v>
      </c>
    </row>
    <row r="1049" spans="1:12">
      <c r="A1049">
        <f>[1]Result_notebook_retravaill!A1049</f>
        <v>2036</v>
      </c>
      <c r="B1049" t="str">
        <f>[1]Result_notebook_retravaill!B1049</f>
        <v>Nickel</v>
      </c>
      <c r="C1049" t="str">
        <f>[1]Result_notebook_retravaill!C1049</f>
        <v>Global Net-zero</v>
      </c>
      <c r="D1049" t="str">
        <f>[1]Result_notebook_retravaill!D1049</f>
        <v>Production potential</v>
      </c>
      <c r="E1049" t="str">
        <f>[1]Result_notebook_retravaill!E1049</f>
        <v>Current shares</v>
      </c>
      <c r="F1049" t="str">
        <f>[1]Result_notebook_retravaill!F1049</f>
        <v>Expansion Extractive</v>
      </c>
      <c r="G1049">
        <f>[1]Result_notebook_retravaill!G1049</f>
        <v>159552.34537882611</v>
      </c>
      <c r="H1049" s="3">
        <f>IF([1]Result_notebook_retravaill!I1049&gt;[1]Result_notebook_retravaill!G1049,[1]Result_notebook_retravaill!I1049/[1]Result_notebook_retravaill!N1049,[1]Result_notebook_retravaill!H1049)</f>
        <v>236101.16516190339</v>
      </c>
      <c r="I1049" s="3">
        <f>[1]Result_notebook_retravaill!K1049</f>
        <v>0</v>
      </c>
      <c r="J1049" s="3">
        <f>MIN(G1049,[1]Result_notebook_retravaill!I1049)</f>
        <v>132424.43164180251</v>
      </c>
      <c r="K1049" s="3">
        <f>IF([1]Result_notebook_retravaill!I1049&gt;[1]Result_notebook_retravaill!G1049,0,IF([1]Result_notebook_retravaill!I1049+[1]Result_notebook_retravaill!J1049&gt;[1]Result_notebook_retravaill!G1049,[1]Result_notebook_retravaill!G1049-[1]Result_notebook_retravaill!I1049,[1]Result_notebook_retravaill!J1049))</f>
        <v>27127.913737023599</v>
      </c>
      <c r="L1049" s="3">
        <f>IF([1]Result_notebook_retravaill!I1049&gt;[1]Result_notebook_retravaill!G1049,0,IF([1]Result_notebook_retravaill!I1049+[1]Result_notebook_retravaill!J1049&gt;[1]Result_notebook_retravaill!G1049,0,[1]Result_notebook_retravaill!M1049))</f>
        <v>0</v>
      </c>
    </row>
    <row r="1050" spans="1:12">
      <c r="A1050">
        <f>[1]Result_notebook_retravaill!A1050</f>
        <v>2036</v>
      </c>
      <c r="B1050" t="str">
        <f>[1]Result_notebook_retravaill!B1050</f>
        <v>Nickel</v>
      </c>
      <c r="C1050" t="str">
        <f>[1]Result_notebook_retravaill!C1050</f>
        <v>Global Net-zero</v>
      </c>
      <c r="D1050" t="str">
        <f>[1]Result_notebook_retravaill!D1050</f>
        <v>Production potential</v>
      </c>
      <c r="E1050" t="str">
        <f>[1]Result_notebook_retravaill!E1050</f>
        <v>Current shares</v>
      </c>
      <c r="F1050" t="str">
        <f>[1]Result_notebook_retravaill!F1050</f>
        <v>Expansion Extractive+Circularity</v>
      </c>
      <c r="G1050">
        <f>[1]Result_notebook_retravaill!G1050</f>
        <v>159552.34537882611</v>
      </c>
      <c r="H1050" s="3">
        <f>IF([1]Result_notebook_retravaill!I1050&gt;[1]Result_notebook_retravaill!G1050,[1]Result_notebook_retravaill!I1050/[1]Result_notebook_retravaill!N1050,[1]Result_notebook_retravaill!H1050)</f>
        <v>236101.16516190339</v>
      </c>
      <c r="I1050" s="3">
        <f>[1]Result_notebook_retravaill!K1050</f>
        <v>0</v>
      </c>
      <c r="J1050" s="3">
        <f>MIN(G1050,[1]Result_notebook_retravaill!I1050)</f>
        <v>132424.43164180251</v>
      </c>
      <c r="K1050" s="3">
        <f>IF([1]Result_notebook_retravaill!I1050&gt;[1]Result_notebook_retravaill!G1050,0,IF([1]Result_notebook_retravaill!I1050+[1]Result_notebook_retravaill!J1050&gt;[1]Result_notebook_retravaill!G1050,[1]Result_notebook_retravaill!G1050-[1]Result_notebook_retravaill!I1050,[1]Result_notebook_retravaill!J1050))</f>
        <v>27127.913737023599</v>
      </c>
      <c r="L1050" s="3">
        <f>IF([1]Result_notebook_retravaill!I1050&gt;[1]Result_notebook_retravaill!G1050,0,IF([1]Result_notebook_retravaill!I1050+[1]Result_notebook_retravaill!J1050&gt;[1]Result_notebook_retravaill!G1050,0,[1]Result_notebook_retravaill!M1050))</f>
        <v>0</v>
      </c>
    </row>
    <row r="1051" spans="1:12">
      <c r="A1051">
        <f>[1]Result_notebook_retravaill!A1051</f>
        <v>2036</v>
      </c>
      <c r="B1051" t="str">
        <f>[1]Result_notebook_retravaill!B1051</f>
        <v>Nickel</v>
      </c>
      <c r="C1051" t="str">
        <f>[1]Result_notebook_retravaill!C1051</f>
        <v>Global Net-zero</v>
      </c>
      <c r="D1051" t="str">
        <f>[1]Result_notebook_retravaill!D1051</f>
        <v>Production potential</v>
      </c>
      <c r="E1051" t="str">
        <f>[1]Result_notebook_retravaill!E1051</f>
        <v>100% CAN</v>
      </c>
      <c r="F1051" t="str">
        <f>[1]Result_notebook_retravaill!F1051</f>
        <v>Integrated</v>
      </c>
      <c r="G1051">
        <f>[1]Result_notebook_retravaill!G1051</f>
        <v>159552.34537882611</v>
      </c>
      <c r="H1051" s="3">
        <f>IF([1]Result_notebook_retravaill!I1051&gt;[1]Result_notebook_retravaill!G1051,[1]Result_notebook_retravaill!I1051/[1]Result_notebook_retravaill!N1051,[1]Result_notebook_retravaill!H1051)</f>
        <v>265947.51941340952</v>
      </c>
      <c r="I1051" s="3">
        <f>[1]Result_notebook_retravaill!K1051</f>
        <v>0</v>
      </c>
      <c r="J1051" s="3">
        <f>MIN(G1051,[1]Result_notebook_retravaill!I1051)</f>
        <v>159552.34537882611</v>
      </c>
      <c r="K1051" s="3">
        <f>IF([1]Result_notebook_retravaill!I1051&gt;[1]Result_notebook_retravaill!G1051,0,IF([1]Result_notebook_retravaill!I1051+[1]Result_notebook_retravaill!J1051&gt;[1]Result_notebook_retravaill!G1051,[1]Result_notebook_retravaill!G1051-[1]Result_notebook_retravaill!I1051,[1]Result_notebook_retravaill!J1051))</f>
        <v>0</v>
      </c>
      <c r="L1051" s="3">
        <f>IF([1]Result_notebook_retravaill!I1051&gt;[1]Result_notebook_retravaill!G1051,0,IF([1]Result_notebook_retravaill!I1051+[1]Result_notebook_retravaill!J1051&gt;[1]Result_notebook_retravaill!G1051,0,[1]Result_notebook_retravaill!M1051))</f>
        <v>0</v>
      </c>
    </row>
    <row r="1052" spans="1:12">
      <c r="A1052">
        <f>[1]Result_notebook_retravaill!A1052</f>
        <v>2036</v>
      </c>
      <c r="B1052" t="str">
        <f>[1]Result_notebook_retravaill!B1052</f>
        <v>Graphite</v>
      </c>
      <c r="C1052" t="str">
        <f>[1]Result_notebook_retravaill!C1052</f>
        <v>Canada Net-zero</v>
      </c>
      <c r="D1052" t="str">
        <f>[1]Result_notebook_retravaill!D1052</f>
        <v>Existing production</v>
      </c>
      <c r="E1052" t="str">
        <f>[1]Result_notebook_retravaill!E1052</f>
        <v>Current shares</v>
      </c>
      <c r="F1052" t="str">
        <f>[1]Result_notebook_retravaill!F1052</f>
        <v>NIMBY</v>
      </c>
      <c r="G1052">
        <f>[1]Result_notebook_retravaill!G1052</f>
        <v>3178.982459798764</v>
      </c>
      <c r="H1052" s="3">
        <f>IF([1]Result_notebook_retravaill!I1052&gt;[1]Result_notebook_retravaill!G1052,[1]Result_notebook_retravaill!I1052/[1]Result_notebook_retravaill!N1052,[1]Result_notebook_retravaill!H1052)</f>
        <v>0</v>
      </c>
      <c r="I1052" s="3">
        <f>[1]Result_notebook_retravaill!K1052</f>
        <v>3178.982459798764</v>
      </c>
      <c r="J1052" s="3">
        <f>MIN(G1052,[1]Result_notebook_retravaill!I1052)</f>
        <v>0</v>
      </c>
      <c r="K1052" s="3">
        <f>IF([1]Result_notebook_retravaill!I1052&gt;[1]Result_notebook_retravaill!G1052,0,IF([1]Result_notebook_retravaill!I1052+[1]Result_notebook_retravaill!J1052&gt;[1]Result_notebook_retravaill!G1052,[1]Result_notebook_retravaill!G1052-[1]Result_notebook_retravaill!I1052,[1]Result_notebook_retravaill!J1052))</f>
        <v>0</v>
      </c>
      <c r="L1052" s="3">
        <f>IF([1]Result_notebook_retravaill!I1052&gt;[1]Result_notebook_retravaill!G1052,0,IF([1]Result_notebook_retravaill!I1052+[1]Result_notebook_retravaill!J1052&gt;[1]Result_notebook_retravaill!G1052,0,[1]Result_notebook_retravaill!M1052))</f>
        <v>3178.982459798764</v>
      </c>
    </row>
    <row r="1053" spans="1:12">
      <c r="A1053">
        <f>[1]Result_notebook_retravaill!A1053</f>
        <v>2036</v>
      </c>
      <c r="B1053" t="str">
        <f>[1]Result_notebook_retravaill!B1053</f>
        <v>Graphite</v>
      </c>
      <c r="C1053" t="str">
        <f>[1]Result_notebook_retravaill!C1053</f>
        <v>Canada Net-zero</v>
      </c>
      <c r="D1053" t="str">
        <f>[1]Result_notebook_retravaill!D1053</f>
        <v>Existing production</v>
      </c>
      <c r="E1053" t="str">
        <f>[1]Result_notebook_retravaill!E1053</f>
        <v>Current shares</v>
      </c>
      <c r="F1053" t="str">
        <f>[1]Result_notebook_retravaill!F1053</f>
        <v>Status Quo</v>
      </c>
      <c r="G1053">
        <f>[1]Result_notebook_retravaill!G1053</f>
        <v>3178.982459798764</v>
      </c>
      <c r="H1053" s="3">
        <f>IF([1]Result_notebook_retravaill!I1053&gt;[1]Result_notebook_retravaill!G1053,[1]Result_notebook_retravaill!I1053/[1]Result_notebook_retravaill!N1053,[1]Result_notebook_retravaill!H1053)</f>
        <v>0</v>
      </c>
      <c r="I1053" s="3">
        <f>[1]Result_notebook_retravaill!K1053</f>
        <v>3178.982459798764</v>
      </c>
      <c r="J1053" s="3">
        <f>MIN(G1053,[1]Result_notebook_retravaill!I1053)</f>
        <v>0</v>
      </c>
      <c r="K1053" s="3">
        <f>IF([1]Result_notebook_retravaill!I1053&gt;[1]Result_notebook_retravaill!G1053,0,IF([1]Result_notebook_retravaill!I1053+[1]Result_notebook_retravaill!J1053&gt;[1]Result_notebook_retravaill!G1053,[1]Result_notebook_retravaill!G1053-[1]Result_notebook_retravaill!I1053,[1]Result_notebook_retravaill!J1053))</f>
        <v>0</v>
      </c>
      <c r="L1053" s="3">
        <f>IF([1]Result_notebook_retravaill!I1053&gt;[1]Result_notebook_retravaill!G1053,0,IF([1]Result_notebook_retravaill!I1053+[1]Result_notebook_retravaill!J1053&gt;[1]Result_notebook_retravaill!G1053,0,[1]Result_notebook_retravaill!M1053))</f>
        <v>3178.982459798764</v>
      </c>
    </row>
    <row r="1054" spans="1:12">
      <c r="A1054">
        <f>[1]Result_notebook_retravaill!A1054</f>
        <v>2036</v>
      </c>
      <c r="B1054" t="str">
        <f>[1]Result_notebook_retravaill!B1054</f>
        <v>Graphite</v>
      </c>
      <c r="C1054" t="str">
        <f>[1]Result_notebook_retravaill!C1054</f>
        <v>Canada Net-zero</v>
      </c>
      <c r="D1054" t="str">
        <f>[1]Result_notebook_retravaill!D1054</f>
        <v>Production potential</v>
      </c>
      <c r="E1054" t="str">
        <f>[1]Result_notebook_retravaill!E1054</f>
        <v>Current shares</v>
      </c>
      <c r="F1054" t="str">
        <f>[1]Result_notebook_retravaill!F1054</f>
        <v>Expansion Extractive</v>
      </c>
      <c r="G1054">
        <f>[1]Result_notebook_retravaill!G1054</f>
        <v>3178.982459798764</v>
      </c>
      <c r="H1054" s="3">
        <f>IF([1]Result_notebook_retravaill!I1054&gt;[1]Result_notebook_retravaill!G1054,[1]Result_notebook_retravaill!I1054/[1]Result_notebook_retravaill!N1054,[1]Result_notebook_retravaill!H1054)</f>
        <v>104036.21692331611</v>
      </c>
      <c r="I1054" s="3">
        <f>[1]Result_notebook_retravaill!K1054</f>
        <v>0</v>
      </c>
      <c r="J1054" s="3">
        <f>MIN(G1054,[1]Result_notebook_retravaill!I1054)</f>
        <v>3178.982459798764</v>
      </c>
      <c r="K1054" s="3">
        <f>IF([1]Result_notebook_retravaill!I1054&gt;[1]Result_notebook_retravaill!G1054,0,IF([1]Result_notebook_retravaill!I1054+[1]Result_notebook_retravaill!J1054&gt;[1]Result_notebook_retravaill!G1054,[1]Result_notebook_retravaill!G1054-[1]Result_notebook_retravaill!I1054,[1]Result_notebook_retravaill!J1054))</f>
        <v>0</v>
      </c>
      <c r="L1054" s="3">
        <f>IF([1]Result_notebook_retravaill!I1054&gt;[1]Result_notebook_retravaill!G1054,0,IF([1]Result_notebook_retravaill!I1054+[1]Result_notebook_retravaill!J1054&gt;[1]Result_notebook_retravaill!G1054,0,[1]Result_notebook_retravaill!M1054))</f>
        <v>0</v>
      </c>
    </row>
    <row r="1055" spans="1:12">
      <c r="A1055">
        <f>[1]Result_notebook_retravaill!A1055</f>
        <v>2036</v>
      </c>
      <c r="B1055" t="str">
        <f>[1]Result_notebook_retravaill!B1055</f>
        <v>Graphite</v>
      </c>
      <c r="C1055" t="str">
        <f>[1]Result_notebook_retravaill!C1055</f>
        <v>Canada Net-zero</v>
      </c>
      <c r="D1055" t="str">
        <f>[1]Result_notebook_retravaill!D1055</f>
        <v>Production potential</v>
      </c>
      <c r="E1055" t="str">
        <f>[1]Result_notebook_retravaill!E1055</f>
        <v>Current shares</v>
      </c>
      <c r="F1055" t="str">
        <f>[1]Result_notebook_retravaill!F1055</f>
        <v>Expansion Extractive+Circularity</v>
      </c>
      <c r="G1055">
        <f>[1]Result_notebook_retravaill!G1055</f>
        <v>3178.982459798764</v>
      </c>
      <c r="H1055" s="3">
        <f>IF([1]Result_notebook_retravaill!I1055&gt;[1]Result_notebook_retravaill!G1055,[1]Result_notebook_retravaill!I1055/[1]Result_notebook_retravaill!N1055,[1]Result_notebook_retravaill!H1055)</f>
        <v>104036.21692331611</v>
      </c>
      <c r="I1055" s="3">
        <f>[1]Result_notebook_retravaill!K1055</f>
        <v>0</v>
      </c>
      <c r="J1055" s="3">
        <f>MIN(G1055,[1]Result_notebook_retravaill!I1055)</f>
        <v>3178.982459798764</v>
      </c>
      <c r="K1055" s="3">
        <f>IF([1]Result_notebook_retravaill!I1055&gt;[1]Result_notebook_retravaill!G1055,0,IF([1]Result_notebook_retravaill!I1055+[1]Result_notebook_retravaill!J1055&gt;[1]Result_notebook_retravaill!G1055,[1]Result_notebook_retravaill!G1055-[1]Result_notebook_retravaill!I1055,[1]Result_notebook_retravaill!J1055))</f>
        <v>0</v>
      </c>
      <c r="L1055" s="3">
        <f>IF([1]Result_notebook_retravaill!I1055&gt;[1]Result_notebook_retravaill!G1055,0,IF([1]Result_notebook_retravaill!I1055+[1]Result_notebook_retravaill!J1055&gt;[1]Result_notebook_retravaill!G1055,0,[1]Result_notebook_retravaill!M1055))</f>
        <v>0</v>
      </c>
    </row>
    <row r="1056" spans="1:12">
      <c r="A1056">
        <f>[1]Result_notebook_retravaill!A1056</f>
        <v>2036</v>
      </c>
      <c r="B1056" t="str">
        <f>[1]Result_notebook_retravaill!B1056</f>
        <v>Graphite</v>
      </c>
      <c r="C1056" t="str">
        <f>[1]Result_notebook_retravaill!C1056</f>
        <v>Canada Net-zero</v>
      </c>
      <c r="D1056" t="str">
        <f>[1]Result_notebook_retravaill!D1056</f>
        <v>Production potential</v>
      </c>
      <c r="E1056" t="str">
        <f>[1]Result_notebook_retravaill!E1056</f>
        <v>100% CAN</v>
      </c>
      <c r="F1056" t="str">
        <f>[1]Result_notebook_retravaill!F1056</f>
        <v>Integrated</v>
      </c>
      <c r="G1056">
        <f>[1]Result_notebook_retravaill!G1056</f>
        <v>3178.982459798764</v>
      </c>
      <c r="H1056" s="3">
        <f>IF([1]Result_notebook_retravaill!I1056&gt;[1]Result_notebook_retravaill!G1056,[1]Result_notebook_retravaill!I1056/[1]Result_notebook_retravaill!N1056,[1]Result_notebook_retravaill!H1056)</f>
        <v>104036.21692331611</v>
      </c>
      <c r="I1056" s="3">
        <f>[1]Result_notebook_retravaill!K1056</f>
        <v>0</v>
      </c>
      <c r="J1056" s="3">
        <f>MIN(G1056,[1]Result_notebook_retravaill!I1056)</f>
        <v>3178.982459798764</v>
      </c>
      <c r="K1056" s="3">
        <f>IF([1]Result_notebook_retravaill!I1056&gt;[1]Result_notebook_retravaill!G1056,0,IF([1]Result_notebook_retravaill!I1056+[1]Result_notebook_retravaill!J1056&gt;[1]Result_notebook_retravaill!G1056,[1]Result_notebook_retravaill!G1056-[1]Result_notebook_retravaill!I1056,[1]Result_notebook_retravaill!J1056))</f>
        <v>0</v>
      </c>
      <c r="L1056" s="3">
        <f>IF([1]Result_notebook_retravaill!I1056&gt;[1]Result_notebook_retravaill!G1056,0,IF([1]Result_notebook_retravaill!I1056+[1]Result_notebook_retravaill!J1056&gt;[1]Result_notebook_retravaill!G1056,0,[1]Result_notebook_retravaill!M1056))</f>
        <v>0</v>
      </c>
    </row>
    <row r="1057" spans="1:12">
      <c r="A1057">
        <f>[1]Result_notebook_retravaill!A1057</f>
        <v>2036</v>
      </c>
      <c r="B1057" t="str">
        <f>[1]Result_notebook_retravaill!B1057</f>
        <v>Graphite</v>
      </c>
      <c r="C1057" t="str">
        <f>[1]Result_notebook_retravaill!C1057</f>
        <v>Current Measures</v>
      </c>
      <c r="D1057" t="str">
        <f>[1]Result_notebook_retravaill!D1057</f>
        <v>Existing production</v>
      </c>
      <c r="E1057" t="str">
        <f>[1]Result_notebook_retravaill!E1057</f>
        <v>Current shares</v>
      </c>
      <c r="F1057" t="str">
        <f>[1]Result_notebook_retravaill!F1057</f>
        <v>NIMBY</v>
      </c>
      <c r="G1057">
        <f>[1]Result_notebook_retravaill!G1057</f>
        <v>1181.081330457198</v>
      </c>
      <c r="H1057" s="3">
        <f>IF([1]Result_notebook_retravaill!I1057&gt;[1]Result_notebook_retravaill!G1057,[1]Result_notebook_retravaill!I1057/[1]Result_notebook_retravaill!N1057,[1]Result_notebook_retravaill!H1057)</f>
        <v>0</v>
      </c>
      <c r="I1057" s="3">
        <f>[1]Result_notebook_retravaill!K1057</f>
        <v>1181.081330457198</v>
      </c>
      <c r="J1057" s="3">
        <f>MIN(G1057,[1]Result_notebook_retravaill!I1057)</f>
        <v>0</v>
      </c>
      <c r="K1057" s="3">
        <f>IF([1]Result_notebook_retravaill!I1057&gt;[1]Result_notebook_retravaill!G1057,0,IF([1]Result_notebook_retravaill!I1057+[1]Result_notebook_retravaill!J1057&gt;[1]Result_notebook_retravaill!G1057,[1]Result_notebook_retravaill!G1057-[1]Result_notebook_retravaill!I1057,[1]Result_notebook_retravaill!J1057))</f>
        <v>0</v>
      </c>
      <c r="L1057" s="3">
        <f>IF([1]Result_notebook_retravaill!I1057&gt;[1]Result_notebook_retravaill!G1057,0,IF([1]Result_notebook_retravaill!I1057+[1]Result_notebook_retravaill!J1057&gt;[1]Result_notebook_retravaill!G1057,0,[1]Result_notebook_retravaill!M1057))</f>
        <v>1181.081330457198</v>
      </c>
    </row>
    <row r="1058" spans="1:12">
      <c r="A1058">
        <f>[1]Result_notebook_retravaill!A1058</f>
        <v>2036</v>
      </c>
      <c r="B1058" t="str">
        <f>[1]Result_notebook_retravaill!B1058</f>
        <v>Graphite</v>
      </c>
      <c r="C1058" t="str">
        <f>[1]Result_notebook_retravaill!C1058</f>
        <v>Current Measures</v>
      </c>
      <c r="D1058" t="str">
        <f>[1]Result_notebook_retravaill!D1058</f>
        <v>Existing production</v>
      </c>
      <c r="E1058" t="str">
        <f>[1]Result_notebook_retravaill!E1058</f>
        <v>Current shares</v>
      </c>
      <c r="F1058" t="str">
        <f>[1]Result_notebook_retravaill!F1058</f>
        <v>Status Quo</v>
      </c>
      <c r="G1058">
        <f>[1]Result_notebook_retravaill!G1058</f>
        <v>1181.081330457198</v>
      </c>
      <c r="H1058" s="3">
        <f>IF([1]Result_notebook_retravaill!I1058&gt;[1]Result_notebook_retravaill!G1058,[1]Result_notebook_retravaill!I1058/[1]Result_notebook_retravaill!N1058,[1]Result_notebook_retravaill!H1058)</f>
        <v>0</v>
      </c>
      <c r="I1058" s="3">
        <f>[1]Result_notebook_retravaill!K1058</f>
        <v>1181.081330457198</v>
      </c>
      <c r="J1058" s="3">
        <f>MIN(G1058,[1]Result_notebook_retravaill!I1058)</f>
        <v>0</v>
      </c>
      <c r="K1058" s="3">
        <f>IF([1]Result_notebook_retravaill!I1058&gt;[1]Result_notebook_retravaill!G1058,0,IF([1]Result_notebook_retravaill!I1058+[1]Result_notebook_retravaill!J1058&gt;[1]Result_notebook_retravaill!G1058,[1]Result_notebook_retravaill!G1058-[1]Result_notebook_retravaill!I1058,[1]Result_notebook_retravaill!J1058))</f>
        <v>0</v>
      </c>
      <c r="L1058" s="3">
        <f>IF([1]Result_notebook_retravaill!I1058&gt;[1]Result_notebook_retravaill!G1058,0,IF([1]Result_notebook_retravaill!I1058+[1]Result_notebook_retravaill!J1058&gt;[1]Result_notebook_retravaill!G1058,0,[1]Result_notebook_retravaill!M1058))</f>
        <v>1181.081330457198</v>
      </c>
    </row>
    <row r="1059" spans="1:12">
      <c r="A1059">
        <f>[1]Result_notebook_retravaill!A1059</f>
        <v>2036</v>
      </c>
      <c r="B1059" t="str">
        <f>[1]Result_notebook_retravaill!B1059</f>
        <v>Graphite</v>
      </c>
      <c r="C1059" t="str">
        <f>[1]Result_notebook_retravaill!C1059</f>
        <v>Current Measures</v>
      </c>
      <c r="D1059" t="str">
        <f>[1]Result_notebook_retravaill!D1059</f>
        <v>Production potential</v>
      </c>
      <c r="E1059" t="str">
        <f>[1]Result_notebook_retravaill!E1059</f>
        <v>Current shares</v>
      </c>
      <c r="F1059" t="str">
        <f>[1]Result_notebook_retravaill!F1059</f>
        <v>Expansion Extractive</v>
      </c>
      <c r="G1059">
        <f>[1]Result_notebook_retravaill!G1059</f>
        <v>1181.081330457198</v>
      </c>
      <c r="H1059" s="3">
        <f>IF([1]Result_notebook_retravaill!I1059&gt;[1]Result_notebook_retravaill!G1059,[1]Result_notebook_retravaill!I1059/[1]Result_notebook_retravaill!N1059,[1]Result_notebook_retravaill!H1059)</f>
        <v>104036.21692331611</v>
      </c>
      <c r="I1059" s="3">
        <f>[1]Result_notebook_retravaill!K1059</f>
        <v>0</v>
      </c>
      <c r="J1059" s="3">
        <f>MIN(G1059,[1]Result_notebook_retravaill!I1059)</f>
        <v>1181.081330457198</v>
      </c>
      <c r="K1059" s="3">
        <f>IF([1]Result_notebook_retravaill!I1059&gt;[1]Result_notebook_retravaill!G1059,0,IF([1]Result_notebook_retravaill!I1059+[1]Result_notebook_retravaill!J1059&gt;[1]Result_notebook_retravaill!G1059,[1]Result_notebook_retravaill!G1059-[1]Result_notebook_retravaill!I1059,[1]Result_notebook_retravaill!J1059))</f>
        <v>0</v>
      </c>
      <c r="L1059" s="3">
        <f>IF([1]Result_notebook_retravaill!I1059&gt;[1]Result_notebook_retravaill!G1059,0,IF([1]Result_notebook_retravaill!I1059+[1]Result_notebook_retravaill!J1059&gt;[1]Result_notebook_retravaill!G1059,0,[1]Result_notebook_retravaill!M1059))</f>
        <v>0</v>
      </c>
    </row>
    <row r="1060" spans="1:12">
      <c r="A1060">
        <f>[1]Result_notebook_retravaill!A1060</f>
        <v>2036</v>
      </c>
      <c r="B1060" t="str">
        <f>[1]Result_notebook_retravaill!B1060</f>
        <v>Graphite</v>
      </c>
      <c r="C1060" t="str">
        <f>[1]Result_notebook_retravaill!C1060</f>
        <v>Current Measures</v>
      </c>
      <c r="D1060" t="str">
        <f>[1]Result_notebook_retravaill!D1060</f>
        <v>Production potential</v>
      </c>
      <c r="E1060" t="str">
        <f>[1]Result_notebook_retravaill!E1060</f>
        <v>Current shares</v>
      </c>
      <c r="F1060" t="str">
        <f>[1]Result_notebook_retravaill!F1060</f>
        <v>Expansion Extractive+Circularity</v>
      </c>
      <c r="G1060">
        <f>[1]Result_notebook_retravaill!G1060</f>
        <v>1181.081330457198</v>
      </c>
      <c r="H1060" s="3">
        <f>IF([1]Result_notebook_retravaill!I1060&gt;[1]Result_notebook_retravaill!G1060,[1]Result_notebook_retravaill!I1060/[1]Result_notebook_retravaill!N1060,[1]Result_notebook_retravaill!H1060)</f>
        <v>104036.21692331611</v>
      </c>
      <c r="I1060" s="3">
        <f>[1]Result_notebook_retravaill!K1060</f>
        <v>0</v>
      </c>
      <c r="J1060" s="3">
        <f>MIN(G1060,[1]Result_notebook_retravaill!I1060)</f>
        <v>1181.081330457198</v>
      </c>
      <c r="K1060" s="3">
        <f>IF([1]Result_notebook_retravaill!I1060&gt;[1]Result_notebook_retravaill!G1060,0,IF([1]Result_notebook_retravaill!I1060+[1]Result_notebook_retravaill!J1060&gt;[1]Result_notebook_retravaill!G1060,[1]Result_notebook_retravaill!G1060-[1]Result_notebook_retravaill!I1060,[1]Result_notebook_retravaill!J1060))</f>
        <v>0</v>
      </c>
      <c r="L1060" s="3">
        <f>IF([1]Result_notebook_retravaill!I1060&gt;[1]Result_notebook_retravaill!G1060,0,IF([1]Result_notebook_retravaill!I1060+[1]Result_notebook_retravaill!J1060&gt;[1]Result_notebook_retravaill!G1060,0,[1]Result_notebook_retravaill!M1060))</f>
        <v>0</v>
      </c>
    </row>
    <row r="1061" spans="1:12">
      <c r="A1061">
        <f>[1]Result_notebook_retravaill!A1061</f>
        <v>2036</v>
      </c>
      <c r="B1061" t="str">
        <f>[1]Result_notebook_retravaill!B1061</f>
        <v>Graphite</v>
      </c>
      <c r="C1061" t="str">
        <f>[1]Result_notebook_retravaill!C1061</f>
        <v>Current Measures</v>
      </c>
      <c r="D1061" t="str">
        <f>[1]Result_notebook_retravaill!D1061</f>
        <v>Production potential</v>
      </c>
      <c r="E1061" t="str">
        <f>[1]Result_notebook_retravaill!E1061</f>
        <v>100% CAN</v>
      </c>
      <c r="F1061" t="str">
        <f>[1]Result_notebook_retravaill!F1061</f>
        <v>Integrated</v>
      </c>
      <c r="G1061">
        <f>[1]Result_notebook_retravaill!G1061</f>
        <v>1181.081330457198</v>
      </c>
      <c r="H1061" s="3">
        <f>IF([1]Result_notebook_retravaill!I1061&gt;[1]Result_notebook_retravaill!G1061,[1]Result_notebook_retravaill!I1061/[1]Result_notebook_retravaill!N1061,[1]Result_notebook_retravaill!H1061)</f>
        <v>104036.21692331611</v>
      </c>
      <c r="I1061" s="3">
        <f>[1]Result_notebook_retravaill!K1061</f>
        <v>0</v>
      </c>
      <c r="J1061" s="3">
        <f>MIN(G1061,[1]Result_notebook_retravaill!I1061)</f>
        <v>1181.081330457198</v>
      </c>
      <c r="K1061" s="3">
        <f>IF([1]Result_notebook_retravaill!I1061&gt;[1]Result_notebook_retravaill!G1061,0,IF([1]Result_notebook_retravaill!I1061+[1]Result_notebook_retravaill!J1061&gt;[1]Result_notebook_retravaill!G1061,[1]Result_notebook_retravaill!G1061-[1]Result_notebook_retravaill!I1061,[1]Result_notebook_retravaill!J1061))</f>
        <v>0</v>
      </c>
      <c r="L1061" s="3">
        <f>IF([1]Result_notebook_retravaill!I1061&gt;[1]Result_notebook_retravaill!G1061,0,IF([1]Result_notebook_retravaill!I1061+[1]Result_notebook_retravaill!J1061&gt;[1]Result_notebook_retravaill!G1061,0,[1]Result_notebook_retravaill!M1061))</f>
        <v>0</v>
      </c>
    </row>
    <row r="1062" spans="1:12">
      <c r="A1062">
        <f>[1]Result_notebook_retravaill!A1062</f>
        <v>2036</v>
      </c>
      <c r="B1062" t="str">
        <f>[1]Result_notebook_retravaill!B1062</f>
        <v>Graphite</v>
      </c>
      <c r="C1062" t="str">
        <f>[1]Result_notebook_retravaill!C1062</f>
        <v>Global Net-zero</v>
      </c>
      <c r="D1062" t="str">
        <f>[1]Result_notebook_retravaill!D1062</f>
        <v>Existing production</v>
      </c>
      <c r="E1062" t="str">
        <f>[1]Result_notebook_retravaill!E1062</f>
        <v>Current shares</v>
      </c>
      <c r="F1062" t="str">
        <f>[1]Result_notebook_retravaill!F1062</f>
        <v>NIMBY</v>
      </c>
      <c r="G1062">
        <f>[1]Result_notebook_retravaill!G1062</f>
        <v>3028.4346514382819</v>
      </c>
      <c r="H1062" s="3">
        <f>IF([1]Result_notebook_retravaill!I1062&gt;[1]Result_notebook_retravaill!G1062,[1]Result_notebook_retravaill!I1062/[1]Result_notebook_retravaill!N1062,[1]Result_notebook_retravaill!H1062)</f>
        <v>0</v>
      </c>
      <c r="I1062" s="3">
        <f>[1]Result_notebook_retravaill!K1062</f>
        <v>3028.4346514382819</v>
      </c>
      <c r="J1062" s="3">
        <f>MIN(G1062,[1]Result_notebook_retravaill!I1062)</f>
        <v>0</v>
      </c>
      <c r="K1062" s="3">
        <f>IF([1]Result_notebook_retravaill!I1062&gt;[1]Result_notebook_retravaill!G1062,0,IF([1]Result_notebook_retravaill!I1062+[1]Result_notebook_retravaill!J1062&gt;[1]Result_notebook_retravaill!G1062,[1]Result_notebook_retravaill!G1062-[1]Result_notebook_retravaill!I1062,[1]Result_notebook_retravaill!J1062))</f>
        <v>0</v>
      </c>
      <c r="L1062" s="3">
        <f>IF([1]Result_notebook_retravaill!I1062&gt;[1]Result_notebook_retravaill!G1062,0,IF([1]Result_notebook_retravaill!I1062+[1]Result_notebook_retravaill!J1062&gt;[1]Result_notebook_retravaill!G1062,0,[1]Result_notebook_retravaill!M1062))</f>
        <v>3028.4346514382819</v>
      </c>
    </row>
    <row r="1063" spans="1:12">
      <c r="A1063">
        <f>[1]Result_notebook_retravaill!A1063</f>
        <v>2036</v>
      </c>
      <c r="B1063" t="str">
        <f>[1]Result_notebook_retravaill!B1063</f>
        <v>Graphite</v>
      </c>
      <c r="C1063" t="str">
        <f>[1]Result_notebook_retravaill!C1063</f>
        <v>Global Net-zero</v>
      </c>
      <c r="D1063" t="str">
        <f>[1]Result_notebook_retravaill!D1063</f>
        <v>Existing production</v>
      </c>
      <c r="E1063" t="str">
        <f>[1]Result_notebook_retravaill!E1063</f>
        <v>Current shares</v>
      </c>
      <c r="F1063" t="str">
        <f>[1]Result_notebook_retravaill!F1063</f>
        <v>Status Quo</v>
      </c>
      <c r="G1063">
        <f>[1]Result_notebook_retravaill!G1063</f>
        <v>3028.4346514382819</v>
      </c>
      <c r="H1063" s="3">
        <f>IF([1]Result_notebook_retravaill!I1063&gt;[1]Result_notebook_retravaill!G1063,[1]Result_notebook_retravaill!I1063/[1]Result_notebook_retravaill!N1063,[1]Result_notebook_retravaill!H1063)</f>
        <v>0</v>
      </c>
      <c r="I1063" s="3">
        <f>[1]Result_notebook_retravaill!K1063</f>
        <v>3028.4346514382819</v>
      </c>
      <c r="J1063" s="3">
        <f>MIN(G1063,[1]Result_notebook_retravaill!I1063)</f>
        <v>0</v>
      </c>
      <c r="K1063" s="3">
        <f>IF([1]Result_notebook_retravaill!I1063&gt;[1]Result_notebook_retravaill!G1063,0,IF([1]Result_notebook_retravaill!I1063+[1]Result_notebook_retravaill!J1063&gt;[1]Result_notebook_retravaill!G1063,[1]Result_notebook_retravaill!G1063-[1]Result_notebook_retravaill!I1063,[1]Result_notebook_retravaill!J1063))</f>
        <v>0</v>
      </c>
      <c r="L1063" s="3">
        <f>IF([1]Result_notebook_retravaill!I1063&gt;[1]Result_notebook_retravaill!G1063,0,IF([1]Result_notebook_retravaill!I1063+[1]Result_notebook_retravaill!J1063&gt;[1]Result_notebook_retravaill!G1063,0,[1]Result_notebook_retravaill!M1063))</f>
        <v>3028.4346514382819</v>
      </c>
    </row>
    <row r="1064" spans="1:12">
      <c r="A1064">
        <f>[1]Result_notebook_retravaill!A1064</f>
        <v>2036</v>
      </c>
      <c r="B1064" t="str">
        <f>[1]Result_notebook_retravaill!B1064</f>
        <v>Graphite</v>
      </c>
      <c r="C1064" t="str">
        <f>[1]Result_notebook_retravaill!C1064</f>
        <v>Global Net-zero</v>
      </c>
      <c r="D1064" t="str">
        <f>[1]Result_notebook_retravaill!D1064</f>
        <v>Production potential</v>
      </c>
      <c r="E1064" t="str">
        <f>[1]Result_notebook_retravaill!E1064</f>
        <v>Current shares</v>
      </c>
      <c r="F1064" t="str">
        <f>[1]Result_notebook_retravaill!F1064</f>
        <v>Expansion Extractive</v>
      </c>
      <c r="G1064">
        <f>[1]Result_notebook_retravaill!G1064</f>
        <v>3028.4346514382819</v>
      </c>
      <c r="H1064" s="3">
        <f>IF([1]Result_notebook_retravaill!I1064&gt;[1]Result_notebook_retravaill!G1064,[1]Result_notebook_retravaill!I1064/[1]Result_notebook_retravaill!N1064,[1]Result_notebook_retravaill!H1064)</f>
        <v>104036.21692331611</v>
      </c>
      <c r="I1064" s="3">
        <f>[1]Result_notebook_retravaill!K1064</f>
        <v>0</v>
      </c>
      <c r="J1064" s="3">
        <f>MIN(G1064,[1]Result_notebook_retravaill!I1064)</f>
        <v>3028.4346514382819</v>
      </c>
      <c r="K1064" s="3">
        <f>IF([1]Result_notebook_retravaill!I1064&gt;[1]Result_notebook_retravaill!G1064,0,IF([1]Result_notebook_retravaill!I1064+[1]Result_notebook_retravaill!J1064&gt;[1]Result_notebook_retravaill!G1064,[1]Result_notebook_retravaill!G1064-[1]Result_notebook_retravaill!I1064,[1]Result_notebook_retravaill!J1064))</f>
        <v>0</v>
      </c>
      <c r="L1064" s="3">
        <f>IF([1]Result_notebook_retravaill!I1064&gt;[1]Result_notebook_retravaill!G1064,0,IF([1]Result_notebook_retravaill!I1064+[1]Result_notebook_retravaill!J1064&gt;[1]Result_notebook_retravaill!G1064,0,[1]Result_notebook_retravaill!M1064))</f>
        <v>0</v>
      </c>
    </row>
    <row r="1065" spans="1:12">
      <c r="A1065">
        <f>[1]Result_notebook_retravaill!A1065</f>
        <v>2036</v>
      </c>
      <c r="B1065" t="str">
        <f>[1]Result_notebook_retravaill!B1065</f>
        <v>Graphite</v>
      </c>
      <c r="C1065" t="str">
        <f>[1]Result_notebook_retravaill!C1065</f>
        <v>Global Net-zero</v>
      </c>
      <c r="D1065" t="str">
        <f>[1]Result_notebook_retravaill!D1065</f>
        <v>Production potential</v>
      </c>
      <c r="E1065" t="str">
        <f>[1]Result_notebook_retravaill!E1065</f>
        <v>Current shares</v>
      </c>
      <c r="F1065" t="str">
        <f>[1]Result_notebook_retravaill!F1065</f>
        <v>Expansion Extractive+Circularity</v>
      </c>
      <c r="G1065">
        <f>[1]Result_notebook_retravaill!G1065</f>
        <v>3028.4346514382819</v>
      </c>
      <c r="H1065" s="3">
        <f>IF([1]Result_notebook_retravaill!I1065&gt;[1]Result_notebook_retravaill!G1065,[1]Result_notebook_retravaill!I1065/[1]Result_notebook_retravaill!N1065,[1]Result_notebook_retravaill!H1065)</f>
        <v>104036.21692331611</v>
      </c>
      <c r="I1065" s="3">
        <f>[1]Result_notebook_retravaill!K1065</f>
        <v>0</v>
      </c>
      <c r="J1065" s="3">
        <f>MIN(G1065,[1]Result_notebook_retravaill!I1065)</f>
        <v>3028.4346514382819</v>
      </c>
      <c r="K1065" s="3">
        <f>IF([1]Result_notebook_retravaill!I1065&gt;[1]Result_notebook_retravaill!G1065,0,IF([1]Result_notebook_retravaill!I1065+[1]Result_notebook_retravaill!J1065&gt;[1]Result_notebook_retravaill!G1065,[1]Result_notebook_retravaill!G1065-[1]Result_notebook_retravaill!I1065,[1]Result_notebook_retravaill!J1065))</f>
        <v>0</v>
      </c>
      <c r="L1065" s="3">
        <f>IF([1]Result_notebook_retravaill!I1065&gt;[1]Result_notebook_retravaill!G1065,0,IF([1]Result_notebook_retravaill!I1065+[1]Result_notebook_retravaill!J1065&gt;[1]Result_notebook_retravaill!G1065,0,[1]Result_notebook_retravaill!M1065))</f>
        <v>0</v>
      </c>
    </row>
    <row r="1066" spans="1:12">
      <c r="A1066">
        <f>[1]Result_notebook_retravaill!A1066</f>
        <v>2036</v>
      </c>
      <c r="B1066" t="str">
        <f>[1]Result_notebook_retravaill!B1066</f>
        <v>Graphite</v>
      </c>
      <c r="C1066" t="str">
        <f>[1]Result_notebook_retravaill!C1066</f>
        <v>Global Net-zero</v>
      </c>
      <c r="D1066" t="str">
        <f>[1]Result_notebook_retravaill!D1066</f>
        <v>Production potential</v>
      </c>
      <c r="E1066" t="str">
        <f>[1]Result_notebook_retravaill!E1066</f>
        <v>100% CAN</v>
      </c>
      <c r="F1066" t="str">
        <f>[1]Result_notebook_retravaill!F1066</f>
        <v>Integrated</v>
      </c>
      <c r="G1066">
        <f>[1]Result_notebook_retravaill!G1066</f>
        <v>3028.4346514382819</v>
      </c>
      <c r="H1066" s="3">
        <f>IF([1]Result_notebook_retravaill!I1066&gt;[1]Result_notebook_retravaill!G1066,[1]Result_notebook_retravaill!I1066/[1]Result_notebook_retravaill!N1066,[1]Result_notebook_retravaill!H1066)</f>
        <v>104036.21692331611</v>
      </c>
      <c r="I1066" s="3">
        <f>[1]Result_notebook_retravaill!K1066</f>
        <v>0</v>
      </c>
      <c r="J1066" s="3">
        <f>MIN(G1066,[1]Result_notebook_retravaill!I1066)</f>
        <v>3028.4346514382819</v>
      </c>
      <c r="K1066" s="3">
        <f>IF([1]Result_notebook_retravaill!I1066&gt;[1]Result_notebook_retravaill!G1066,0,IF([1]Result_notebook_retravaill!I1066+[1]Result_notebook_retravaill!J1066&gt;[1]Result_notebook_retravaill!G1066,[1]Result_notebook_retravaill!G1066-[1]Result_notebook_retravaill!I1066,[1]Result_notebook_retravaill!J1066))</f>
        <v>0</v>
      </c>
      <c r="L1066" s="3">
        <f>IF([1]Result_notebook_retravaill!I1066&gt;[1]Result_notebook_retravaill!G1066,0,IF([1]Result_notebook_retravaill!I1066+[1]Result_notebook_retravaill!J1066&gt;[1]Result_notebook_retravaill!G1066,0,[1]Result_notebook_retravaill!M1066))</f>
        <v>0</v>
      </c>
    </row>
    <row r="1067" spans="1:12">
      <c r="A1067">
        <f>[1]Result_notebook_retravaill!A1067</f>
        <v>2036</v>
      </c>
      <c r="B1067" t="str">
        <f>[1]Result_notebook_retravaill!B1067</f>
        <v>Lithium</v>
      </c>
      <c r="C1067" t="str">
        <f>[1]Result_notebook_retravaill!C1067</f>
        <v>Canada Net-zero</v>
      </c>
      <c r="D1067" t="str">
        <f>[1]Result_notebook_retravaill!D1067</f>
        <v>Existing production</v>
      </c>
      <c r="E1067" t="str">
        <f>[1]Result_notebook_retravaill!E1067</f>
        <v>Current shares</v>
      </c>
      <c r="F1067" t="str">
        <f>[1]Result_notebook_retravaill!F1067</f>
        <v>NIMBY</v>
      </c>
      <c r="G1067">
        <f>[1]Result_notebook_retravaill!G1067</f>
        <v>68174.621934206763</v>
      </c>
      <c r="H1067" s="3">
        <f>IF([1]Result_notebook_retravaill!I1067&gt;[1]Result_notebook_retravaill!G1067,[1]Result_notebook_retravaill!I1067/[1]Result_notebook_retravaill!N1067,[1]Result_notebook_retravaill!H1067)</f>
        <v>0</v>
      </c>
      <c r="I1067" s="3">
        <f>[1]Result_notebook_retravaill!K1067</f>
        <v>97392.317048866811</v>
      </c>
      <c r="J1067" s="3">
        <f>MIN(G1067,[1]Result_notebook_retravaill!I1067)</f>
        <v>0</v>
      </c>
      <c r="K1067" s="3">
        <f>IF([1]Result_notebook_retravaill!I1067&gt;[1]Result_notebook_retravaill!G1067,0,IF([1]Result_notebook_retravaill!I1067+[1]Result_notebook_retravaill!J1067&gt;[1]Result_notebook_retravaill!G1067,[1]Result_notebook_retravaill!G1067-[1]Result_notebook_retravaill!I1067,[1]Result_notebook_retravaill!J1067))</f>
        <v>0</v>
      </c>
      <c r="L1067" s="3">
        <f>IF([1]Result_notebook_retravaill!I1067&gt;[1]Result_notebook_retravaill!G1067,0,IF([1]Result_notebook_retravaill!I1067+[1]Result_notebook_retravaill!J1067&gt;[1]Result_notebook_retravaill!G1067,0,[1]Result_notebook_retravaill!M1067))</f>
        <v>68174.621934206763</v>
      </c>
    </row>
    <row r="1068" spans="1:12">
      <c r="A1068">
        <f>[1]Result_notebook_retravaill!A1068</f>
        <v>2036</v>
      </c>
      <c r="B1068" t="str">
        <f>[1]Result_notebook_retravaill!B1068</f>
        <v>Lithium</v>
      </c>
      <c r="C1068" t="str">
        <f>[1]Result_notebook_retravaill!C1068</f>
        <v>Canada Net-zero</v>
      </c>
      <c r="D1068" t="str">
        <f>[1]Result_notebook_retravaill!D1068</f>
        <v>Existing production</v>
      </c>
      <c r="E1068" t="str">
        <f>[1]Result_notebook_retravaill!E1068</f>
        <v>Current shares</v>
      </c>
      <c r="F1068" t="str">
        <f>[1]Result_notebook_retravaill!F1068</f>
        <v>Status Quo</v>
      </c>
      <c r="G1068">
        <f>[1]Result_notebook_retravaill!G1068</f>
        <v>68174.621934206763</v>
      </c>
      <c r="H1068" s="3">
        <f>IF([1]Result_notebook_retravaill!I1068&gt;[1]Result_notebook_retravaill!G1068,[1]Result_notebook_retravaill!I1068/[1]Result_notebook_retravaill!N1068,[1]Result_notebook_retravaill!H1068)</f>
        <v>37189</v>
      </c>
      <c r="I1068" s="3">
        <f>[1]Result_notebook_retravaill!K1068</f>
        <v>60203.317048866811</v>
      </c>
      <c r="J1068" s="3">
        <f>MIN(G1068,[1]Result_notebook_retravaill!I1068)</f>
        <v>26001.450642877979</v>
      </c>
      <c r="K1068" s="3">
        <f>IF([1]Result_notebook_retravaill!I1068&gt;[1]Result_notebook_retravaill!G1068,0,IF([1]Result_notebook_retravaill!I1068+[1]Result_notebook_retravaill!J1068&gt;[1]Result_notebook_retravaill!G1068,[1]Result_notebook_retravaill!G1068-[1]Result_notebook_retravaill!I1068,[1]Result_notebook_retravaill!J1068))</f>
        <v>3286.9321352489678</v>
      </c>
      <c r="L1068" s="3">
        <f>IF([1]Result_notebook_retravaill!I1068&gt;[1]Result_notebook_retravaill!G1068,0,IF([1]Result_notebook_retravaill!I1068+[1]Result_notebook_retravaill!J1068&gt;[1]Result_notebook_retravaill!G1068,0,[1]Result_notebook_retravaill!M1068))</f>
        <v>38886.239156079813</v>
      </c>
    </row>
    <row r="1069" spans="1:12">
      <c r="A1069">
        <f>[1]Result_notebook_retravaill!A1069</f>
        <v>2036</v>
      </c>
      <c r="B1069" t="str">
        <f>[1]Result_notebook_retravaill!B1069</f>
        <v>Lithium</v>
      </c>
      <c r="C1069" t="str">
        <f>[1]Result_notebook_retravaill!C1069</f>
        <v>Canada Net-zero</v>
      </c>
      <c r="D1069" t="str">
        <f>[1]Result_notebook_retravaill!D1069</f>
        <v>Production potential</v>
      </c>
      <c r="E1069" t="str">
        <f>[1]Result_notebook_retravaill!E1069</f>
        <v>Current shares</v>
      </c>
      <c r="F1069" t="str">
        <f>[1]Result_notebook_retravaill!F1069</f>
        <v>Expansion Extractive</v>
      </c>
      <c r="G1069">
        <f>[1]Result_notebook_retravaill!G1069</f>
        <v>68174.621934206763</v>
      </c>
      <c r="H1069" s="3">
        <f>IF([1]Result_notebook_retravaill!I1069&gt;[1]Result_notebook_retravaill!G1069,[1]Result_notebook_retravaill!I1069/[1]Result_notebook_retravaill!N1069,[1]Result_notebook_retravaill!H1069)</f>
        <v>172949.93094217411</v>
      </c>
      <c r="I1069" s="3">
        <f>[1]Result_notebook_retravaill!K1069</f>
        <v>0</v>
      </c>
      <c r="J1069" s="3">
        <f>MIN(G1069,[1]Result_notebook_retravaill!I1069)</f>
        <v>68174.621934206763</v>
      </c>
      <c r="K1069" s="3">
        <f>IF([1]Result_notebook_retravaill!I1069&gt;[1]Result_notebook_retravaill!G1069,0,IF([1]Result_notebook_retravaill!I1069+[1]Result_notebook_retravaill!J1069&gt;[1]Result_notebook_retravaill!G1069,[1]Result_notebook_retravaill!G1069-[1]Result_notebook_retravaill!I1069,[1]Result_notebook_retravaill!J1069))</f>
        <v>0</v>
      </c>
      <c r="L1069" s="3">
        <f>IF([1]Result_notebook_retravaill!I1069&gt;[1]Result_notebook_retravaill!G1069,0,IF([1]Result_notebook_retravaill!I1069+[1]Result_notebook_retravaill!J1069&gt;[1]Result_notebook_retravaill!G1069,0,[1]Result_notebook_retravaill!M1069))</f>
        <v>0</v>
      </c>
    </row>
    <row r="1070" spans="1:12">
      <c r="A1070">
        <f>[1]Result_notebook_retravaill!A1070</f>
        <v>2036</v>
      </c>
      <c r="B1070" t="str">
        <f>[1]Result_notebook_retravaill!B1070</f>
        <v>Lithium</v>
      </c>
      <c r="C1070" t="str">
        <f>[1]Result_notebook_retravaill!C1070</f>
        <v>Canada Net-zero</v>
      </c>
      <c r="D1070" t="str">
        <f>[1]Result_notebook_retravaill!D1070</f>
        <v>Production potential</v>
      </c>
      <c r="E1070" t="str">
        <f>[1]Result_notebook_retravaill!E1070</f>
        <v>Current shares</v>
      </c>
      <c r="F1070" t="str">
        <f>[1]Result_notebook_retravaill!F1070</f>
        <v>Expansion Extractive+Circularity</v>
      </c>
      <c r="G1070">
        <f>[1]Result_notebook_retravaill!G1070</f>
        <v>68174.621934206763</v>
      </c>
      <c r="H1070" s="3">
        <f>IF([1]Result_notebook_retravaill!I1070&gt;[1]Result_notebook_retravaill!G1070,[1]Result_notebook_retravaill!I1070/[1]Result_notebook_retravaill!N1070,[1]Result_notebook_retravaill!H1070)</f>
        <v>172949.93094217411</v>
      </c>
      <c r="I1070" s="3">
        <f>[1]Result_notebook_retravaill!K1070</f>
        <v>0</v>
      </c>
      <c r="J1070" s="3">
        <f>MIN(G1070,[1]Result_notebook_retravaill!I1070)</f>
        <v>68174.621934206763</v>
      </c>
      <c r="K1070" s="3">
        <f>IF([1]Result_notebook_retravaill!I1070&gt;[1]Result_notebook_retravaill!G1070,0,IF([1]Result_notebook_retravaill!I1070+[1]Result_notebook_retravaill!J1070&gt;[1]Result_notebook_retravaill!G1070,[1]Result_notebook_retravaill!G1070-[1]Result_notebook_retravaill!I1070,[1]Result_notebook_retravaill!J1070))</f>
        <v>0</v>
      </c>
      <c r="L1070" s="3">
        <f>IF([1]Result_notebook_retravaill!I1070&gt;[1]Result_notebook_retravaill!G1070,0,IF([1]Result_notebook_retravaill!I1070+[1]Result_notebook_retravaill!J1070&gt;[1]Result_notebook_retravaill!G1070,0,[1]Result_notebook_retravaill!M1070))</f>
        <v>0</v>
      </c>
    </row>
    <row r="1071" spans="1:12">
      <c r="A1071">
        <f>[1]Result_notebook_retravaill!A1071</f>
        <v>2036</v>
      </c>
      <c r="B1071" t="str">
        <f>[1]Result_notebook_retravaill!B1071</f>
        <v>Lithium</v>
      </c>
      <c r="C1071" t="str">
        <f>[1]Result_notebook_retravaill!C1071</f>
        <v>Canada Net-zero</v>
      </c>
      <c r="D1071" t="str">
        <f>[1]Result_notebook_retravaill!D1071</f>
        <v>Production potential</v>
      </c>
      <c r="E1071" t="str">
        <f>[1]Result_notebook_retravaill!E1071</f>
        <v>100% CAN</v>
      </c>
      <c r="F1071" t="str">
        <f>[1]Result_notebook_retravaill!F1071</f>
        <v>Integrated</v>
      </c>
      <c r="G1071">
        <f>[1]Result_notebook_retravaill!G1071</f>
        <v>68174.621934206763</v>
      </c>
      <c r="H1071" s="3">
        <f>IF([1]Result_notebook_retravaill!I1071&gt;[1]Result_notebook_retravaill!G1071,[1]Result_notebook_retravaill!I1071/[1]Result_notebook_retravaill!N1071,[1]Result_notebook_retravaill!H1071)</f>
        <v>172949.93094217411</v>
      </c>
      <c r="I1071" s="3">
        <f>[1]Result_notebook_retravaill!K1071</f>
        <v>0</v>
      </c>
      <c r="J1071" s="3">
        <f>MIN(G1071,[1]Result_notebook_retravaill!I1071)</f>
        <v>68174.621934206763</v>
      </c>
      <c r="K1071" s="3">
        <f>IF([1]Result_notebook_retravaill!I1071&gt;[1]Result_notebook_retravaill!G1071,0,IF([1]Result_notebook_retravaill!I1071+[1]Result_notebook_retravaill!J1071&gt;[1]Result_notebook_retravaill!G1071,[1]Result_notebook_retravaill!G1071-[1]Result_notebook_retravaill!I1071,[1]Result_notebook_retravaill!J1071))</f>
        <v>0</v>
      </c>
      <c r="L1071" s="3">
        <f>IF([1]Result_notebook_retravaill!I1071&gt;[1]Result_notebook_retravaill!G1071,0,IF([1]Result_notebook_retravaill!I1071+[1]Result_notebook_retravaill!J1071&gt;[1]Result_notebook_retravaill!G1071,0,[1]Result_notebook_retravaill!M1071))</f>
        <v>0</v>
      </c>
    </row>
    <row r="1072" spans="1:12">
      <c r="A1072">
        <f>[1]Result_notebook_retravaill!A1072</f>
        <v>2036</v>
      </c>
      <c r="B1072" t="str">
        <f>[1]Result_notebook_retravaill!B1072</f>
        <v>Lithium</v>
      </c>
      <c r="C1072" t="str">
        <f>[1]Result_notebook_retravaill!C1072</f>
        <v>Current Measures</v>
      </c>
      <c r="D1072" t="str">
        <f>[1]Result_notebook_retravaill!D1072</f>
        <v>Existing production</v>
      </c>
      <c r="E1072" t="str">
        <f>[1]Result_notebook_retravaill!E1072</f>
        <v>Current shares</v>
      </c>
      <c r="F1072" t="str">
        <f>[1]Result_notebook_retravaill!F1072</f>
        <v>NIMBY</v>
      </c>
      <c r="G1072">
        <f>[1]Result_notebook_retravaill!G1072</f>
        <v>25328.788125042582</v>
      </c>
      <c r="H1072" s="3">
        <f>IF([1]Result_notebook_retravaill!I1072&gt;[1]Result_notebook_retravaill!G1072,[1]Result_notebook_retravaill!I1072/[1]Result_notebook_retravaill!N1072,[1]Result_notebook_retravaill!H1072)</f>
        <v>0</v>
      </c>
      <c r="I1072" s="3">
        <f>[1]Result_notebook_retravaill!K1072</f>
        <v>36183.98303577512</v>
      </c>
      <c r="J1072" s="3">
        <f>MIN(G1072,[1]Result_notebook_retravaill!I1072)</f>
        <v>0</v>
      </c>
      <c r="K1072" s="3">
        <f>IF([1]Result_notebook_retravaill!I1072&gt;[1]Result_notebook_retravaill!G1072,0,IF([1]Result_notebook_retravaill!I1072+[1]Result_notebook_retravaill!J1072&gt;[1]Result_notebook_retravaill!G1072,[1]Result_notebook_retravaill!G1072-[1]Result_notebook_retravaill!I1072,[1]Result_notebook_retravaill!J1072))</f>
        <v>0</v>
      </c>
      <c r="L1072" s="3">
        <f>IF([1]Result_notebook_retravaill!I1072&gt;[1]Result_notebook_retravaill!G1072,0,IF([1]Result_notebook_retravaill!I1072+[1]Result_notebook_retravaill!J1072&gt;[1]Result_notebook_retravaill!G1072,0,[1]Result_notebook_retravaill!M1072))</f>
        <v>25328.788125042582</v>
      </c>
    </row>
    <row r="1073" spans="1:12">
      <c r="A1073">
        <f>[1]Result_notebook_retravaill!A1073</f>
        <v>2036</v>
      </c>
      <c r="B1073" t="str">
        <f>[1]Result_notebook_retravaill!B1073</f>
        <v>Lithium</v>
      </c>
      <c r="C1073" t="str">
        <f>[1]Result_notebook_retravaill!C1073</f>
        <v>Current Measures</v>
      </c>
      <c r="D1073" t="str">
        <f>[1]Result_notebook_retravaill!D1073</f>
        <v>Existing production</v>
      </c>
      <c r="E1073" t="str">
        <f>[1]Result_notebook_retravaill!E1073</f>
        <v>Current shares</v>
      </c>
      <c r="F1073" t="str">
        <f>[1]Result_notebook_retravaill!F1073</f>
        <v>Status Quo</v>
      </c>
      <c r="G1073">
        <f>[1]Result_notebook_retravaill!G1073</f>
        <v>25328.788125042582</v>
      </c>
      <c r="H1073" s="3">
        <f>IF([1]Result_notebook_retravaill!I1073&gt;[1]Result_notebook_retravaill!G1073,[1]Result_notebook_retravaill!I1073/[1]Result_notebook_retravaill!N1073,[1]Result_notebook_retravaill!H1073)</f>
        <v>33015.409395705414</v>
      </c>
      <c r="I1073" s="3">
        <f>[1]Result_notebook_retravaill!K1073</f>
        <v>0</v>
      </c>
      <c r="J1073" s="3">
        <f>MIN(G1073,[1]Result_notebook_retravaill!I1073)</f>
        <v>25328.788125042582</v>
      </c>
      <c r="K1073" s="3">
        <f>IF([1]Result_notebook_retravaill!I1073&gt;[1]Result_notebook_retravaill!G1073,0,IF([1]Result_notebook_retravaill!I1073+[1]Result_notebook_retravaill!J1073&gt;[1]Result_notebook_retravaill!G1073,[1]Result_notebook_retravaill!G1073-[1]Result_notebook_retravaill!I1073,[1]Result_notebook_retravaill!J1073))</f>
        <v>0</v>
      </c>
      <c r="L1073" s="3">
        <f>IF([1]Result_notebook_retravaill!I1073&gt;[1]Result_notebook_retravaill!G1073,0,IF([1]Result_notebook_retravaill!I1073+[1]Result_notebook_retravaill!J1073&gt;[1]Result_notebook_retravaill!G1073,0,[1]Result_notebook_retravaill!M1073))</f>
        <v>0</v>
      </c>
    </row>
    <row r="1074" spans="1:12">
      <c r="A1074">
        <f>[1]Result_notebook_retravaill!A1074</f>
        <v>2036</v>
      </c>
      <c r="B1074" t="str">
        <f>[1]Result_notebook_retravaill!B1074</f>
        <v>Lithium</v>
      </c>
      <c r="C1074" t="str">
        <f>[1]Result_notebook_retravaill!C1074</f>
        <v>Current Measures</v>
      </c>
      <c r="D1074" t="str">
        <f>[1]Result_notebook_retravaill!D1074</f>
        <v>Production potential</v>
      </c>
      <c r="E1074" t="str">
        <f>[1]Result_notebook_retravaill!E1074</f>
        <v>Current shares</v>
      </c>
      <c r="F1074" t="str">
        <f>[1]Result_notebook_retravaill!F1074</f>
        <v>Expansion Extractive</v>
      </c>
      <c r="G1074">
        <f>[1]Result_notebook_retravaill!G1074</f>
        <v>25328.788125042582</v>
      </c>
      <c r="H1074" s="3">
        <f>IF([1]Result_notebook_retravaill!I1074&gt;[1]Result_notebook_retravaill!G1074,[1]Result_notebook_retravaill!I1074/[1]Result_notebook_retravaill!N1074,[1]Result_notebook_retravaill!H1074)</f>
        <v>172949.93094217411</v>
      </c>
      <c r="I1074" s="3">
        <f>[1]Result_notebook_retravaill!K1074</f>
        <v>0</v>
      </c>
      <c r="J1074" s="3">
        <f>MIN(G1074,[1]Result_notebook_retravaill!I1074)</f>
        <v>25328.788125042582</v>
      </c>
      <c r="K1074" s="3">
        <f>IF([1]Result_notebook_retravaill!I1074&gt;[1]Result_notebook_retravaill!G1074,0,IF([1]Result_notebook_retravaill!I1074+[1]Result_notebook_retravaill!J1074&gt;[1]Result_notebook_retravaill!G1074,[1]Result_notebook_retravaill!G1074-[1]Result_notebook_retravaill!I1074,[1]Result_notebook_retravaill!J1074))</f>
        <v>0</v>
      </c>
      <c r="L1074" s="3">
        <f>IF([1]Result_notebook_retravaill!I1074&gt;[1]Result_notebook_retravaill!G1074,0,IF([1]Result_notebook_retravaill!I1074+[1]Result_notebook_retravaill!J1074&gt;[1]Result_notebook_retravaill!G1074,0,[1]Result_notebook_retravaill!M1074))</f>
        <v>0</v>
      </c>
    </row>
    <row r="1075" spans="1:12">
      <c r="A1075">
        <f>[1]Result_notebook_retravaill!A1075</f>
        <v>2036</v>
      </c>
      <c r="B1075" t="str">
        <f>[1]Result_notebook_retravaill!B1075</f>
        <v>Lithium</v>
      </c>
      <c r="C1075" t="str">
        <f>[1]Result_notebook_retravaill!C1075</f>
        <v>Current Measures</v>
      </c>
      <c r="D1075" t="str">
        <f>[1]Result_notebook_retravaill!D1075</f>
        <v>Production potential</v>
      </c>
      <c r="E1075" t="str">
        <f>[1]Result_notebook_retravaill!E1075</f>
        <v>Current shares</v>
      </c>
      <c r="F1075" t="str">
        <f>[1]Result_notebook_retravaill!F1075</f>
        <v>Expansion Extractive+Circularity</v>
      </c>
      <c r="G1075">
        <f>[1]Result_notebook_retravaill!G1075</f>
        <v>25328.788125042582</v>
      </c>
      <c r="H1075" s="3">
        <f>IF([1]Result_notebook_retravaill!I1075&gt;[1]Result_notebook_retravaill!G1075,[1]Result_notebook_retravaill!I1075/[1]Result_notebook_retravaill!N1075,[1]Result_notebook_retravaill!H1075)</f>
        <v>172949.93094217411</v>
      </c>
      <c r="I1075" s="3">
        <f>[1]Result_notebook_retravaill!K1075</f>
        <v>0</v>
      </c>
      <c r="J1075" s="3">
        <f>MIN(G1075,[1]Result_notebook_retravaill!I1075)</f>
        <v>25328.788125042582</v>
      </c>
      <c r="K1075" s="3">
        <f>IF([1]Result_notebook_retravaill!I1075&gt;[1]Result_notebook_retravaill!G1075,0,IF([1]Result_notebook_retravaill!I1075+[1]Result_notebook_retravaill!J1075&gt;[1]Result_notebook_retravaill!G1075,[1]Result_notebook_retravaill!G1075-[1]Result_notebook_retravaill!I1075,[1]Result_notebook_retravaill!J1075))</f>
        <v>0</v>
      </c>
      <c r="L1075" s="3">
        <f>IF([1]Result_notebook_retravaill!I1075&gt;[1]Result_notebook_retravaill!G1075,0,IF([1]Result_notebook_retravaill!I1075+[1]Result_notebook_retravaill!J1075&gt;[1]Result_notebook_retravaill!G1075,0,[1]Result_notebook_retravaill!M1075))</f>
        <v>0</v>
      </c>
    </row>
    <row r="1076" spans="1:12">
      <c r="A1076">
        <f>[1]Result_notebook_retravaill!A1076</f>
        <v>2036</v>
      </c>
      <c r="B1076" t="str">
        <f>[1]Result_notebook_retravaill!B1076</f>
        <v>Lithium</v>
      </c>
      <c r="C1076" t="str">
        <f>[1]Result_notebook_retravaill!C1076</f>
        <v>Current Measures</v>
      </c>
      <c r="D1076" t="str">
        <f>[1]Result_notebook_retravaill!D1076</f>
        <v>Production potential</v>
      </c>
      <c r="E1076" t="str">
        <f>[1]Result_notebook_retravaill!E1076</f>
        <v>100% CAN</v>
      </c>
      <c r="F1076" t="str">
        <f>[1]Result_notebook_retravaill!F1076</f>
        <v>Integrated</v>
      </c>
      <c r="G1076">
        <f>[1]Result_notebook_retravaill!G1076</f>
        <v>25328.788125042582</v>
      </c>
      <c r="H1076" s="3">
        <f>IF([1]Result_notebook_retravaill!I1076&gt;[1]Result_notebook_retravaill!G1076,[1]Result_notebook_retravaill!I1076/[1]Result_notebook_retravaill!N1076,[1]Result_notebook_retravaill!H1076)</f>
        <v>172949.93094217411</v>
      </c>
      <c r="I1076" s="3">
        <f>[1]Result_notebook_retravaill!K1076</f>
        <v>0</v>
      </c>
      <c r="J1076" s="3">
        <f>MIN(G1076,[1]Result_notebook_retravaill!I1076)</f>
        <v>25328.788125042582</v>
      </c>
      <c r="K1076" s="3">
        <f>IF([1]Result_notebook_retravaill!I1076&gt;[1]Result_notebook_retravaill!G1076,0,IF([1]Result_notebook_retravaill!I1076+[1]Result_notebook_retravaill!J1076&gt;[1]Result_notebook_retravaill!G1076,[1]Result_notebook_retravaill!G1076-[1]Result_notebook_retravaill!I1076,[1]Result_notebook_retravaill!J1076))</f>
        <v>0</v>
      </c>
      <c r="L1076" s="3">
        <f>IF([1]Result_notebook_retravaill!I1076&gt;[1]Result_notebook_retravaill!G1076,0,IF([1]Result_notebook_retravaill!I1076+[1]Result_notebook_retravaill!J1076&gt;[1]Result_notebook_retravaill!G1076,0,[1]Result_notebook_retravaill!M1076))</f>
        <v>0</v>
      </c>
    </row>
    <row r="1077" spans="1:12">
      <c r="A1077">
        <f>[1]Result_notebook_retravaill!A1077</f>
        <v>2036</v>
      </c>
      <c r="B1077" t="str">
        <f>[1]Result_notebook_retravaill!B1077</f>
        <v>Lithium</v>
      </c>
      <c r="C1077" t="str">
        <f>[1]Result_notebook_retravaill!C1077</f>
        <v>Global Net-zero</v>
      </c>
      <c r="D1077" t="str">
        <f>[1]Result_notebook_retravaill!D1077</f>
        <v>Existing production</v>
      </c>
      <c r="E1077" t="str">
        <f>[1]Result_notebook_retravaill!E1077</f>
        <v>Current shares</v>
      </c>
      <c r="F1077" t="str">
        <f>[1]Result_notebook_retravaill!F1077</f>
        <v>NIMBY</v>
      </c>
      <c r="G1077">
        <f>[1]Result_notebook_retravaill!G1077</f>
        <v>64946.06057918453</v>
      </c>
      <c r="H1077" s="3">
        <f>IF([1]Result_notebook_retravaill!I1077&gt;[1]Result_notebook_retravaill!G1077,[1]Result_notebook_retravaill!I1077/[1]Result_notebook_retravaill!N1077,[1]Result_notebook_retravaill!H1077)</f>
        <v>0</v>
      </c>
      <c r="I1077" s="3">
        <f>[1]Result_notebook_retravaill!K1077</f>
        <v>92780.086541692188</v>
      </c>
      <c r="J1077" s="3">
        <f>MIN(G1077,[1]Result_notebook_retravaill!I1077)</f>
        <v>0</v>
      </c>
      <c r="K1077" s="3">
        <f>IF([1]Result_notebook_retravaill!I1077&gt;[1]Result_notebook_retravaill!G1077,0,IF([1]Result_notebook_retravaill!I1077+[1]Result_notebook_retravaill!J1077&gt;[1]Result_notebook_retravaill!G1077,[1]Result_notebook_retravaill!G1077-[1]Result_notebook_retravaill!I1077,[1]Result_notebook_retravaill!J1077))</f>
        <v>0</v>
      </c>
      <c r="L1077" s="3">
        <f>IF([1]Result_notebook_retravaill!I1077&gt;[1]Result_notebook_retravaill!G1077,0,IF([1]Result_notebook_retravaill!I1077+[1]Result_notebook_retravaill!J1077&gt;[1]Result_notebook_retravaill!G1077,0,[1]Result_notebook_retravaill!M1077))</f>
        <v>64946.06057918453</v>
      </c>
    </row>
    <row r="1078" spans="1:12">
      <c r="A1078">
        <f>[1]Result_notebook_retravaill!A1078</f>
        <v>2036</v>
      </c>
      <c r="B1078" t="str">
        <f>[1]Result_notebook_retravaill!B1078</f>
        <v>Lithium</v>
      </c>
      <c r="C1078" t="str">
        <f>[1]Result_notebook_retravaill!C1078</f>
        <v>Global Net-zero</v>
      </c>
      <c r="D1078" t="str">
        <f>[1]Result_notebook_retravaill!D1078</f>
        <v>Existing production</v>
      </c>
      <c r="E1078" t="str">
        <f>[1]Result_notebook_retravaill!E1078</f>
        <v>Current shares</v>
      </c>
      <c r="F1078" t="str">
        <f>[1]Result_notebook_retravaill!F1078</f>
        <v>Status Quo</v>
      </c>
      <c r="G1078">
        <f>[1]Result_notebook_retravaill!G1078</f>
        <v>64946.06057918453</v>
      </c>
      <c r="H1078" s="3">
        <f>IF([1]Result_notebook_retravaill!I1078&gt;[1]Result_notebook_retravaill!G1078,[1]Result_notebook_retravaill!I1078/[1]Result_notebook_retravaill!N1078,[1]Result_notebook_retravaill!H1078)</f>
        <v>37189</v>
      </c>
      <c r="I1078" s="3">
        <f>[1]Result_notebook_retravaill!K1078</f>
        <v>55591.086541692188</v>
      </c>
      <c r="J1078" s="3">
        <f>MIN(G1078,[1]Result_notebook_retravaill!I1078)</f>
        <v>26001.450642877979</v>
      </c>
      <c r="K1078" s="3">
        <f>IF([1]Result_notebook_retravaill!I1078&gt;[1]Result_notebook_retravaill!G1078,0,IF([1]Result_notebook_retravaill!I1078+[1]Result_notebook_retravaill!J1078&gt;[1]Result_notebook_retravaill!G1078,[1]Result_notebook_retravaill!G1078-[1]Result_notebook_retravaill!I1078,[1]Result_notebook_retravaill!J1078))</f>
        <v>3286.9321352489678</v>
      </c>
      <c r="L1078" s="3">
        <f>IF([1]Result_notebook_retravaill!I1078&gt;[1]Result_notebook_retravaill!G1078,0,IF([1]Result_notebook_retravaill!I1078+[1]Result_notebook_retravaill!J1078&gt;[1]Result_notebook_retravaill!G1078,0,[1]Result_notebook_retravaill!M1078))</f>
        <v>35657.67780105758</v>
      </c>
    </row>
    <row r="1079" spans="1:12">
      <c r="A1079">
        <f>[1]Result_notebook_retravaill!A1079</f>
        <v>2036</v>
      </c>
      <c r="B1079" t="str">
        <f>[1]Result_notebook_retravaill!B1079</f>
        <v>Lithium</v>
      </c>
      <c r="C1079" t="str">
        <f>[1]Result_notebook_retravaill!C1079</f>
        <v>Global Net-zero</v>
      </c>
      <c r="D1079" t="str">
        <f>[1]Result_notebook_retravaill!D1079</f>
        <v>Production potential</v>
      </c>
      <c r="E1079" t="str">
        <f>[1]Result_notebook_retravaill!E1079</f>
        <v>Current shares</v>
      </c>
      <c r="F1079" t="str">
        <f>[1]Result_notebook_retravaill!F1079</f>
        <v>Expansion Extractive</v>
      </c>
      <c r="G1079">
        <f>[1]Result_notebook_retravaill!G1079</f>
        <v>64946.06057918453</v>
      </c>
      <c r="H1079" s="3">
        <f>IF([1]Result_notebook_retravaill!I1079&gt;[1]Result_notebook_retravaill!G1079,[1]Result_notebook_retravaill!I1079/[1]Result_notebook_retravaill!N1079,[1]Result_notebook_retravaill!H1079)</f>
        <v>172949.93094217411</v>
      </c>
      <c r="I1079" s="3">
        <f>[1]Result_notebook_retravaill!K1079</f>
        <v>0</v>
      </c>
      <c r="J1079" s="3">
        <f>MIN(G1079,[1]Result_notebook_retravaill!I1079)</f>
        <v>64946.06057918453</v>
      </c>
      <c r="K1079" s="3">
        <f>IF([1]Result_notebook_retravaill!I1079&gt;[1]Result_notebook_retravaill!G1079,0,IF([1]Result_notebook_retravaill!I1079+[1]Result_notebook_retravaill!J1079&gt;[1]Result_notebook_retravaill!G1079,[1]Result_notebook_retravaill!G1079-[1]Result_notebook_retravaill!I1079,[1]Result_notebook_retravaill!J1079))</f>
        <v>0</v>
      </c>
      <c r="L1079" s="3">
        <f>IF([1]Result_notebook_retravaill!I1079&gt;[1]Result_notebook_retravaill!G1079,0,IF([1]Result_notebook_retravaill!I1079+[1]Result_notebook_retravaill!J1079&gt;[1]Result_notebook_retravaill!G1079,0,[1]Result_notebook_retravaill!M1079))</f>
        <v>0</v>
      </c>
    </row>
    <row r="1080" spans="1:12">
      <c r="A1080">
        <f>[1]Result_notebook_retravaill!A1080</f>
        <v>2036</v>
      </c>
      <c r="B1080" t="str">
        <f>[1]Result_notebook_retravaill!B1080</f>
        <v>Lithium</v>
      </c>
      <c r="C1080" t="str">
        <f>[1]Result_notebook_retravaill!C1080</f>
        <v>Global Net-zero</v>
      </c>
      <c r="D1080" t="str">
        <f>[1]Result_notebook_retravaill!D1080</f>
        <v>Production potential</v>
      </c>
      <c r="E1080" t="str">
        <f>[1]Result_notebook_retravaill!E1080</f>
        <v>Current shares</v>
      </c>
      <c r="F1080" t="str">
        <f>[1]Result_notebook_retravaill!F1080</f>
        <v>Expansion Extractive+Circularity</v>
      </c>
      <c r="G1080">
        <f>[1]Result_notebook_retravaill!G1080</f>
        <v>64946.06057918453</v>
      </c>
      <c r="H1080" s="3">
        <f>IF([1]Result_notebook_retravaill!I1080&gt;[1]Result_notebook_retravaill!G1080,[1]Result_notebook_retravaill!I1080/[1]Result_notebook_retravaill!N1080,[1]Result_notebook_retravaill!H1080)</f>
        <v>172949.93094217411</v>
      </c>
      <c r="I1080" s="3">
        <f>[1]Result_notebook_retravaill!K1080</f>
        <v>0</v>
      </c>
      <c r="J1080" s="3">
        <f>MIN(G1080,[1]Result_notebook_retravaill!I1080)</f>
        <v>64946.06057918453</v>
      </c>
      <c r="K1080" s="3">
        <f>IF([1]Result_notebook_retravaill!I1080&gt;[1]Result_notebook_retravaill!G1080,0,IF([1]Result_notebook_retravaill!I1080+[1]Result_notebook_retravaill!J1080&gt;[1]Result_notebook_retravaill!G1080,[1]Result_notebook_retravaill!G1080-[1]Result_notebook_retravaill!I1080,[1]Result_notebook_retravaill!J1080))</f>
        <v>0</v>
      </c>
      <c r="L1080" s="3">
        <f>IF([1]Result_notebook_retravaill!I1080&gt;[1]Result_notebook_retravaill!G1080,0,IF([1]Result_notebook_retravaill!I1080+[1]Result_notebook_retravaill!J1080&gt;[1]Result_notebook_retravaill!G1080,0,[1]Result_notebook_retravaill!M1080))</f>
        <v>0</v>
      </c>
    </row>
    <row r="1081" spans="1:12">
      <c r="A1081">
        <f>[1]Result_notebook_retravaill!A1081</f>
        <v>2036</v>
      </c>
      <c r="B1081" t="str">
        <f>[1]Result_notebook_retravaill!B1081</f>
        <v>Lithium</v>
      </c>
      <c r="C1081" t="str">
        <f>[1]Result_notebook_retravaill!C1081</f>
        <v>Global Net-zero</v>
      </c>
      <c r="D1081" t="str">
        <f>[1]Result_notebook_retravaill!D1081</f>
        <v>Production potential</v>
      </c>
      <c r="E1081" t="str">
        <f>[1]Result_notebook_retravaill!E1081</f>
        <v>100% CAN</v>
      </c>
      <c r="F1081" t="str">
        <f>[1]Result_notebook_retravaill!F1081</f>
        <v>Integrated</v>
      </c>
      <c r="G1081">
        <f>[1]Result_notebook_retravaill!G1081</f>
        <v>64946.06057918453</v>
      </c>
      <c r="H1081" s="3">
        <f>IF([1]Result_notebook_retravaill!I1081&gt;[1]Result_notebook_retravaill!G1081,[1]Result_notebook_retravaill!I1081/[1]Result_notebook_retravaill!N1081,[1]Result_notebook_retravaill!H1081)</f>
        <v>172949.93094217411</v>
      </c>
      <c r="I1081" s="3">
        <f>[1]Result_notebook_retravaill!K1081</f>
        <v>0</v>
      </c>
      <c r="J1081" s="3">
        <f>MIN(G1081,[1]Result_notebook_retravaill!I1081)</f>
        <v>64946.06057918453</v>
      </c>
      <c r="K1081" s="3">
        <f>IF([1]Result_notebook_retravaill!I1081&gt;[1]Result_notebook_retravaill!G1081,0,IF([1]Result_notebook_retravaill!I1081+[1]Result_notebook_retravaill!J1081&gt;[1]Result_notebook_retravaill!G1081,[1]Result_notebook_retravaill!G1081-[1]Result_notebook_retravaill!I1081,[1]Result_notebook_retravaill!J1081))</f>
        <v>0</v>
      </c>
      <c r="L1081" s="3">
        <f>IF([1]Result_notebook_retravaill!I1081&gt;[1]Result_notebook_retravaill!G1081,0,IF([1]Result_notebook_retravaill!I1081+[1]Result_notebook_retravaill!J1081&gt;[1]Result_notebook_retravaill!G1081,0,[1]Result_notebook_retravaill!M1081))</f>
        <v>0</v>
      </c>
    </row>
    <row r="1082" spans="1:12">
      <c r="A1082">
        <f>[1]Result_notebook_retravaill!A1082</f>
        <v>2037</v>
      </c>
      <c r="B1082" t="str">
        <f>[1]Result_notebook_retravaill!B1082</f>
        <v>Cobalt</v>
      </c>
      <c r="C1082" t="str">
        <f>[1]Result_notebook_retravaill!C1082</f>
        <v>Canada Net-zero</v>
      </c>
      <c r="D1082" t="str">
        <f>[1]Result_notebook_retravaill!D1082</f>
        <v>Existing production</v>
      </c>
      <c r="E1082" t="str">
        <f>[1]Result_notebook_retravaill!E1082</f>
        <v>Current shares</v>
      </c>
      <c r="F1082" t="str">
        <f>[1]Result_notebook_retravaill!F1082</f>
        <v>NIMBY</v>
      </c>
      <c r="G1082">
        <f>[1]Result_notebook_retravaill!G1082</f>
        <v>195842.1780346538</v>
      </c>
      <c r="H1082" s="3">
        <f>IF([1]Result_notebook_retravaill!I1082&gt;[1]Result_notebook_retravaill!G1082,[1]Result_notebook_retravaill!I1082/[1]Result_notebook_retravaill!N1082,[1]Result_notebook_retravaill!H1082)</f>
        <v>0</v>
      </c>
      <c r="I1082" s="3">
        <f>[1]Result_notebook_retravaill!K1082</f>
        <v>445095.8591696677</v>
      </c>
      <c r="J1082" s="3">
        <f>MIN(G1082,[1]Result_notebook_retravaill!I1082)</f>
        <v>0</v>
      </c>
      <c r="K1082" s="3">
        <f>IF([1]Result_notebook_retravaill!I1082&gt;[1]Result_notebook_retravaill!G1082,0,IF([1]Result_notebook_retravaill!I1082+[1]Result_notebook_retravaill!J1082&gt;[1]Result_notebook_retravaill!G1082,[1]Result_notebook_retravaill!G1082-[1]Result_notebook_retravaill!I1082,[1]Result_notebook_retravaill!J1082))</f>
        <v>0</v>
      </c>
      <c r="L1082" s="3">
        <f>IF([1]Result_notebook_retravaill!I1082&gt;[1]Result_notebook_retravaill!G1082,0,IF([1]Result_notebook_retravaill!I1082+[1]Result_notebook_retravaill!J1082&gt;[1]Result_notebook_retravaill!G1082,0,[1]Result_notebook_retravaill!M1082))</f>
        <v>195842.1780346538</v>
      </c>
    </row>
    <row r="1083" spans="1:12">
      <c r="A1083">
        <f>[1]Result_notebook_retravaill!A1083</f>
        <v>2037</v>
      </c>
      <c r="B1083" t="str">
        <f>[1]Result_notebook_retravaill!B1083</f>
        <v>Cobalt</v>
      </c>
      <c r="C1083" t="str">
        <f>[1]Result_notebook_retravaill!C1083</f>
        <v>Canada Net-zero</v>
      </c>
      <c r="D1083" t="str">
        <f>[1]Result_notebook_retravaill!D1083</f>
        <v>Existing production</v>
      </c>
      <c r="E1083" t="str">
        <f>[1]Result_notebook_retravaill!E1083</f>
        <v>Current shares</v>
      </c>
      <c r="F1083" t="str">
        <f>[1]Result_notebook_retravaill!F1083</f>
        <v>Status Quo</v>
      </c>
      <c r="G1083">
        <f>[1]Result_notebook_retravaill!G1083</f>
        <v>195842.1780346538</v>
      </c>
      <c r="H1083" s="3">
        <f>IF([1]Result_notebook_retravaill!I1083&gt;[1]Result_notebook_retravaill!G1083,[1]Result_notebook_retravaill!I1083/[1]Result_notebook_retravaill!N1083,[1]Result_notebook_retravaill!H1083)</f>
        <v>947</v>
      </c>
      <c r="I1083" s="3">
        <f>[1]Result_notebook_retravaill!K1083</f>
        <v>444148.8591696677</v>
      </c>
      <c r="J1083" s="3">
        <f>MIN(G1083,[1]Result_notebook_retravaill!I1083)</f>
        <v>401.70019146980081</v>
      </c>
      <c r="K1083" s="3">
        <f>IF([1]Result_notebook_retravaill!I1083&gt;[1]Result_notebook_retravaill!G1083,0,IF([1]Result_notebook_retravaill!I1083+[1]Result_notebook_retravaill!J1083&gt;[1]Result_notebook_retravaill!G1083,[1]Result_notebook_retravaill!G1083-[1]Result_notebook_retravaill!I1083,[1]Result_notebook_retravaill!J1083))</f>
        <v>14.361006235767377</v>
      </c>
      <c r="L1083" s="3">
        <f>IF([1]Result_notebook_retravaill!I1083&gt;[1]Result_notebook_retravaill!G1083,0,IF([1]Result_notebook_retravaill!I1083+[1]Result_notebook_retravaill!J1083&gt;[1]Result_notebook_retravaill!G1083,0,[1]Result_notebook_retravaill!M1083))</f>
        <v>195426.11683694823</v>
      </c>
    </row>
    <row r="1084" spans="1:12">
      <c r="A1084">
        <f>[1]Result_notebook_retravaill!A1084</f>
        <v>2037</v>
      </c>
      <c r="B1084" t="str">
        <f>[1]Result_notebook_retravaill!B1084</f>
        <v>Cobalt</v>
      </c>
      <c r="C1084" t="str">
        <f>[1]Result_notebook_retravaill!C1084</f>
        <v>Canada Net-zero</v>
      </c>
      <c r="D1084" t="str">
        <f>[1]Result_notebook_retravaill!D1084</f>
        <v>Production potential</v>
      </c>
      <c r="E1084" t="str">
        <f>[1]Result_notebook_retravaill!E1084</f>
        <v>Current shares</v>
      </c>
      <c r="F1084" t="str">
        <f>[1]Result_notebook_retravaill!F1084</f>
        <v>Expansion Extractive</v>
      </c>
      <c r="G1084">
        <f>[1]Result_notebook_retravaill!G1084</f>
        <v>195842.1780346538</v>
      </c>
      <c r="H1084" s="3">
        <f>IF([1]Result_notebook_retravaill!I1084&gt;[1]Result_notebook_retravaill!G1084,[1]Result_notebook_retravaill!I1084/[1]Result_notebook_retravaill!N1084,[1]Result_notebook_retravaill!H1084)</f>
        <v>20461.41490497061</v>
      </c>
      <c r="I1084" s="3">
        <f>[1]Result_notebook_retravaill!K1084</f>
        <v>424634.44426469709</v>
      </c>
      <c r="J1084" s="3">
        <f>MIN(G1084,[1]Result_notebook_retravaill!I1084)</f>
        <v>8679.3603855012989</v>
      </c>
      <c r="K1084" s="3">
        <f>IF([1]Result_notebook_retravaill!I1084&gt;[1]Result_notebook_retravaill!G1084,0,IF([1]Result_notebook_retravaill!I1084+[1]Result_notebook_retravaill!J1084&gt;[1]Result_notebook_retravaill!G1084,[1]Result_notebook_retravaill!G1084-[1]Result_notebook_retravaill!I1084,[1]Result_notebook_retravaill!J1084))</f>
        <v>310.29198209388232</v>
      </c>
      <c r="L1084" s="3">
        <f>IF([1]Result_notebook_retravaill!I1084&gt;[1]Result_notebook_retravaill!G1084,0,IF([1]Result_notebook_retravaill!I1084+[1]Result_notebook_retravaill!J1084&gt;[1]Result_notebook_retravaill!G1084,0,[1]Result_notebook_retravaill!M1084))</f>
        <v>186852.52566705862</v>
      </c>
    </row>
    <row r="1085" spans="1:12">
      <c r="A1085">
        <f>[1]Result_notebook_retravaill!A1085</f>
        <v>2037</v>
      </c>
      <c r="B1085" t="str">
        <f>[1]Result_notebook_retravaill!B1085</f>
        <v>Cobalt</v>
      </c>
      <c r="C1085" t="str">
        <f>[1]Result_notebook_retravaill!C1085</f>
        <v>Canada Net-zero</v>
      </c>
      <c r="D1085" t="str">
        <f>[1]Result_notebook_retravaill!D1085</f>
        <v>Production potential</v>
      </c>
      <c r="E1085" t="str">
        <f>[1]Result_notebook_retravaill!E1085</f>
        <v>Current shares</v>
      </c>
      <c r="F1085" t="str">
        <f>[1]Result_notebook_retravaill!F1085</f>
        <v>Expansion Extractive+Circularity</v>
      </c>
      <c r="G1085">
        <f>[1]Result_notebook_retravaill!G1085</f>
        <v>195842.1780346538</v>
      </c>
      <c r="H1085" s="3">
        <f>IF([1]Result_notebook_retravaill!I1085&gt;[1]Result_notebook_retravaill!G1085,[1]Result_notebook_retravaill!I1085/[1]Result_notebook_retravaill!N1085,[1]Result_notebook_retravaill!H1085)</f>
        <v>20461.41490497061</v>
      </c>
      <c r="I1085" s="3">
        <f>[1]Result_notebook_retravaill!K1085</f>
        <v>424634.44426469709</v>
      </c>
      <c r="J1085" s="3">
        <f>MIN(G1085,[1]Result_notebook_retravaill!I1085)</f>
        <v>8679.3603855012989</v>
      </c>
      <c r="K1085" s="3">
        <f>IF([1]Result_notebook_retravaill!I1085&gt;[1]Result_notebook_retravaill!G1085,0,IF([1]Result_notebook_retravaill!I1085+[1]Result_notebook_retravaill!J1085&gt;[1]Result_notebook_retravaill!G1085,[1]Result_notebook_retravaill!G1085-[1]Result_notebook_retravaill!I1085,[1]Result_notebook_retravaill!J1085))</f>
        <v>310.29198209388232</v>
      </c>
      <c r="L1085" s="3">
        <f>IF([1]Result_notebook_retravaill!I1085&gt;[1]Result_notebook_retravaill!G1085,0,IF([1]Result_notebook_retravaill!I1085+[1]Result_notebook_retravaill!J1085&gt;[1]Result_notebook_retravaill!G1085,0,[1]Result_notebook_retravaill!M1085))</f>
        <v>186852.52566705862</v>
      </c>
    </row>
    <row r="1086" spans="1:12">
      <c r="A1086">
        <f>[1]Result_notebook_retravaill!A1086</f>
        <v>2037</v>
      </c>
      <c r="B1086" t="str">
        <f>[1]Result_notebook_retravaill!B1086</f>
        <v>Cobalt</v>
      </c>
      <c r="C1086" t="str">
        <f>[1]Result_notebook_retravaill!C1086</f>
        <v>Canada Net-zero</v>
      </c>
      <c r="D1086" t="str">
        <f>[1]Result_notebook_retravaill!D1086</f>
        <v>Production potential</v>
      </c>
      <c r="E1086" t="str">
        <f>[1]Result_notebook_retravaill!E1086</f>
        <v>100% CAN</v>
      </c>
      <c r="F1086" t="str">
        <f>[1]Result_notebook_retravaill!F1086</f>
        <v>Integrated</v>
      </c>
      <c r="G1086">
        <f>[1]Result_notebook_retravaill!G1086</f>
        <v>195842.1780346538</v>
      </c>
      <c r="H1086" s="3">
        <f>IF([1]Result_notebook_retravaill!I1086&gt;[1]Result_notebook_retravaill!G1086,[1]Result_notebook_retravaill!I1086/[1]Result_notebook_retravaill!N1086,[1]Result_notebook_retravaill!H1086)</f>
        <v>20461.41490497061</v>
      </c>
      <c r="I1086" s="3">
        <f>[1]Result_notebook_retravaill!K1086</f>
        <v>424634.44426469709</v>
      </c>
      <c r="J1086" s="3">
        <f>MIN(G1086,[1]Result_notebook_retravaill!I1086)</f>
        <v>8989.6523675951903</v>
      </c>
      <c r="K1086" s="3">
        <f>IF([1]Result_notebook_retravaill!I1086&gt;[1]Result_notebook_retravaill!G1086,0,IF([1]Result_notebook_retravaill!I1086+[1]Result_notebook_retravaill!J1086&gt;[1]Result_notebook_retravaill!G1086,[1]Result_notebook_retravaill!G1086-[1]Result_notebook_retravaill!I1086,[1]Result_notebook_retravaill!J1086))</f>
        <v>0</v>
      </c>
      <c r="L1086" s="3">
        <f>IF([1]Result_notebook_retravaill!I1086&gt;[1]Result_notebook_retravaill!G1086,0,IF([1]Result_notebook_retravaill!I1086+[1]Result_notebook_retravaill!J1086&gt;[1]Result_notebook_retravaill!G1086,0,[1]Result_notebook_retravaill!M1086))</f>
        <v>186852.52566705859</v>
      </c>
    </row>
    <row r="1087" spans="1:12">
      <c r="A1087">
        <f>[1]Result_notebook_retravaill!A1087</f>
        <v>2037</v>
      </c>
      <c r="B1087" t="str">
        <f>[1]Result_notebook_retravaill!B1087</f>
        <v>Cobalt</v>
      </c>
      <c r="C1087" t="str">
        <f>[1]Result_notebook_retravaill!C1087</f>
        <v>Current Measures</v>
      </c>
      <c r="D1087" t="str">
        <f>[1]Result_notebook_retravaill!D1087</f>
        <v>Existing production</v>
      </c>
      <c r="E1087" t="str">
        <f>[1]Result_notebook_retravaill!E1087</f>
        <v>Current shares</v>
      </c>
      <c r="F1087" t="str">
        <f>[1]Result_notebook_retravaill!F1087</f>
        <v>NIMBY</v>
      </c>
      <c r="G1087">
        <f>[1]Result_notebook_retravaill!G1087</f>
        <v>73598.891657163113</v>
      </c>
      <c r="H1087" s="3">
        <f>IF([1]Result_notebook_retravaill!I1087&gt;[1]Result_notebook_retravaill!G1087,[1]Result_notebook_retravaill!I1087/[1]Result_notebook_retravaill!N1087,[1]Result_notebook_retravaill!H1087)</f>
        <v>0</v>
      </c>
      <c r="I1087" s="3">
        <f>[1]Result_notebook_retravaill!K1087</f>
        <v>167270.20831173431</v>
      </c>
      <c r="J1087" s="3">
        <f>MIN(G1087,[1]Result_notebook_retravaill!I1087)</f>
        <v>0</v>
      </c>
      <c r="K1087" s="3">
        <f>IF([1]Result_notebook_retravaill!I1087&gt;[1]Result_notebook_retravaill!G1087,0,IF([1]Result_notebook_retravaill!I1087+[1]Result_notebook_retravaill!J1087&gt;[1]Result_notebook_retravaill!G1087,[1]Result_notebook_retravaill!G1087-[1]Result_notebook_retravaill!I1087,[1]Result_notebook_retravaill!J1087))</f>
        <v>0</v>
      </c>
      <c r="L1087" s="3">
        <f>IF([1]Result_notebook_retravaill!I1087&gt;[1]Result_notebook_retravaill!G1087,0,IF([1]Result_notebook_retravaill!I1087+[1]Result_notebook_retravaill!J1087&gt;[1]Result_notebook_retravaill!G1087,0,[1]Result_notebook_retravaill!M1087))</f>
        <v>73598.891657163113</v>
      </c>
    </row>
    <row r="1088" spans="1:12">
      <c r="A1088">
        <f>[1]Result_notebook_retravaill!A1088</f>
        <v>2037</v>
      </c>
      <c r="B1088" t="str">
        <f>[1]Result_notebook_retravaill!B1088</f>
        <v>Cobalt</v>
      </c>
      <c r="C1088" t="str">
        <f>[1]Result_notebook_retravaill!C1088</f>
        <v>Current Measures</v>
      </c>
      <c r="D1088" t="str">
        <f>[1]Result_notebook_retravaill!D1088</f>
        <v>Existing production</v>
      </c>
      <c r="E1088" t="str">
        <f>[1]Result_notebook_retravaill!E1088</f>
        <v>Current shares</v>
      </c>
      <c r="F1088" t="str">
        <f>[1]Result_notebook_retravaill!F1088</f>
        <v>Status Quo</v>
      </c>
      <c r="G1088">
        <f>[1]Result_notebook_retravaill!G1088</f>
        <v>73598.891657163113</v>
      </c>
      <c r="H1088" s="3">
        <f>IF([1]Result_notebook_retravaill!I1088&gt;[1]Result_notebook_retravaill!G1088,[1]Result_notebook_retravaill!I1088/[1]Result_notebook_retravaill!N1088,[1]Result_notebook_retravaill!H1088)</f>
        <v>947</v>
      </c>
      <c r="I1088" s="3">
        <f>[1]Result_notebook_retravaill!K1088</f>
        <v>166323.20831173431</v>
      </c>
      <c r="J1088" s="3">
        <f>MIN(G1088,[1]Result_notebook_retravaill!I1088)</f>
        <v>401.70019146980081</v>
      </c>
      <c r="K1088" s="3">
        <f>IF([1]Result_notebook_retravaill!I1088&gt;[1]Result_notebook_retravaill!G1088,0,IF([1]Result_notebook_retravaill!I1088+[1]Result_notebook_retravaill!J1088&gt;[1]Result_notebook_retravaill!G1088,[1]Result_notebook_retravaill!G1088-[1]Result_notebook_retravaill!I1088,[1]Result_notebook_retravaill!J1088))</f>
        <v>14.361006235767377</v>
      </c>
      <c r="L1088" s="3">
        <f>IF([1]Result_notebook_retravaill!I1088&gt;[1]Result_notebook_retravaill!G1088,0,IF([1]Result_notebook_retravaill!I1088+[1]Result_notebook_retravaill!J1088&gt;[1]Result_notebook_retravaill!G1088,0,[1]Result_notebook_retravaill!M1088))</f>
        <v>73182.830459457546</v>
      </c>
    </row>
    <row r="1089" spans="1:12">
      <c r="A1089">
        <f>[1]Result_notebook_retravaill!A1089</f>
        <v>2037</v>
      </c>
      <c r="B1089" t="str">
        <f>[1]Result_notebook_retravaill!B1089</f>
        <v>Cobalt</v>
      </c>
      <c r="C1089" t="str">
        <f>[1]Result_notebook_retravaill!C1089</f>
        <v>Current Measures</v>
      </c>
      <c r="D1089" t="str">
        <f>[1]Result_notebook_retravaill!D1089</f>
        <v>Production potential</v>
      </c>
      <c r="E1089" t="str">
        <f>[1]Result_notebook_retravaill!E1089</f>
        <v>Current shares</v>
      </c>
      <c r="F1089" t="str">
        <f>[1]Result_notebook_retravaill!F1089</f>
        <v>Expansion Extractive</v>
      </c>
      <c r="G1089">
        <f>[1]Result_notebook_retravaill!G1089</f>
        <v>73598.891657163113</v>
      </c>
      <c r="H1089" s="3">
        <f>IF([1]Result_notebook_retravaill!I1089&gt;[1]Result_notebook_retravaill!G1089,[1]Result_notebook_retravaill!I1089/[1]Result_notebook_retravaill!N1089,[1]Result_notebook_retravaill!H1089)</f>
        <v>20461.41490497061</v>
      </c>
      <c r="I1089" s="3">
        <f>[1]Result_notebook_retravaill!K1089</f>
        <v>146808.7934067637</v>
      </c>
      <c r="J1089" s="3">
        <f>MIN(G1089,[1]Result_notebook_retravaill!I1089)</f>
        <v>8679.3603855012989</v>
      </c>
      <c r="K1089" s="3">
        <f>IF([1]Result_notebook_retravaill!I1089&gt;[1]Result_notebook_retravaill!G1089,0,IF([1]Result_notebook_retravaill!I1089+[1]Result_notebook_retravaill!J1089&gt;[1]Result_notebook_retravaill!G1089,[1]Result_notebook_retravaill!G1089-[1]Result_notebook_retravaill!I1089,[1]Result_notebook_retravaill!J1089))</f>
        <v>310.29198209388232</v>
      </c>
      <c r="L1089" s="3">
        <f>IF([1]Result_notebook_retravaill!I1089&gt;[1]Result_notebook_retravaill!G1089,0,IF([1]Result_notebook_retravaill!I1089+[1]Result_notebook_retravaill!J1089&gt;[1]Result_notebook_retravaill!G1089,0,[1]Result_notebook_retravaill!M1089))</f>
        <v>64609.239289567922</v>
      </c>
    </row>
    <row r="1090" spans="1:12">
      <c r="A1090">
        <f>[1]Result_notebook_retravaill!A1090</f>
        <v>2037</v>
      </c>
      <c r="B1090" t="str">
        <f>[1]Result_notebook_retravaill!B1090</f>
        <v>Cobalt</v>
      </c>
      <c r="C1090" t="str">
        <f>[1]Result_notebook_retravaill!C1090</f>
        <v>Current Measures</v>
      </c>
      <c r="D1090" t="str">
        <f>[1]Result_notebook_retravaill!D1090</f>
        <v>Production potential</v>
      </c>
      <c r="E1090" t="str">
        <f>[1]Result_notebook_retravaill!E1090</f>
        <v>Current shares</v>
      </c>
      <c r="F1090" t="str">
        <f>[1]Result_notebook_retravaill!F1090</f>
        <v>Expansion Extractive+Circularity</v>
      </c>
      <c r="G1090">
        <f>[1]Result_notebook_retravaill!G1090</f>
        <v>73598.891657163113</v>
      </c>
      <c r="H1090" s="3">
        <f>IF([1]Result_notebook_retravaill!I1090&gt;[1]Result_notebook_retravaill!G1090,[1]Result_notebook_retravaill!I1090/[1]Result_notebook_retravaill!N1090,[1]Result_notebook_retravaill!H1090)</f>
        <v>20461.41490497061</v>
      </c>
      <c r="I1090" s="3">
        <f>[1]Result_notebook_retravaill!K1090</f>
        <v>146808.7934067637</v>
      </c>
      <c r="J1090" s="3">
        <f>MIN(G1090,[1]Result_notebook_retravaill!I1090)</f>
        <v>8679.3603855012989</v>
      </c>
      <c r="K1090" s="3">
        <f>IF([1]Result_notebook_retravaill!I1090&gt;[1]Result_notebook_retravaill!G1090,0,IF([1]Result_notebook_retravaill!I1090+[1]Result_notebook_retravaill!J1090&gt;[1]Result_notebook_retravaill!G1090,[1]Result_notebook_retravaill!G1090-[1]Result_notebook_retravaill!I1090,[1]Result_notebook_retravaill!J1090))</f>
        <v>310.29198209388232</v>
      </c>
      <c r="L1090" s="3">
        <f>IF([1]Result_notebook_retravaill!I1090&gt;[1]Result_notebook_retravaill!G1090,0,IF([1]Result_notebook_retravaill!I1090+[1]Result_notebook_retravaill!J1090&gt;[1]Result_notebook_retravaill!G1090,0,[1]Result_notebook_retravaill!M1090))</f>
        <v>64609.239289567922</v>
      </c>
    </row>
    <row r="1091" spans="1:12">
      <c r="A1091">
        <f>[1]Result_notebook_retravaill!A1091</f>
        <v>2037</v>
      </c>
      <c r="B1091" t="str">
        <f>[1]Result_notebook_retravaill!B1091</f>
        <v>Cobalt</v>
      </c>
      <c r="C1091" t="str">
        <f>[1]Result_notebook_retravaill!C1091</f>
        <v>Current Measures</v>
      </c>
      <c r="D1091" t="str">
        <f>[1]Result_notebook_retravaill!D1091</f>
        <v>Production potential</v>
      </c>
      <c r="E1091" t="str">
        <f>[1]Result_notebook_retravaill!E1091</f>
        <v>100% CAN</v>
      </c>
      <c r="F1091" t="str">
        <f>[1]Result_notebook_retravaill!F1091</f>
        <v>Integrated</v>
      </c>
      <c r="G1091">
        <f>[1]Result_notebook_retravaill!G1091</f>
        <v>73598.891657163113</v>
      </c>
      <c r="H1091" s="3">
        <f>IF([1]Result_notebook_retravaill!I1091&gt;[1]Result_notebook_retravaill!G1091,[1]Result_notebook_retravaill!I1091/[1]Result_notebook_retravaill!N1091,[1]Result_notebook_retravaill!H1091)</f>
        <v>20461.41490497061</v>
      </c>
      <c r="I1091" s="3">
        <f>[1]Result_notebook_retravaill!K1091</f>
        <v>146808.7934067637</v>
      </c>
      <c r="J1091" s="3">
        <f>MIN(G1091,[1]Result_notebook_retravaill!I1091)</f>
        <v>8989.6523675951903</v>
      </c>
      <c r="K1091" s="3">
        <f>IF([1]Result_notebook_retravaill!I1091&gt;[1]Result_notebook_retravaill!G1091,0,IF([1]Result_notebook_retravaill!I1091+[1]Result_notebook_retravaill!J1091&gt;[1]Result_notebook_retravaill!G1091,[1]Result_notebook_retravaill!G1091-[1]Result_notebook_retravaill!I1091,[1]Result_notebook_retravaill!J1091))</f>
        <v>0</v>
      </c>
      <c r="L1091" s="3">
        <f>IF([1]Result_notebook_retravaill!I1091&gt;[1]Result_notebook_retravaill!G1091,0,IF([1]Result_notebook_retravaill!I1091+[1]Result_notebook_retravaill!J1091&gt;[1]Result_notebook_retravaill!G1091,0,[1]Result_notebook_retravaill!M1091))</f>
        <v>64609.239289567922</v>
      </c>
    </row>
    <row r="1092" spans="1:12">
      <c r="A1092">
        <f>[1]Result_notebook_retravaill!A1092</f>
        <v>2037</v>
      </c>
      <c r="B1092" t="str">
        <f>[1]Result_notebook_retravaill!B1092</f>
        <v>Cobalt</v>
      </c>
      <c r="C1092" t="str">
        <f>[1]Result_notebook_retravaill!C1092</f>
        <v>Global Net-zero</v>
      </c>
      <c r="D1092" t="str">
        <f>[1]Result_notebook_retravaill!D1092</f>
        <v>Existing production</v>
      </c>
      <c r="E1092" t="str">
        <f>[1]Result_notebook_retravaill!E1092</f>
        <v>Current shares</v>
      </c>
      <c r="F1092" t="str">
        <f>[1]Result_notebook_retravaill!F1092</f>
        <v>NIMBY</v>
      </c>
      <c r="G1092">
        <f>[1]Result_notebook_retravaill!G1092</f>
        <v>186507.43822649619</v>
      </c>
      <c r="H1092" s="3">
        <f>IF([1]Result_notebook_retravaill!I1092&gt;[1]Result_notebook_retravaill!G1092,[1]Result_notebook_retravaill!I1092/[1]Result_notebook_retravaill!N1092,[1]Result_notebook_retravaill!H1092)</f>
        <v>0</v>
      </c>
      <c r="I1092" s="3">
        <f>[1]Result_notebook_retravaill!K1092</f>
        <v>423880.541423855</v>
      </c>
      <c r="J1092" s="3">
        <f>MIN(G1092,[1]Result_notebook_retravaill!I1092)</f>
        <v>0</v>
      </c>
      <c r="K1092" s="3">
        <f>IF([1]Result_notebook_retravaill!I1092&gt;[1]Result_notebook_retravaill!G1092,0,IF([1]Result_notebook_retravaill!I1092+[1]Result_notebook_retravaill!J1092&gt;[1]Result_notebook_retravaill!G1092,[1]Result_notebook_retravaill!G1092-[1]Result_notebook_retravaill!I1092,[1]Result_notebook_retravaill!J1092))</f>
        <v>0</v>
      </c>
      <c r="L1092" s="3">
        <f>IF([1]Result_notebook_retravaill!I1092&gt;[1]Result_notebook_retravaill!G1092,0,IF([1]Result_notebook_retravaill!I1092+[1]Result_notebook_retravaill!J1092&gt;[1]Result_notebook_retravaill!G1092,0,[1]Result_notebook_retravaill!M1092))</f>
        <v>186507.43822649619</v>
      </c>
    </row>
    <row r="1093" spans="1:12">
      <c r="A1093">
        <f>[1]Result_notebook_retravaill!A1093</f>
        <v>2037</v>
      </c>
      <c r="B1093" t="str">
        <f>[1]Result_notebook_retravaill!B1093</f>
        <v>Cobalt</v>
      </c>
      <c r="C1093" t="str">
        <f>[1]Result_notebook_retravaill!C1093</f>
        <v>Global Net-zero</v>
      </c>
      <c r="D1093" t="str">
        <f>[1]Result_notebook_retravaill!D1093</f>
        <v>Existing production</v>
      </c>
      <c r="E1093" t="str">
        <f>[1]Result_notebook_retravaill!E1093</f>
        <v>Current shares</v>
      </c>
      <c r="F1093" t="str">
        <f>[1]Result_notebook_retravaill!F1093</f>
        <v>Status Quo</v>
      </c>
      <c r="G1093">
        <f>[1]Result_notebook_retravaill!G1093</f>
        <v>186507.43822649619</v>
      </c>
      <c r="H1093" s="3">
        <f>IF([1]Result_notebook_retravaill!I1093&gt;[1]Result_notebook_retravaill!G1093,[1]Result_notebook_retravaill!I1093/[1]Result_notebook_retravaill!N1093,[1]Result_notebook_retravaill!H1093)</f>
        <v>947</v>
      </c>
      <c r="I1093" s="3">
        <f>[1]Result_notebook_retravaill!K1093</f>
        <v>422933.541423855</v>
      </c>
      <c r="J1093" s="3">
        <f>MIN(G1093,[1]Result_notebook_retravaill!I1093)</f>
        <v>401.70019146980081</v>
      </c>
      <c r="K1093" s="3">
        <f>IF([1]Result_notebook_retravaill!I1093&gt;[1]Result_notebook_retravaill!G1093,0,IF([1]Result_notebook_retravaill!I1093+[1]Result_notebook_retravaill!J1093&gt;[1]Result_notebook_retravaill!G1093,[1]Result_notebook_retravaill!G1093-[1]Result_notebook_retravaill!I1093,[1]Result_notebook_retravaill!J1093))</f>
        <v>14.361006235767377</v>
      </c>
      <c r="L1093" s="3">
        <f>IF([1]Result_notebook_retravaill!I1093&gt;[1]Result_notebook_retravaill!G1093,0,IF([1]Result_notebook_retravaill!I1093+[1]Result_notebook_retravaill!J1093&gt;[1]Result_notebook_retravaill!G1093,0,[1]Result_notebook_retravaill!M1093))</f>
        <v>186091.37702879065</v>
      </c>
    </row>
    <row r="1094" spans="1:12">
      <c r="A1094">
        <f>[1]Result_notebook_retravaill!A1094</f>
        <v>2037</v>
      </c>
      <c r="B1094" t="str">
        <f>[1]Result_notebook_retravaill!B1094</f>
        <v>Cobalt</v>
      </c>
      <c r="C1094" t="str">
        <f>[1]Result_notebook_retravaill!C1094</f>
        <v>Global Net-zero</v>
      </c>
      <c r="D1094" t="str">
        <f>[1]Result_notebook_retravaill!D1094</f>
        <v>Production potential</v>
      </c>
      <c r="E1094" t="str">
        <f>[1]Result_notebook_retravaill!E1094</f>
        <v>Current shares</v>
      </c>
      <c r="F1094" t="str">
        <f>[1]Result_notebook_retravaill!F1094</f>
        <v>Expansion Extractive</v>
      </c>
      <c r="G1094">
        <f>[1]Result_notebook_retravaill!G1094</f>
        <v>186507.43822649619</v>
      </c>
      <c r="H1094" s="3">
        <f>IF([1]Result_notebook_retravaill!I1094&gt;[1]Result_notebook_retravaill!G1094,[1]Result_notebook_retravaill!I1094/[1]Result_notebook_retravaill!N1094,[1]Result_notebook_retravaill!H1094)</f>
        <v>20461.41490497061</v>
      </c>
      <c r="I1094" s="3">
        <f>[1]Result_notebook_retravaill!K1094</f>
        <v>403419.12651888438</v>
      </c>
      <c r="J1094" s="3">
        <f>MIN(G1094,[1]Result_notebook_retravaill!I1094)</f>
        <v>8679.3603855012989</v>
      </c>
      <c r="K1094" s="3">
        <f>IF([1]Result_notebook_retravaill!I1094&gt;[1]Result_notebook_retravaill!G1094,0,IF([1]Result_notebook_retravaill!I1094+[1]Result_notebook_retravaill!J1094&gt;[1]Result_notebook_retravaill!G1094,[1]Result_notebook_retravaill!G1094-[1]Result_notebook_retravaill!I1094,[1]Result_notebook_retravaill!J1094))</f>
        <v>310.29198209388232</v>
      </c>
      <c r="L1094" s="3">
        <f>IF([1]Result_notebook_retravaill!I1094&gt;[1]Result_notebook_retravaill!G1094,0,IF([1]Result_notebook_retravaill!I1094+[1]Result_notebook_retravaill!J1094&gt;[1]Result_notebook_retravaill!G1094,0,[1]Result_notebook_retravaill!M1094))</f>
        <v>177517.78585890101</v>
      </c>
    </row>
    <row r="1095" spans="1:12">
      <c r="A1095">
        <f>[1]Result_notebook_retravaill!A1095</f>
        <v>2037</v>
      </c>
      <c r="B1095" t="str">
        <f>[1]Result_notebook_retravaill!B1095</f>
        <v>Cobalt</v>
      </c>
      <c r="C1095" t="str">
        <f>[1]Result_notebook_retravaill!C1095</f>
        <v>Global Net-zero</v>
      </c>
      <c r="D1095" t="str">
        <f>[1]Result_notebook_retravaill!D1095</f>
        <v>Production potential</v>
      </c>
      <c r="E1095" t="str">
        <f>[1]Result_notebook_retravaill!E1095</f>
        <v>Current shares</v>
      </c>
      <c r="F1095" t="str">
        <f>[1]Result_notebook_retravaill!F1095</f>
        <v>Expansion Extractive+Circularity</v>
      </c>
      <c r="G1095">
        <f>[1]Result_notebook_retravaill!G1095</f>
        <v>186507.43822649619</v>
      </c>
      <c r="H1095" s="3">
        <f>IF([1]Result_notebook_retravaill!I1095&gt;[1]Result_notebook_retravaill!G1095,[1]Result_notebook_retravaill!I1095/[1]Result_notebook_retravaill!N1095,[1]Result_notebook_retravaill!H1095)</f>
        <v>20461.41490497061</v>
      </c>
      <c r="I1095" s="3">
        <f>[1]Result_notebook_retravaill!K1095</f>
        <v>403419.12651888438</v>
      </c>
      <c r="J1095" s="3">
        <f>MIN(G1095,[1]Result_notebook_retravaill!I1095)</f>
        <v>8679.3603855012989</v>
      </c>
      <c r="K1095" s="3">
        <f>IF([1]Result_notebook_retravaill!I1095&gt;[1]Result_notebook_retravaill!G1095,0,IF([1]Result_notebook_retravaill!I1095+[1]Result_notebook_retravaill!J1095&gt;[1]Result_notebook_retravaill!G1095,[1]Result_notebook_retravaill!G1095-[1]Result_notebook_retravaill!I1095,[1]Result_notebook_retravaill!J1095))</f>
        <v>310.29198209388232</v>
      </c>
      <c r="L1095" s="3">
        <f>IF([1]Result_notebook_retravaill!I1095&gt;[1]Result_notebook_retravaill!G1095,0,IF([1]Result_notebook_retravaill!I1095+[1]Result_notebook_retravaill!J1095&gt;[1]Result_notebook_retravaill!G1095,0,[1]Result_notebook_retravaill!M1095))</f>
        <v>177517.78585890101</v>
      </c>
    </row>
    <row r="1096" spans="1:12">
      <c r="A1096">
        <f>[1]Result_notebook_retravaill!A1096</f>
        <v>2037</v>
      </c>
      <c r="B1096" t="str">
        <f>[1]Result_notebook_retravaill!B1096</f>
        <v>Cobalt</v>
      </c>
      <c r="C1096" t="str">
        <f>[1]Result_notebook_retravaill!C1096</f>
        <v>Global Net-zero</v>
      </c>
      <c r="D1096" t="str">
        <f>[1]Result_notebook_retravaill!D1096</f>
        <v>Production potential</v>
      </c>
      <c r="E1096" t="str">
        <f>[1]Result_notebook_retravaill!E1096</f>
        <v>100% CAN</v>
      </c>
      <c r="F1096" t="str">
        <f>[1]Result_notebook_retravaill!F1096</f>
        <v>Integrated</v>
      </c>
      <c r="G1096">
        <f>[1]Result_notebook_retravaill!G1096</f>
        <v>186507.43822649619</v>
      </c>
      <c r="H1096" s="3">
        <f>IF([1]Result_notebook_retravaill!I1096&gt;[1]Result_notebook_retravaill!G1096,[1]Result_notebook_retravaill!I1096/[1]Result_notebook_retravaill!N1096,[1]Result_notebook_retravaill!H1096)</f>
        <v>20461.41490497061</v>
      </c>
      <c r="I1096" s="3">
        <f>[1]Result_notebook_retravaill!K1096</f>
        <v>403419.12651888438</v>
      </c>
      <c r="J1096" s="3">
        <f>MIN(G1096,[1]Result_notebook_retravaill!I1096)</f>
        <v>8989.6523675951903</v>
      </c>
      <c r="K1096" s="3">
        <f>IF([1]Result_notebook_retravaill!I1096&gt;[1]Result_notebook_retravaill!G1096,0,IF([1]Result_notebook_retravaill!I1096+[1]Result_notebook_retravaill!J1096&gt;[1]Result_notebook_retravaill!G1096,[1]Result_notebook_retravaill!G1096-[1]Result_notebook_retravaill!I1096,[1]Result_notebook_retravaill!J1096))</f>
        <v>0</v>
      </c>
      <c r="L1096" s="3">
        <f>IF([1]Result_notebook_retravaill!I1096&gt;[1]Result_notebook_retravaill!G1096,0,IF([1]Result_notebook_retravaill!I1096+[1]Result_notebook_retravaill!J1096&gt;[1]Result_notebook_retravaill!G1096,0,[1]Result_notebook_retravaill!M1096))</f>
        <v>177517.78585890101</v>
      </c>
    </row>
    <row r="1097" spans="1:12">
      <c r="A1097">
        <f>[1]Result_notebook_retravaill!A1097</f>
        <v>2037</v>
      </c>
      <c r="B1097" t="str">
        <f>[1]Result_notebook_retravaill!B1097</f>
        <v>Copper</v>
      </c>
      <c r="C1097" t="str">
        <f>[1]Result_notebook_retravaill!C1097</f>
        <v>Canada Net-zero</v>
      </c>
      <c r="D1097" t="str">
        <f>[1]Result_notebook_retravaill!D1097</f>
        <v>Existing production</v>
      </c>
      <c r="E1097" t="str">
        <f>[1]Result_notebook_retravaill!E1097</f>
        <v>Current shares</v>
      </c>
      <c r="F1097" t="str">
        <f>[1]Result_notebook_retravaill!F1097</f>
        <v>NIMBY</v>
      </c>
      <c r="G1097">
        <f>[1]Result_notebook_retravaill!G1097</f>
        <v>1478036.3950053221</v>
      </c>
      <c r="H1097" s="3">
        <f>IF([1]Result_notebook_retravaill!I1097&gt;[1]Result_notebook_retravaill!G1097,[1]Result_notebook_retravaill!I1097/[1]Result_notebook_retravaill!N1097,[1]Result_notebook_retravaill!H1097)</f>
        <v>0</v>
      </c>
      <c r="I1097" s="3">
        <f>[1]Result_notebook_retravaill!K1097</f>
        <v>1780766.7409702679</v>
      </c>
      <c r="J1097" s="3">
        <f>MIN(G1097,[1]Result_notebook_retravaill!I1097)</f>
        <v>0</v>
      </c>
      <c r="K1097" s="3">
        <f>IF([1]Result_notebook_retravaill!I1097&gt;[1]Result_notebook_retravaill!G1097,0,IF([1]Result_notebook_retravaill!I1097+[1]Result_notebook_retravaill!J1097&gt;[1]Result_notebook_retravaill!G1097,[1]Result_notebook_retravaill!G1097-[1]Result_notebook_retravaill!I1097,[1]Result_notebook_retravaill!J1097))</f>
        <v>0</v>
      </c>
      <c r="L1097" s="3">
        <f>IF([1]Result_notebook_retravaill!I1097&gt;[1]Result_notebook_retravaill!G1097,0,IF([1]Result_notebook_retravaill!I1097+[1]Result_notebook_retravaill!J1097&gt;[1]Result_notebook_retravaill!G1097,0,[1]Result_notebook_retravaill!M1097))</f>
        <v>1478036.3950053221</v>
      </c>
    </row>
    <row r="1098" spans="1:12">
      <c r="A1098">
        <f>[1]Result_notebook_retravaill!A1098</f>
        <v>2037</v>
      </c>
      <c r="B1098" t="str">
        <f>[1]Result_notebook_retravaill!B1098</f>
        <v>Copper</v>
      </c>
      <c r="C1098" t="str">
        <f>[1]Result_notebook_retravaill!C1098</f>
        <v>Canada Net-zero</v>
      </c>
      <c r="D1098" t="str">
        <f>[1]Result_notebook_retravaill!D1098</f>
        <v>Existing production</v>
      </c>
      <c r="E1098" t="str">
        <f>[1]Result_notebook_retravaill!E1098</f>
        <v>Current shares</v>
      </c>
      <c r="F1098" t="str">
        <f>[1]Result_notebook_retravaill!F1098</f>
        <v>Status Quo</v>
      </c>
      <c r="G1098">
        <f>[1]Result_notebook_retravaill!G1098</f>
        <v>1478036.3950053221</v>
      </c>
      <c r="H1098" s="3">
        <f>IF([1]Result_notebook_retravaill!I1098&gt;[1]Result_notebook_retravaill!G1098,[1]Result_notebook_retravaill!I1098/[1]Result_notebook_retravaill!N1098,[1]Result_notebook_retravaill!H1098)</f>
        <v>216675</v>
      </c>
      <c r="I1098" s="3">
        <f>[1]Result_notebook_retravaill!K1098</f>
        <v>1564091.7409702679</v>
      </c>
      <c r="J1098" s="3">
        <f>MIN(G1098,[1]Result_notebook_retravaill!I1098)</f>
        <v>113886.262360209</v>
      </c>
      <c r="K1098" s="3">
        <f>IF([1]Result_notebook_retravaill!I1098&gt;[1]Result_notebook_retravaill!G1098,0,IF([1]Result_notebook_retravaill!I1098+[1]Result_notebook_retravaill!J1098&gt;[1]Result_notebook_retravaill!G1098,[1]Result_notebook_retravaill!G1098-[1]Result_notebook_retravaill!I1098,[1]Result_notebook_retravaill!J1098))</f>
        <v>66982.275775384114</v>
      </c>
      <c r="L1098" s="3">
        <f>IF([1]Result_notebook_retravaill!I1098&gt;[1]Result_notebook_retravaill!G1098,0,IF([1]Result_notebook_retravaill!I1098+[1]Result_notebook_retravaill!J1098&gt;[1]Result_notebook_retravaill!G1098,0,[1]Result_notebook_retravaill!M1098))</f>
        <v>1297167.8568697288</v>
      </c>
    </row>
    <row r="1099" spans="1:12">
      <c r="A1099">
        <f>[1]Result_notebook_retravaill!A1099</f>
        <v>2037</v>
      </c>
      <c r="B1099" t="str">
        <f>[1]Result_notebook_retravaill!B1099</f>
        <v>Copper</v>
      </c>
      <c r="C1099" t="str">
        <f>[1]Result_notebook_retravaill!C1099</f>
        <v>Canada Net-zero</v>
      </c>
      <c r="D1099" t="str">
        <f>[1]Result_notebook_retravaill!D1099</f>
        <v>Production potential</v>
      </c>
      <c r="E1099" t="str">
        <f>[1]Result_notebook_retravaill!E1099</f>
        <v>Current shares</v>
      </c>
      <c r="F1099" t="str">
        <f>[1]Result_notebook_retravaill!F1099</f>
        <v>Expansion Extractive</v>
      </c>
      <c r="G1099">
        <f>[1]Result_notebook_retravaill!G1099</f>
        <v>1478036.3950053221</v>
      </c>
      <c r="H1099" s="3">
        <f>IF([1]Result_notebook_retravaill!I1099&gt;[1]Result_notebook_retravaill!G1099,[1]Result_notebook_retravaill!I1099/[1]Result_notebook_retravaill!N1099,[1]Result_notebook_retravaill!H1099)</f>
        <v>973099.29728133942</v>
      </c>
      <c r="I1099" s="3">
        <f>[1]Result_notebook_retravaill!K1099</f>
        <v>807667.44368892827</v>
      </c>
      <c r="J1099" s="3">
        <f>MIN(G1099,[1]Result_notebook_retravaill!I1099)</f>
        <v>511469.4444339106</v>
      </c>
      <c r="K1099" s="3">
        <f>IF([1]Result_notebook_retravaill!I1099&gt;[1]Result_notebook_retravaill!G1099,0,IF([1]Result_notebook_retravaill!I1099+[1]Result_notebook_retravaill!J1099&gt;[1]Result_notebook_retravaill!G1099,[1]Result_notebook_retravaill!G1099-[1]Result_notebook_retravaill!I1099,[1]Result_notebook_retravaill!J1099))</f>
        <v>300821.07066957996</v>
      </c>
      <c r="L1099" s="3">
        <f>IF([1]Result_notebook_retravaill!I1099&gt;[1]Result_notebook_retravaill!G1099,0,IF([1]Result_notebook_retravaill!I1099+[1]Result_notebook_retravaill!J1099&gt;[1]Result_notebook_retravaill!G1099,0,[1]Result_notebook_retravaill!M1099))</f>
        <v>665745.8799018315</v>
      </c>
    </row>
    <row r="1100" spans="1:12">
      <c r="A1100">
        <f>[1]Result_notebook_retravaill!A1100</f>
        <v>2037</v>
      </c>
      <c r="B1100" t="str">
        <f>[1]Result_notebook_retravaill!B1100</f>
        <v>Copper</v>
      </c>
      <c r="C1100" t="str">
        <f>[1]Result_notebook_retravaill!C1100</f>
        <v>Canada Net-zero</v>
      </c>
      <c r="D1100" t="str">
        <f>[1]Result_notebook_retravaill!D1100</f>
        <v>Production potential</v>
      </c>
      <c r="E1100" t="str">
        <f>[1]Result_notebook_retravaill!E1100</f>
        <v>Current shares</v>
      </c>
      <c r="F1100" t="str">
        <f>[1]Result_notebook_retravaill!F1100</f>
        <v>Expansion Extractive+Circularity</v>
      </c>
      <c r="G1100">
        <f>[1]Result_notebook_retravaill!G1100</f>
        <v>1478036.3950053221</v>
      </c>
      <c r="H1100" s="3">
        <f>IF([1]Result_notebook_retravaill!I1100&gt;[1]Result_notebook_retravaill!G1100,[1]Result_notebook_retravaill!I1100/[1]Result_notebook_retravaill!N1100,[1]Result_notebook_retravaill!H1100)</f>
        <v>973099.29728133942</v>
      </c>
      <c r="I1100" s="3">
        <f>[1]Result_notebook_retravaill!K1100</f>
        <v>807667.44368892827</v>
      </c>
      <c r="J1100" s="3">
        <f>MIN(G1100,[1]Result_notebook_retravaill!I1100)</f>
        <v>511469.4444339106</v>
      </c>
      <c r="K1100" s="3">
        <f>IF([1]Result_notebook_retravaill!I1100&gt;[1]Result_notebook_retravaill!G1100,0,IF([1]Result_notebook_retravaill!I1100+[1]Result_notebook_retravaill!J1100&gt;[1]Result_notebook_retravaill!G1100,[1]Result_notebook_retravaill!G1100-[1]Result_notebook_retravaill!I1100,[1]Result_notebook_retravaill!J1100))</f>
        <v>300821.07066957996</v>
      </c>
      <c r="L1100" s="3">
        <f>IF([1]Result_notebook_retravaill!I1100&gt;[1]Result_notebook_retravaill!G1100,0,IF([1]Result_notebook_retravaill!I1100+[1]Result_notebook_retravaill!J1100&gt;[1]Result_notebook_retravaill!G1100,0,[1]Result_notebook_retravaill!M1100))</f>
        <v>665745.8799018315</v>
      </c>
    </row>
    <row r="1101" spans="1:12">
      <c r="A1101">
        <f>[1]Result_notebook_retravaill!A1101</f>
        <v>2037</v>
      </c>
      <c r="B1101" t="str">
        <f>[1]Result_notebook_retravaill!B1101</f>
        <v>Copper</v>
      </c>
      <c r="C1101" t="str">
        <f>[1]Result_notebook_retravaill!C1101</f>
        <v>Canada Net-zero</v>
      </c>
      <c r="D1101" t="str">
        <f>[1]Result_notebook_retravaill!D1101</f>
        <v>Production potential</v>
      </c>
      <c r="E1101" t="str">
        <f>[1]Result_notebook_retravaill!E1101</f>
        <v>100% CAN</v>
      </c>
      <c r="F1101" t="str">
        <f>[1]Result_notebook_retravaill!F1101</f>
        <v>Integrated</v>
      </c>
      <c r="G1101">
        <f>[1]Result_notebook_retravaill!G1101</f>
        <v>1478036.3950053221</v>
      </c>
      <c r="H1101" s="3">
        <f>IF([1]Result_notebook_retravaill!I1101&gt;[1]Result_notebook_retravaill!G1101,[1]Result_notebook_retravaill!I1101/[1]Result_notebook_retravaill!N1101,[1]Result_notebook_retravaill!H1101)</f>
        <v>973099.29728133942</v>
      </c>
      <c r="I1101" s="3">
        <f>[1]Result_notebook_retravaill!K1101</f>
        <v>807667.44368892827</v>
      </c>
      <c r="J1101" s="3">
        <f>MIN(G1101,[1]Result_notebook_retravaill!I1101)</f>
        <v>812290.51510349091</v>
      </c>
      <c r="K1101" s="3">
        <f>IF([1]Result_notebook_retravaill!I1101&gt;[1]Result_notebook_retravaill!G1101,0,IF([1]Result_notebook_retravaill!I1101+[1]Result_notebook_retravaill!J1101&gt;[1]Result_notebook_retravaill!G1101,[1]Result_notebook_retravaill!G1101-[1]Result_notebook_retravaill!I1101,[1]Result_notebook_retravaill!J1101))</f>
        <v>0</v>
      </c>
      <c r="L1101" s="3">
        <f>IF([1]Result_notebook_retravaill!I1101&gt;[1]Result_notebook_retravaill!G1101,0,IF([1]Result_notebook_retravaill!I1101+[1]Result_notebook_retravaill!J1101&gt;[1]Result_notebook_retravaill!G1101,0,[1]Result_notebook_retravaill!M1101))</f>
        <v>665745.87990183115</v>
      </c>
    </row>
    <row r="1102" spans="1:12">
      <c r="A1102">
        <f>[1]Result_notebook_retravaill!A1102</f>
        <v>2037</v>
      </c>
      <c r="B1102" t="str">
        <f>[1]Result_notebook_retravaill!B1102</f>
        <v>Copper</v>
      </c>
      <c r="C1102" t="str">
        <f>[1]Result_notebook_retravaill!C1102</f>
        <v>Current Measures</v>
      </c>
      <c r="D1102" t="str">
        <f>[1]Result_notebook_retravaill!D1102</f>
        <v>Existing production</v>
      </c>
      <c r="E1102" t="str">
        <f>[1]Result_notebook_retravaill!E1102</f>
        <v>Current shares</v>
      </c>
      <c r="F1102" t="str">
        <f>[1]Result_notebook_retravaill!F1102</f>
        <v>NIMBY</v>
      </c>
      <c r="G1102">
        <f>[1]Result_notebook_retravaill!G1102</f>
        <v>1130192.3701368021</v>
      </c>
      <c r="H1102" s="3">
        <f>IF([1]Result_notebook_retravaill!I1102&gt;[1]Result_notebook_retravaill!G1102,[1]Result_notebook_retravaill!I1102/[1]Result_notebook_retravaill!N1102,[1]Result_notebook_retravaill!H1102)</f>
        <v>0</v>
      </c>
      <c r="I1102" s="3">
        <f>[1]Result_notebook_retravaill!K1102</f>
        <v>1361677.5543816891</v>
      </c>
      <c r="J1102" s="3">
        <f>MIN(G1102,[1]Result_notebook_retravaill!I1102)</f>
        <v>0</v>
      </c>
      <c r="K1102" s="3">
        <f>IF([1]Result_notebook_retravaill!I1102&gt;[1]Result_notebook_retravaill!G1102,0,IF([1]Result_notebook_retravaill!I1102+[1]Result_notebook_retravaill!J1102&gt;[1]Result_notebook_retravaill!G1102,[1]Result_notebook_retravaill!G1102-[1]Result_notebook_retravaill!I1102,[1]Result_notebook_retravaill!J1102))</f>
        <v>0</v>
      </c>
      <c r="L1102" s="3">
        <f>IF([1]Result_notebook_retravaill!I1102&gt;[1]Result_notebook_retravaill!G1102,0,IF([1]Result_notebook_retravaill!I1102+[1]Result_notebook_retravaill!J1102&gt;[1]Result_notebook_retravaill!G1102,0,[1]Result_notebook_retravaill!M1102))</f>
        <v>1130192.3701368021</v>
      </c>
    </row>
    <row r="1103" spans="1:12">
      <c r="A1103">
        <f>[1]Result_notebook_retravaill!A1103</f>
        <v>2037</v>
      </c>
      <c r="B1103" t="str">
        <f>[1]Result_notebook_retravaill!B1103</f>
        <v>Copper</v>
      </c>
      <c r="C1103" t="str">
        <f>[1]Result_notebook_retravaill!C1103</f>
        <v>Current Measures</v>
      </c>
      <c r="D1103" t="str">
        <f>[1]Result_notebook_retravaill!D1103</f>
        <v>Existing production</v>
      </c>
      <c r="E1103" t="str">
        <f>[1]Result_notebook_retravaill!E1103</f>
        <v>Current shares</v>
      </c>
      <c r="F1103" t="str">
        <f>[1]Result_notebook_retravaill!F1103</f>
        <v>Status Quo</v>
      </c>
      <c r="G1103">
        <f>[1]Result_notebook_retravaill!G1103</f>
        <v>1130192.3701368021</v>
      </c>
      <c r="H1103" s="3">
        <f>IF([1]Result_notebook_retravaill!I1103&gt;[1]Result_notebook_retravaill!G1103,[1]Result_notebook_retravaill!I1103/[1]Result_notebook_retravaill!N1103,[1]Result_notebook_retravaill!H1103)</f>
        <v>216675</v>
      </c>
      <c r="I1103" s="3">
        <f>[1]Result_notebook_retravaill!K1103</f>
        <v>1145002.5543816891</v>
      </c>
      <c r="J1103" s="3">
        <f>MIN(G1103,[1]Result_notebook_retravaill!I1103)</f>
        <v>113886.262360209</v>
      </c>
      <c r="K1103" s="3">
        <f>IF([1]Result_notebook_retravaill!I1103&gt;[1]Result_notebook_retravaill!G1103,0,IF([1]Result_notebook_retravaill!I1103+[1]Result_notebook_retravaill!J1103&gt;[1]Result_notebook_retravaill!G1103,[1]Result_notebook_retravaill!G1103-[1]Result_notebook_retravaill!I1103,[1]Result_notebook_retravaill!J1103))</f>
        <v>66982.275775384114</v>
      </c>
      <c r="L1103" s="3">
        <f>IF([1]Result_notebook_retravaill!I1103&gt;[1]Result_notebook_retravaill!G1103,0,IF([1]Result_notebook_retravaill!I1103+[1]Result_notebook_retravaill!J1103&gt;[1]Result_notebook_retravaill!G1103,0,[1]Result_notebook_retravaill!M1103))</f>
        <v>949323.83200120879</v>
      </c>
    </row>
    <row r="1104" spans="1:12">
      <c r="A1104">
        <f>[1]Result_notebook_retravaill!A1104</f>
        <v>2037</v>
      </c>
      <c r="B1104" t="str">
        <f>[1]Result_notebook_retravaill!B1104</f>
        <v>Copper</v>
      </c>
      <c r="C1104" t="str">
        <f>[1]Result_notebook_retravaill!C1104</f>
        <v>Current Measures</v>
      </c>
      <c r="D1104" t="str">
        <f>[1]Result_notebook_retravaill!D1104</f>
        <v>Production potential</v>
      </c>
      <c r="E1104" t="str">
        <f>[1]Result_notebook_retravaill!E1104</f>
        <v>Current shares</v>
      </c>
      <c r="F1104" t="str">
        <f>[1]Result_notebook_retravaill!F1104</f>
        <v>Expansion Extractive</v>
      </c>
      <c r="G1104">
        <f>[1]Result_notebook_retravaill!G1104</f>
        <v>1130192.3701368021</v>
      </c>
      <c r="H1104" s="3">
        <f>IF([1]Result_notebook_retravaill!I1104&gt;[1]Result_notebook_retravaill!G1104,[1]Result_notebook_retravaill!I1104/[1]Result_notebook_retravaill!N1104,[1]Result_notebook_retravaill!H1104)</f>
        <v>973099.29728133942</v>
      </c>
      <c r="I1104" s="3">
        <f>[1]Result_notebook_retravaill!K1104</f>
        <v>388578.25710034987</v>
      </c>
      <c r="J1104" s="3">
        <f>MIN(G1104,[1]Result_notebook_retravaill!I1104)</f>
        <v>511469.4444339106</v>
      </c>
      <c r="K1104" s="3">
        <f>IF([1]Result_notebook_retravaill!I1104&gt;[1]Result_notebook_retravaill!G1104,0,IF([1]Result_notebook_retravaill!I1104+[1]Result_notebook_retravaill!J1104&gt;[1]Result_notebook_retravaill!G1104,[1]Result_notebook_retravaill!G1104-[1]Result_notebook_retravaill!I1104,[1]Result_notebook_retravaill!J1104))</f>
        <v>300821.07066957996</v>
      </c>
      <c r="L1104" s="3">
        <f>IF([1]Result_notebook_retravaill!I1104&gt;[1]Result_notebook_retravaill!G1104,0,IF([1]Result_notebook_retravaill!I1104+[1]Result_notebook_retravaill!J1104&gt;[1]Result_notebook_retravaill!G1104,0,[1]Result_notebook_retravaill!M1104))</f>
        <v>317901.85503331159</v>
      </c>
    </row>
    <row r="1105" spans="1:12">
      <c r="A1105">
        <f>[1]Result_notebook_retravaill!A1105</f>
        <v>2037</v>
      </c>
      <c r="B1105" t="str">
        <f>[1]Result_notebook_retravaill!B1105</f>
        <v>Copper</v>
      </c>
      <c r="C1105" t="str">
        <f>[1]Result_notebook_retravaill!C1105</f>
        <v>Current Measures</v>
      </c>
      <c r="D1105" t="str">
        <f>[1]Result_notebook_retravaill!D1105</f>
        <v>Production potential</v>
      </c>
      <c r="E1105" t="str">
        <f>[1]Result_notebook_retravaill!E1105</f>
        <v>Current shares</v>
      </c>
      <c r="F1105" t="str">
        <f>[1]Result_notebook_retravaill!F1105</f>
        <v>Expansion Extractive+Circularity</v>
      </c>
      <c r="G1105">
        <f>[1]Result_notebook_retravaill!G1105</f>
        <v>1130192.3701368021</v>
      </c>
      <c r="H1105" s="3">
        <f>IF([1]Result_notebook_retravaill!I1105&gt;[1]Result_notebook_retravaill!G1105,[1]Result_notebook_retravaill!I1105/[1]Result_notebook_retravaill!N1105,[1]Result_notebook_retravaill!H1105)</f>
        <v>973099.29728133942</v>
      </c>
      <c r="I1105" s="3">
        <f>[1]Result_notebook_retravaill!K1105</f>
        <v>388578.25710034987</v>
      </c>
      <c r="J1105" s="3">
        <f>MIN(G1105,[1]Result_notebook_retravaill!I1105)</f>
        <v>511469.4444339106</v>
      </c>
      <c r="K1105" s="3">
        <f>IF([1]Result_notebook_retravaill!I1105&gt;[1]Result_notebook_retravaill!G1105,0,IF([1]Result_notebook_retravaill!I1105+[1]Result_notebook_retravaill!J1105&gt;[1]Result_notebook_retravaill!G1105,[1]Result_notebook_retravaill!G1105-[1]Result_notebook_retravaill!I1105,[1]Result_notebook_retravaill!J1105))</f>
        <v>300821.07066957996</v>
      </c>
      <c r="L1105" s="3">
        <f>IF([1]Result_notebook_retravaill!I1105&gt;[1]Result_notebook_retravaill!G1105,0,IF([1]Result_notebook_retravaill!I1105+[1]Result_notebook_retravaill!J1105&gt;[1]Result_notebook_retravaill!G1105,0,[1]Result_notebook_retravaill!M1105))</f>
        <v>317901.85503331159</v>
      </c>
    </row>
    <row r="1106" spans="1:12">
      <c r="A1106">
        <f>[1]Result_notebook_retravaill!A1106</f>
        <v>2037</v>
      </c>
      <c r="B1106" t="str">
        <f>[1]Result_notebook_retravaill!B1106</f>
        <v>Copper</v>
      </c>
      <c r="C1106" t="str">
        <f>[1]Result_notebook_retravaill!C1106</f>
        <v>Current Measures</v>
      </c>
      <c r="D1106" t="str">
        <f>[1]Result_notebook_retravaill!D1106</f>
        <v>Production potential</v>
      </c>
      <c r="E1106" t="str">
        <f>[1]Result_notebook_retravaill!E1106</f>
        <v>100% CAN</v>
      </c>
      <c r="F1106" t="str">
        <f>[1]Result_notebook_retravaill!F1106</f>
        <v>Integrated</v>
      </c>
      <c r="G1106">
        <f>[1]Result_notebook_retravaill!G1106</f>
        <v>1130192.3701368021</v>
      </c>
      <c r="H1106" s="3">
        <f>IF([1]Result_notebook_retravaill!I1106&gt;[1]Result_notebook_retravaill!G1106,[1]Result_notebook_retravaill!I1106/[1]Result_notebook_retravaill!N1106,[1]Result_notebook_retravaill!H1106)</f>
        <v>973099.29728133942</v>
      </c>
      <c r="I1106" s="3">
        <f>[1]Result_notebook_retravaill!K1106</f>
        <v>388578.25710034987</v>
      </c>
      <c r="J1106" s="3">
        <f>MIN(G1106,[1]Result_notebook_retravaill!I1106)</f>
        <v>812290.51510349091</v>
      </c>
      <c r="K1106" s="3">
        <f>IF([1]Result_notebook_retravaill!I1106&gt;[1]Result_notebook_retravaill!G1106,0,IF([1]Result_notebook_retravaill!I1106+[1]Result_notebook_retravaill!J1106&gt;[1]Result_notebook_retravaill!G1106,[1]Result_notebook_retravaill!G1106-[1]Result_notebook_retravaill!I1106,[1]Result_notebook_retravaill!J1106))</f>
        <v>0</v>
      </c>
      <c r="L1106" s="3">
        <f>IF([1]Result_notebook_retravaill!I1106&gt;[1]Result_notebook_retravaill!G1106,0,IF([1]Result_notebook_retravaill!I1106+[1]Result_notebook_retravaill!J1106&gt;[1]Result_notebook_retravaill!G1106,0,[1]Result_notebook_retravaill!M1106))</f>
        <v>317901.85503331118</v>
      </c>
    </row>
    <row r="1107" spans="1:12">
      <c r="A1107">
        <f>[1]Result_notebook_retravaill!A1107</f>
        <v>2037</v>
      </c>
      <c r="B1107" t="str">
        <f>[1]Result_notebook_retravaill!B1107</f>
        <v>Copper</v>
      </c>
      <c r="C1107" t="str">
        <f>[1]Result_notebook_retravaill!C1107</f>
        <v>Global Net-zero</v>
      </c>
      <c r="D1107" t="str">
        <f>[1]Result_notebook_retravaill!D1107</f>
        <v>Existing production</v>
      </c>
      <c r="E1107" t="str">
        <f>[1]Result_notebook_retravaill!E1107</f>
        <v>Current shares</v>
      </c>
      <c r="F1107" t="str">
        <f>[1]Result_notebook_retravaill!F1107</f>
        <v>NIMBY</v>
      </c>
      <c r="G1107">
        <f>[1]Result_notebook_retravaill!G1107</f>
        <v>1402619.85449987</v>
      </c>
      <c r="H1107" s="3">
        <f>IF([1]Result_notebook_retravaill!I1107&gt;[1]Result_notebook_retravaill!G1107,[1]Result_notebook_retravaill!I1107/[1]Result_notebook_retravaill!N1107,[1]Result_notebook_retravaill!H1107)</f>
        <v>0</v>
      </c>
      <c r="I1107" s="3">
        <f>[1]Result_notebook_retravaill!K1107</f>
        <v>1689903.4391564699</v>
      </c>
      <c r="J1107" s="3">
        <f>MIN(G1107,[1]Result_notebook_retravaill!I1107)</f>
        <v>0</v>
      </c>
      <c r="K1107" s="3">
        <f>IF([1]Result_notebook_retravaill!I1107&gt;[1]Result_notebook_retravaill!G1107,0,IF([1]Result_notebook_retravaill!I1107+[1]Result_notebook_retravaill!J1107&gt;[1]Result_notebook_retravaill!G1107,[1]Result_notebook_retravaill!G1107-[1]Result_notebook_retravaill!I1107,[1]Result_notebook_retravaill!J1107))</f>
        <v>0</v>
      </c>
      <c r="L1107" s="3">
        <f>IF([1]Result_notebook_retravaill!I1107&gt;[1]Result_notebook_retravaill!G1107,0,IF([1]Result_notebook_retravaill!I1107+[1]Result_notebook_retravaill!J1107&gt;[1]Result_notebook_retravaill!G1107,0,[1]Result_notebook_retravaill!M1107))</f>
        <v>1402619.85449987</v>
      </c>
    </row>
    <row r="1108" spans="1:12">
      <c r="A1108">
        <f>[1]Result_notebook_retravaill!A1108</f>
        <v>2037</v>
      </c>
      <c r="B1108" t="str">
        <f>[1]Result_notebook_retravaill!B1108</f>
        <v>Copper</v>
      </c>
      <c r="C1108" t="str">
        <f>[1]Result_notebook_retravaill!C1108</f>
        <v>Global Net-zero</v>
      </c>
      <c r="D1108" t="str">
        <f>[1]Result_notebook_retravaill!D1108</f>
        <v>Existing production</v>
      </c>
      <c r="E1108" t="str">
        <f>[1]Result_notebook_retravaill!E1108</f>
        <v>Current shares</v>
      </c>
      <c r="F1108" t="str">
        <f>[1]Result_notebook_retravaill!F1108</f>
        <v>Status Quo</v>
      </c>
      <c r="G1108">
        <f>[1]Result_notebook_retravaill!G1108</f>
        <v>1402619.85449987</v>
      </c>
      <c r="H1108" s="3">
        <f>IF([1]Result_notebook_retravaill!I1108&gt;[1]Result_notebook_retravaill!G1108,[1]Result_notebook_retravaill!I1108/[1]Result_notebook_retravaill!N1108,[1]Result_notebook_retravaill!H1108)</f>
        <v>216675</v>
      </c>
      <c r="I1108" s="3">
        <f>[1]Result_notebook_retravaill!K1108</f>
        <v>1473228.4391564699</v>
      </c>
      <c r="J1108" s="3">
        <f>MIN(G1108,[1]Result_notebook_retravaill!I1108)</f>
        <v>113886.262360209</v>
      </c>
      <c r="K1108" s="3">
        <f>IF([1]Result_notebook_retravaill!I1108&gt;[1]Result_notebook_retravaill!G1108,0,IF([1]Result_notebook_retravaill!I1108+[1]Result_notebook_retravaill!J1108&gt;[1]Result_notebook_retravaill!G1108,[1]Result_notebook_retravaill!G1108-[1]Result_notebook_retravaill!I1108,[1]Result_notebook_retravaill!J1108))</f>
        <v>66982.275775384114</v>
      </c>
      <c r="L1108" s="3">
        <f>IF([1]Result_notebook_retravaill!I1108&gt;[1]Result_notebook_retravaill!G1108,0,IF([1]Result_notebook_retravaill!I1108+[1]Result_notebook_retravaill!J1108&gt;[1]Result_notebook_retravaill!G1108,0,[1]Result_notebook_retravaill!M1108))</f>
        <v>1221751.3163642769</v>
      </c>
    </row>
    <row r="1109" spans="1:12">
      <c r="A1109">
        <f>[1]Result_notebook_retravaill!A1109</f>
        <v>2037</v>
      </c>
      <c r="B1109" t="str">
        <f>[1]Result_notebook_retravaill!B1109</f>
        <v>Copper</v>
      </c>
      <c r="C1109" t="str">
        <f>[1]Result_notebook_retravaill!C1109</f>
        <v>Global Net-zero</v>
      </c>
      <c r="D1109" t="str">
        <f>[1]Result_notebook_retravaill!D1109</f>
        <v>Production potential</v>
      </c>
      <c r="E1109" t="str">
        <f>[1]Result_notebook_retravaill!E1109</f>
        <v>Current shares</v>
      </c>
      <c r="F1109" t="str">
        <f>[1]Result_notebook_retravaill!F1109</f>
        <v>Expansion Extractive</v>
      </c>
      <c r="G1109">
        <f>[1]Result_notebook_retravaill!G1109</f>
        <v>1402619.85449987</v>
      </c>
      <c r="H1109" s="3">
        <f>IF([1]Result_notebook_retravaill!I1109&gt;[1]Result_notebook_retravaill!G1109,[1]Result_notebook_retravaill!I1109/[1]Result_notebook_retravaill!N1109,[1]Result_notebook_retravaill!H1109)</f>
        <v>973099.29728133942</v>
      </c>
      <c r="I1109" s="3">
        <f>[1]Result_notebook_retravaill!K1109</f>
        <v>716804.14187513047</v>
      </c>
      <c r="J1109" s="3">
        <f>MIN(G1109,[1]Result_notebook_retravaill!I1109)</f>
        <v>511469.4444339106</v>
      </c>
      <c r="K1109" s="3">
        <f>IF([1]Result_notebook_retravaill!I1109&gt;[1]Result_notebook_retravaill!G1109,0,IF([1]Result_notebook_retravaill!I1109+[1]Result_notebook_retravaill!J1109&gt;[1]Result_notebook_retravaill!G1109,[1]Result_notebook_retravaill!G1109-[1]Result_notebook_retravaill!I1109,[1]Result_notebook_retravaill!J1109))</f>
        <v>300821.07066957996</v>
      </c>
      <c r="L1109" s="3">
        <f>IF([1]Result_notebook_retravaill!I1109&gt;[1]Result_notebook_retravaill!G1109,0,IF([1]Result_notebook_retravaill!I1109+[1]Result_notebook_retravaill!J1109&gt;[1]Result_notebook_retravaill!G1109,0,[1]Result_notebook_retravaill!M1109))</f>
        <v>590329.33939637942</v>
      </c>
    </row>
    <row r="1110" spans="1:12">
      <c r="A1110">
        <f>[1]Result_notebook_retravaill!A1110</f>
        <v>2037</v>
      </c>
      <c r="B1110" t="str">
        <f>[1]Result_notebook_retravaill!B1110</f>
        <v>Copper</v>
      </c>
      <c r="C1110" t="str">
        <f>[1]Result_notebook_retravaill!C1110</f>
        <v>Global Net-zero</v>
      </c>
      <c r="D1110" t="str">
        <f>[1]Result_notebook_retravaill!D1110</f>
        <v>Production potential</v>
      </c>
      <c r="E1110" t="str">
        <f>[1]Result_notebook_retravaill!E1110</f>
        <v>Current shares</v>
      </c>
      <c r="F1110" t="str">
        <f>[1]Result_notebook_retravaill!F1110</f>
        <v>Expansion Extractive+Circularity</v>
      </c>
      <c r="G1110">
        <f>[1]Result_notebook_retravaill!G1110</f>
        <v>1402619.85449987</v>
      </c>
      <c r="H1110" s="3">
        <f>IF([1]Result_notebook_retravaill!I1110&gt;[1]Result_notebook_retravaill!G1110,[1]Result_notebook_retravaill!I1110/[1]Result_notebook_retravaill!N1110,[1]Result_notebook_retravaill!H1110)</f>
        <v>973099.29728133942</v>
      </c>
      <c r="I1110" s="3">
        <f>[1]Result_notebook_retravaill!K1110</f>
        <v>716804.14187513047</v>
      </c>
      <c r="J1110" s="3">
        <f>MIN(G1110,[1]Result_notebook_retravaill!I1110)</f>
        <v>511469.4444339106</v>
      </c>
      <c r="K1110" s="3">
        <f>IF([1]Result_notebook_retravaill!I1110&gt;[1]Result_notebook_retravaill!G1110,0,IF([1]Result_notebook_retravaill!I1110+[1]Result_notebook_retravaill!J1110&gt;[1]Result_notebook_retravaill!G1110,[1]Result_notebook_retravaill!G1110-[1]Result_notebook_retravaill!I1110,[1]Result_notebook_retravaill!J1110))</f>
        <v>300821.07066957996</v>
      </c>
      <c r="L1110" s="3">
        <f>IF([1]Result_notebook_retravaill!I1110&gt;[1]Result_notebook_retravaill!G1110,0,IF([1]Result_notebook_retravaill!I1110+[1]Result_notebook_retravaill!J1110&gt;[1]Result_notebook_retravaill!G1110,0,[1]Result_notebook_retravaill!M1110))</f>
        <v>590329.33939637942</v>
      </c>
    </row>
    <row r="1111" spans="1:12">
      <c r="A1111">
        <f>[1]Result_notebook_retravaill!A1111</f>
        <v>2037</v>
      </c>
      <c r="B1111" t="str">
        <f>[1]Result_notebook_retravaill!B1111</f>
        <v>Copper</v>
      </c>
      <c r="C1111" t="str">
        <f>[1]Result_notebook_retravaill!C1111</f>
        <v>Global Net-zero</v>
      </c>
      <c r="D1111" t="str">
        <f>[1]Result_notebook_retravaill!D1111</f>
        <v>Production potential</v>
      </c>
      <c r="E1111" t="str">
        <f>[1]Result_notebook_retravaill!E1111</f>
        <v>100% CAN</v>
      </c>
      <c r="F1111" t="str">
        <f>[1]Result_notebook_retravaill!F1111</f>
        <v>Integrated</v>
      </c>
      <c r="G1111">
        <f>[1]Result_notebook_retravaill!G1111</f>
        <v>1402619.85449987</v>
      </c>
      <c r="H1111" s="3">
        <f>IF([1]Result_notebook_retravaill!I1111&gt;[1]Result_notebook_retravaill!G1111,[1]Result_notebook_retravaill!I1111/[1]Result_notebook_retravaill!N1111,[1]Result_notebook_retravaill!H1111)</f>
        <v>973099.29728133942</v>
      </c>
      <c r="I1111" s="3">
        <f>[1]Result_notebook_retravaill!K1111</f>
        <v>716804.14187513047</v>
      </c>
      <c r="J1111" s="3">
        <f>MIN(G1111,[1]Result_notebook_retravaill!I1111)</f>
        <v>812290.51510349091</v>
      </c>
      <c r="K1111" s="3">
        <f>IF([1]Result_notebook_retravaill!I1111&gt;[1]Result_notebook_retravaill!G1111,0,IF([1]Result_notebook_retravaill!I1111+[1]Result_notebook_retravaill!J1111&gt;[1]Result_notebook_retravaill!G1111,[1]Result_notebook_retravaill!G1111-[1]Result_notebook_retravaill!I1111,[1]Result_notebook_retravaill!J1111))</f>
        <v>0</v>
      </c>
      <c r="L1111" s="3">
        <f>IF([1]Result_notebook_retravaill!I1111&gt;[1]Result_notebook_retravaill!G1111,0,IF([1]Result_notebook_retravaill!I1111+[1]Result_notebook_retravaill!J1111&gt;[1]Result_notebook_retravaill!G1111,0,[1]Result_notebook_retravaill!M1111))</f>
        <v>590329.33939637907</v>
      </c>
    </row>
    <row r="1112" spans="1:12">
      <c r="A1112">
        <f>[1]Result_notebook_retravaill!A1112</f>
        <v>2037</v>
      </c>
      <c r="B1112" t="str">
        <f>[1]Result_notebook_retravaill!B1112</f>
        <v>Neodymium</v>
      </c>
      <c r="C1112" t="str">
        <f>[1]Result_notebook_retravaill!C1112</f>
        <v>Canada Net-zero</v>
      </c>
      <c r="D1112" t="str">
        <f>[1]Result_notebook_retravaill!D1112</f>
        <v>Existing production</v>
      </c>
      <c r="E1112" t="str">
        <f>[1]Result_notebook_retravaill!E1112</f>
        <v>Current shares</v>
      </c>
      <c r="F1112" t="str">
        <f>[1]Result_notebook_retravaill!F1112</f>
        <v>NIMBY</v>
      </c>
      <c r="G1112">
        <f>[1]Result_notebook_retravaill!G1112</f>
        <v>5975.1221443033437</v>
      </c>
      <c r="H1112" s="3">
        <f>IF([1]Result_notebook_retravaill!I1112&gt;[1]Result_notebook_retravaill!G1112,[1]Result_notebook_retravaill!I1112/[1]Result_notebook_retravaill!N1112,[1]Result_notebook_retravaill!H1112)</f>
        <v>0</v>
      </c>
      <c r="I1112" s="3">
        <f>[1]Result_notebook_retravaill!K1112</f>
        <v>9958.5369071722398</v>
      </c>
      <c r="J1112" s="3">
        <f>MIN(G1112,[1]Result_notebook_retravaill!I1112)</f>
        <v>0</v>
      </c>
      <c r="K1112" s="3">
        <f>IF([1]Result_notebook_retravaill!I1112&gt;[1]Result_notebook_retravaill!G1112,0,IF([1]Result_notebook_retravaill!I1112+[1]Result_notebook_retravaill!J1112&gt;[1]Result_notebook_retravaill!G1112,[1]Result_notebook_retravaill!G1112-[1]Result_notebook_retravaill!I1112,[1]Result_notebook_retravaill!J1112))</f>
        <v>0</v>
      </c>
      <c r="L1112" s="3">
        <f>IF([1]Result_notebook_retravaill!I1112&gt;[1]Result_notebook_retravaill!G1112,0,IF([1]Result_notebook_retravaill!I1112+[1]Result_notebook_retravaill!J1112&gt;[1]Result_notebook_retravaill!G1112,0,[1]Result_notebook_retravaill!M1112))</f>
        <v>5975.1221443033437</v>
      </c>
    </row>
    <row r="1113" spans="1:12">
      <c r="A1113">
        <f>[1]Result_notebook_retravaill!A1113</f>
        <v>2037</v>
      </c>
      <c r="B1113" t="str">
        <f>[1]Result_notebook_retravaill!B1113</f>
        <v>Neodymium</v>
      </c>
      <c r="C1113" t="str">
        <f>[1]Result_notebook_retravaill!C1113</f>
        <v>Canada Net-zero</v>
      </c>
      <c r="D1113" t="str">
        <f>[1]Result_notebook_retravaill!D1113</f>
        <v>Existing production</v>
      </c>
      <c r="E1113" t="str">
        <f>[1]Result_notebook_retravaill!E1113</f>
        <v>Current shares</v>
      </c>
      <c r="F1113" t="str">
        <f>[1]Result_notebook_retravaill!F1113</f>
        <v>Status Quo</v>
      </c>
      <c r="G1113">
        <f>[1]Result_notebook_retravaill!G1113</f>
        <v>5975.1221443033437</v>
      </c>
      <c r="H1113" s="3">
        <f>IF([1]Result_notebook_retravaill!I1113&gt;[1]Result_notebook_retravaill!G1113,[1]Result_notebook_retravaill!I1113/[1]Result_notebook_retravaill!N1113,[1]Result_notebook_retravaill!H1113)</f>
        <v>0</v>
      </c>
      <c r="I1113" s="3">
        <f>[1]Result_notebook_retravaill!K1113</f>
        <v>9958.5369071722398</v>
      </c>
      <c r="J1113" s="3">
        <f>MIN(G1113,[1]Result_notebook_retravaill!I1113)</f>
        <v>0</v>
      </c>
      <c r="K1113" s="3">
        <f>IF([1]Result_notebook_retravaill!I1113&gt;[1]Result_notebook_retravaill!G1113,0,IF([1]Result_notebook_retravaill!I1113+[1]Result_notebook_retravaill!J1113&gt;[1]Result_notebook_retravaill!G1113,[1]Result_notebook_retravaill!G1113-[1]Result_notebook_retravaill!I1113,[1]Result_notebook_retravaill!J1113))</f>
        <v>0</v>
      </c>
      <c r="L1113" s="3">
        <f>IF([1]Result_notebook_retravaill!I1113&gt;[1]Result_notebook_retravaill!G1113,0,IF([1]Result_notebook_retravaill!I1113+[1]Result_notebook_retravaill!J1113&gt;[1]Result_notebook_retravaill!G1113,0,[1]Result_notebook_retravaill!M1113))</f>
        <v>5975.1221443033437</v>
      </c>
    </row>
    <row r="1114" spans="1:12">
      <c r="A1114">
        <f>[1]Result_notebook_retravaill!A1114</f>
        <v>2037</v>
      </c>
      <c r="B1114" t="str">
        <f>[1]Result_notebook_retravaill!B1114</f>
        <v>Neodymium</v>
      </c>
      <c r="C1114" t="str">
        <f>[1]Result_notebook_retravaill!C1114</f>
        <v>Canada Net-zero</v>
      </c>
      <c r="D1114" t="str">
        <f>[1]Result_notebook_retravaill!D1114</f>
        <v>Production potential</v>
      </c>
      <c r="E1114" t="str">
        <f>[1]Result_notebook_retravaill!E1114</f>
        <v>Current shares</v>
      </c>
      <c r="F1114" t="str">
        <f>[1]Result_notebook_retravaill!F1114</f>
        <v>Expansion Extractive</v>
      </c>
      <c r="G1114">
        <f>[1]Result_notebook_retravaill!G1114</f>
        <v>5975.1221443033437</v>
      </c>
      <c r="H1114" s="3">
        <f>IF([1]Result_notebook_retravaill!I1114&gt;[1]Result_notebook_retravaill!G1114,[1]Result_notebook_retravaill!I1114/[1]Result_notebook_retravaill!N1114,[1]Result_notebook_retravaill!H1114)</f>
        <v>157.05645137680381</v>
      </c>
      <c r="I1114" s="3">
        <f>[1]Result_notebook_retravaill!K1114</f>
        <v>9801.4804557954358</v>
      </c>
      <c r="J1114" s="3">
        <f>MIN(G1114,[1]Result_notebook_retravaill!I1114)</f>
        <v>94.005183124447228</v>
      </c>
      <c r="K1114" s="3">
        <f>IF([1]Result_notebook_retravaill!I1114&gt;[1]Result_notebook_retravaill!G1114,0,IF([1]Result_notebook_retravaill!I1114+[1]Result_notebook_retravaill!J1114&gt;[1]Result_notebook_retravaill!G1114,[1]Result_notebook_retravaill!G1114-[1]Result_notebook_retravaill!I1114,[1]Result_notebook_retravaill!J1114))</f>
        <v>63.051268252356579</v>
      </c>
      <c r="L1114" s="3">
        <f>IF([1]Result_notebook_retravaill!I1114&gt;[1]Result_notebook_retravaill!G1114,0,IF([1]Result_notebook_retravaill!I1114+[1]Result_notebook_retravaill!J1114&gt;[1]Result_notebook_retravaill!G1114,0,[1]Result_notebook_retravaill!M1114))</f>
        <v>5818.0656929265397</v>
      </c>
    </row>
    <row r="1115" spans="1:12">
      <c r="A1115">
        <f>[1]Result_notebook_retravaill!A1115</f>
        <v>2037</v>
      </c>
      <c r="B1115" t="str">
        <f>[1]Result_notebook_retravaill!B1115</f>
        <v>Neodymium</v>
      </c>
      <c r="C1115" t="str">
        <f>[1]Result_notebook_retravaill!C1115</f>
        <v>Canada Net-zero</v>
      </c>
      <c r="D1115" t="str">
        <f>[1]Result_notebook_retravaill!D1115</f>
        <v>Production potential</v>
      </c>
      <c r="E1115" t="str">
        <f>[1]Result_notebook_retravaill!E1115</f>
        <v>Current shares</v>
      </c>
      <c r="F1115" t="str">
        <f>[1]Result_notebook_retravaill!F1115</f>
        <v>Expansion Extractive+Circularity</v>
      </c>
      <c r="G1115">
        <f>[1]Result_notebook_retravaill!G1115</f>
        <v>5975.1221443033437</v>
      </c>
      <c r="H1115" s="3">
        <f>IF([1]Result_notebook_retravaill!I1115&gt;[1]Result_notebook_retravaill!G1115,[1]Result_notebook_retravaill!I1115/[1]Result_notebook_retravaill!N1115,[1]Result_notebook_retravaill!H1115)</f>
        <v>157.05645137680381</v>
      </c>
      <c r="I1115" s="3">
        <f>[1]Result_notebook_retravaill!K1115</f>
        <v>9801.4804557954358</v>
      </c>
      <c r="J1115" s="3">
        <f>MIN(G1115,[1]Result_notebook_retravaill!I1115)</f>
        <v>94.005183124447228</v>
      </c>
      <c r="K1115" s="3">
        <f>IF([1]Result_notebook_retravaill!I1115&gt;[1]Result_notebook_retravaill!G1115,0,IF([1]Result_notebook_retravaill!I1115+[1]Result_notebook_retravaill!J1115&gt;[1]Result_notebook_retravaill!G1115,[1]Result_notebook_retravaill!G1115-[1]Result_notebook_retravaill!I1115,[1]Result_notebook_retravaill!J1115))</f>
        <v>63.051268252356579</v>
      </c>
      <c r="L1115" s="3">
        <f>IF([1]Result_notebook_retravaill!I1115&gt;[1]Result_notebook_retravaill!G1115,0,IF([1]Result_notebook_retravaill!I1115+[1]Result_notebook_retravaill!J1115&gt;[1]Result_notebook_retravaill!G1115,0,[1]Result_notebook_retravaill!M1115))</f>
        <v>5818.0656929265397</v>
      </c>
    </row>
    <row r="1116" spans="1:12">
      <c r="A1116">
        <f>[1]Result_notebook_retravaill!A1116</f>
        <v>2037</v>
      </c>
      <c r="B1116" t="str">
        <f>[1]Result_notebook_retravaill!B1116</f>
        <v>Neodymium</v>
      </c>
      <c r="C1116" t="str">
        <f>[1]Result_notebook_retravaill!C1116</f>
        <v>Canada Net-zero</v>
      </c>
      <c r="D1116" t="str">
        <f>[1]Result_notebook_retravaill!D1116</f>
        <v>Production potential</v>
      </c>
      <c r="E1116" t="str">
        <f>[1]Result_notebook_retravaill!E1116</f>
        <v>100% CAN</v>
      </c>
      <c r="F1116" t="str">
        <f>[1]Result_notebook_retravaill!F1116</f>
        <v>Integrated</v>
      </c>
      <c r="G1116">
        <f>[1]Result_notebook_retravaill!G1116</f>
        <v>5975.1221443033437</v>
      </c>
      <c r="H1116" s="3">
        <f>IF([1]Result_notebook_retravaill!I1116&gt;[1]Result_notebook_retravaill!G1116,[1]Result_notebook_retravaill!I1116/[1]Result_notebook_retravaill!N1116,[1]Result_notebook_retravaill!H1116)</f>
        <v>157.05645137680381</v>
      </c>
      <c r="I1116" s="3">
        <f>[1]Result_notebook_retravaill!K1116</f>
        <v>9801.4804557954358</v>
      </c>
      <c r="J1116" s="3">
        <f>MIN(G1116,[1]Result_notebook_retravaill!I1116)</f>
        <v>94.005183124447228</v>
      </c>
      <c r="K1116" s="3">
        <f>IF([1]Result_notebook_retravaill!I1116&gt;[1]Result_notebook_retravaill!G1116,0,IF([1]Result_notebook_retravaill!I1116+[1]Result_notebook_retravaill!J1116&gt;[1]Result_notebook_retravaill!G1116,[1]Result_notebook_retravaill!G1116-[1]Result_notebook_retravaill!I1116,[1]Result_notebook_retravaill!J1116))</f>
        <v>63.051268252356579</v>
      </c>
      <c r="L1116" s="3">
        <f>IF([1]Result_notebook_retravaill!I1116&gt;[1]Result_notebook_retravaill!G1116,0,IF([1]Result_notebook_retravaill!I1116+[1]Result_notebook_retravaill!J1116&gt;[1]Result_notebook_retravaill!G1116,0,[1]Result_notebook_retravaill!M1116))</f>
        <v>5818.0656929265397</v>
      </c>
    </row>
    <row r="1117" spans="1:12">
      <c r="A1117">
        <f>[1]Result_notebook_retravaill!A1117</f>
        <v>2037</v>
      </c>
      <c r="B1117" t="str">
        <f>[1]Result_notebook_retravaill!B1117</f>
        <v>Neodymium</v>
      </c>
      <c r="C1117" t="str">
        <f>[1]Result_notebook_retravaill!C1117</f>
        <v>Current Measures</v>
      </c>
      <c r="D1117" t="str">
        <f>[1]Result_notebook_retravaill!D1117</f>
        <v>Existing production</v>
      </c>
      <c r="E1117" t="str">
        <f>[1]Result_notebook_retravaill!E1117</f>
        <v>Current shares</v>
      </c>
      <c r="F1117" t="str">
        <f>[1]Result_notebook_retravaill!F1117</f>
        <v>NIMBY</v>
      </c>
      <c r="G1117">
        <f>[1]Result_notebook_retravaill!G1117</f>
        <v>1928.421284278415</v>
      </c>
      <c r="H1117" s="3">
        <f>IF([1]Result_notebook_retravaill!I1117&gt;[1]Result_notebook_retravaill!G1117,[1]Result_notebook_retravaill!I1117/[1]Result_notebook_retravaill!N1117,[1]Result_notebook_retravaill!H1117)</f>
        <v>0</v>
      </c>
      <c r="I1117" s="3">
        <f>[1]Result_notebook_retravaill!K1117</f>
        <v>3214.035473797358</v>
      </c>
      <c r="J1117" s="3">
        <f>MIN(G1117,[1]Result_notebook_retravaill!I1117)</f>
        <v>0</v>
      </c>
      <c r="K1117" s="3">
        <f>IF([1]Result_notebook_retravaill!I1117&gt;[1]Result_notebook_retravaill!G1117,0,IF([1]Result_notebook_retravaill!I1117+[1]Result_notebook_retravaill!J1117&gt;[1]Result_notebook_retravaill!G1117,[1]Result_notebook_retravaill!G1117-[1]Result_notebook_retravaill!I1117,[1]Result_notebook_retravaill!J1117))</f>
        <v>0</v>
      </c>
      <c r="L1117" s="3">
        <f>IF([1]Result_notebook_retravaill!I1117&gt;[1]Result_notebook_retravaill!G1117,0,IF([1]Result_notebook_retravaill!I1117+[1]Result_notebook_retravaill!J1117&gt;[1]Result_notebook_retravaill!G1117,0,[1]Result_notebook_retravaill!M1117))</f>
        <v>1928.421284278415</v>
      </c>
    </row>
    <row r="1118" spans="1:12">
      <c r="A1118">
        <f>[1]Result_notebook_retravaill!A1118</f>
        <v>2037</v>
      </c>
      <c r="B1118" t="str">
        <f>[1]Result_notebook_retravaill!B1118</f>
        <v>Neodymium</v>
      </c>
      <c r="C1118" t="str">
        <f>[1]Result_notebook_retravaill!C1118</f>
        <v>Current Measures</v>
      </c>
      <c r="D1118" t="str">
        <f>[1]Result_notebook_retravaill!D1118</f>
        <v>Existing production</v>
      </c>
      <c r="E1118" t="str">
        <f>[1]Result_notebook_retravaill!E1118</f>
        <v>Current shares</v>
      </c>
      <c r="F1118" t="str">
        <f>[1]Result_notebook_retravaill!F1118</f>
        <v>Status Quo</v>
      </c>
      <c r="G1118">
        <f>[1]Result_notebook_retravaill!G1118</f>
        <v>1928.421284278415</v>
      </c>
      <c r="H1118" s="3">
        <f>IF([1]Result_notebook_retravaill!I1118&gt;[1]Result_notebook_retravaill!G1118,[1]Result_notebook_retravaill!I1118/[1]Result_notebook_retravaill!N1118,[1]Result_notebook_retravaill!H1118)</f>
        <v>0</v>
      </c>
      <c r="I1118" s="3">
        <f>[1]Result_notebook_retravaill!K1118</f>
        <v>3214.035473797358</v>
      </c>
      <c r="J1118" s="3">
        <f>MIN(G1118,[1]Result_notebook_retravaill!I1118)</f>
        <v>0</v>
      </c>
      <c r="K1118" s="3">
        <f>IF([1]Result_notebook_retravaill!I1118&gt;[1]Result_notebook_retravaill!G1118,0,IF([1]Result_notebook_retravaill!I1118+[1]Result_notebook_retravaill!J1118&gt;[1]Result_notebook_retravaill!G1118,[1]Result_notebook_retravaill!G1118-[1]Result_notebook_retravaill!I1118,[1]Result_notebook_retravaill!J1118))</f>
        <v>0</v>
      </c>
      <c r="L1118" s="3">
        <f>IF([1]Result_notebook_retravaill!I1118&gt;[1]Result_notebook_retravaill!G1118,0,IF([1]Result_notebook_retravaill!I1118+[1]Result_notebook_retravaill!J1118&gt;[1]Result_notebook_retravaill!G1118,0,[1]Result_notebook_retravaill!M1118))</f>
        <v>1928.421284278415</v>
      </c>
    </row>
    <row r="1119" spans="1:12">
      <c r="A1119">
        <f>[1]Result_notebook_retravaill!A1119</f>
        <v>2037</v>
      </c>
      <c r="B1119" t="str">
        <f>[1]Result_notebook_retravaill!B1119</f>
        <v>Neodymium</v>
      </c>
      <c r="C1119" t="str">
        <f>[1]Result_notebook_retravaill!C1119</f>
        <v>Current Measures</v>
      </c>
      <c r="D1119" t="str">
        <f>[1]Result_notebook_retravaill!D1119</f>
        <v>Production potential</v>
      </c>
      <c r="E1119" t="str">
        <f>[1]Result_notebook_retravaill!E1119</f>
        <v>Current shares</v>
      </c>
      <c r="F1119" t="str">
        <f>[1]Result_notebook_retravaill!F1119</f>
        <v>Expansion Extractive</v>
      </c>
      <c r="G1119">
        <f>[1]Result_notebook_retravaill!G1119</f>
        <v>1928.421284278415</v>
      </c>
      <c r="H1119" s="3">
        <f>IF([1]Result_notebook_retravaill!I1119&gt;[1]Result_notebook_retravaill!G1119,[1]Result_notebook_retravaill!I1119/[1]Result_notebook_retravaill!N1119,[1]Result_notebook_retravaill!H1119)</f>
        <v>157.05645137680381</v>
      </c>
      <c r="I1119" s="3">
        <f>[1]Result_notebook_retravaill!K1119</f>
        <v>3056.979022420554</v>
      </c>
      <c r="J1119" s="3">
        <f>MIN(G1119,[1]Result_notebook_retravaill!I1119)</f>
        <v>94.005183124447228</v>
      </c>
      <c r="K1119" s="3">
        <f>IF([1]Result_notebook_retravaill!I1119&gt;[1]Result_notebook_retravaill!G1119,0,IF([1]Result_notebook_retravaill!I1119+[1]Result_notebook_retravaill!J1119&gt;[1]Result_notebook_retravaill!G1119,[1]Result_notebook_retravaill!G1119-[1]Result_notebook_retravaill!I1119,[1]Result_notebook_retravaill!J1119))</f>
        <v>63.051268252356579</v>
      </c>
      <c r="L1119" s="3">
        <f>IF([1]Result_notebook_retravaill!I1119&gt;[1]Result_notebook_retravaill!G1119,0,IF([1]Result_notebook_retravaill!I1119+[1]Result_notebook_retravaill!J1119&gt;[1]Result_notebook_retravaill!G1119,0,[1]Result_notebook_retravaill!M1119))</f>
        <v>1771.3648329016114</v>
      </c>
    </row>
    <row r="1120" spans="1:12">
      <c r="A1120">
        <f>[1]Result_notebook_retravaill!A1120</f>
        <v>2037</v>
      </c>
      <c r="B1120" t="str">
        <f>[1]Result_notebook_retravaill!B1120</f>
        <v>Neodymium</v>
      </c>
      <c r="C1120" t="str">
        <f>[1]Result_notebook_retravaill!C1120</f>
        <v>Current Measures</v>
      </c>
      <c r="D1120" t="str">
        <f>[1]Result_notebook_retravaill!D1120</f>
        <v>Production potential</v>
      </c>
      <c r="E1120" t="str">
        <f>[1]Result_notebook_retravaill!E1120</f>
        <v>Current shares</v>
      </c>
      <c r="F1120" t="str">
        <f>[1]Result_notebook_retravaill!F1120</f>
        <v>Expansion Extractive+Circularity</v>
      </c>
      <c r="G1120">
        <f>[1]Result_notebook_retravaill!G1120</f>
        <v>1928.421284278415</v>
      </c>
      <c r="H1120" s="3">
        <f>IF([1]Result_notebook_retravaill!I1120&gt;[1]Result_notebook_retravaill!G1120,[1]Result_notebook_retravaill!I1120/[1]Result_notebook_retravaill!N1120,[1]Result_notebook_retravaill!H1120)</f>
        <v>157.05645137680381</v>
      </c>
      <c r="I1120" s="3">
        <f>[1]Result_notebook_retravaill!K1120</f>
        <v>3056.979022420554</v>
      </c>
      <c r="J1120" s="3">
        <f>MIN(G1120,[1]Result_notebook_retravaill!I1120)</f>
        <v>94.005183124447228</v>
      </c>
      <c r="K1120" s="3">
        <f>IF([1]Result_notebook_retravaill!I1120&gt;[1]Result_notebook_retravaill!G1120,0,IF([1]Result_notebook_retravaill!I1120+[1]Result_notebook_retravaill!J1120&gt;[1]Result_notebook_retravaill!G1120,[1]Result_notebook_retravaill!G1120-[1]Result_notebook_retravaill!I1120,[1]Result_notebook_retravaill!J1120))</f>
        <v>63.051268252356579</v>
      </c>
      <c r="L1120" s="3">
        <f>IF([1]Result_notebook_retravaill!I1120&gt;[1]Result_notebook_retravaill!G1120,0,IF([1]Result_notebook_retravaill!I1120+[1]Result_notebook_retravaill!J1120&gt;[1]Result_notebook_retravaill!G1120,0,[1]Result_notebook_retravaill!M1120))</f>
        <v>1771.3648329016114</v>
      </c>
    </row>
    <row r="1121" spans="1:12">
      <c r="A1121">
        <f>[1]Result_notebook_retravaill!A1121</f>
        <v>2037</v>
      </c>
      <c r="B1121" t="str">
        <f>[1]Result_notebook_retravaill!B1121</f>
        <v>Neodymium</v>
      </c>
      <c r="C1121" t="str">
        <f>[1]Result_notebook_retravaill!C1121</f>
        <v>Current Measures</v>
      </c>
      <c r="D1121" t="str">
        <f>[1]Result_notebook_retravaill!D1121</f>
        <v>Production potential</v>
      </c>
      <c r="E1121" t="str">
        <f>[1]Result_notebook_retravaill!E1121</f>
        <v>100% CAN</v>
      </c>
      <c r="F1121" t="str">
        <f>[1]Result_notebook_retravaill!F1121</f>
        <v>Integrated</v>
      </c>
      <c r="G1121">
        <f>[1]Result_notebook_retravaill!G1121</f>
        <v>1928.421284278415</v>
      </c>
      <c r="H1121" s="3">
        <f>IF([1]Result_notebook_retravaill!I1121&gt;[1]Result_notebook_retravaill!G1121,[1]Result_notebook_retravaill!I1121/[1]Result_notebook_retravaill!N1121,[1]Result_notebook_retravaill!H1121)</f>
        <v>157.05645137680381</v>
      </c>
      <c r="I1121" s="3">
        <f>[1]Result_notebook_retravaill!K1121</f>
        <v>3056.979022420554</v>
      </c>
      <c r="J1121" s="3">
        <f>MIN(G1121,[1]Result_notebook_retravaill!I1121)</f>
        <v>94.005183124447228</v>
      </c>
      <c r="K1121" s="3">
        <f>IF([1]Result_notebook_retravaill!I1121&gt;[1]Result_notebook_retravaill!G1121,0,IF([1]Result_notebook_retravaill!I1121+[1]Result_notebook_retravaill!J1121&gt;[1]Result_notebook_retravaill!G1121,[1]Result_notebook_retravaill!G1121-[1]Result_notebook_retravaill!I1121,[1]Result_notebook_retravaill!J1121))</f>
        <v>63.051268252356579</v>
      </c>
      <c r="L1121" s="3">
        <f>IF([1]Result_notebook_retravaill!I1121&gt;[1]Result_notebook_retravaill!G1121,0,IF([1]Result_notebook_retravaill!I1121+[1]Result_notebook_retravaill!J1121&gt;[1]Result_notebook_retravaill!G1121,0,[1]Result_notebook_retravaill!M1121))</f>
        <v>1771.3648329016114</v>
      </c>
    </row>
    <row r="1122" spans="1:12">
      <c r="A1122">
        <f>[1]Result_notebook_retravaill!A1122</f>
        <v>2037</v>
      </c>
      <c r="B1122" t="str">
        <f>[1]Result_notebook_retravaill!B1122</f>
        <v>Neodymium</v>
      </c>
      <c r="C1122" t="str">
        <f>[1]Result_notebook_retravaill!C1122</f>
        <v>Global Net-zero</v>
      </c>
      <c r="D1122" t="str">
        <f>[1]Result_notebook_retravaill!D1122</f>
        <v>Existing production</v>
      </c>
      <c r="E1122" t="str">
        <f>[1]Result_notebook_retravaill!E1122</f>
        <v>Current shares</v>
      </c>
      <c r="F1122" t="str">
        <f>[1]Result_notebook_retravaill!F1122</f>
        <v>NIMBY</v>
      </c>
      <c r="G1122">
        <f>[1]Result_notebook_retravaill!G1122</f>
        <v>5732.0456775822131</v>
      </c>
      <c r="H1122" s="3">
        <f>IF([1]Result_notebook_retravaill!I1122&gt;[1]Result_notebook_retravaill!G1122,[1]Result_notebook_retravaill!I1122/[1]Result_notebook_retravaill!N1122,[1]Result_notebook_retravaill!H1122)</f>
        <v>0</v>
      </c>
      <c r="I1122" s="3">
        <f>[1]Result_notebook_retravaill!K1122</f>
        <v>9553.4094626370224</v>
      </c>
      <c r="J1122" s="3">
        <f>MIN(G1122,[1]Result_notebook_retravaill!I1122)</f>
        <v>0</v>
      </c>
      <c r="K1122" s="3">
        <f>IF([1]Result_notebook_retravaill!I1122&gt;[1]Result_notebook_retravaill!G1122,0,IF([1]Result_notebook_retravaill!I1122+[1]Result_notebook_retravaill!J1122&gt;[1]Result_notebook_retravaill!G1122,[1]Result_notebook_retravaill!G1122-[1]Result_notebook_retravaill!I1122,[1]Result_notebook_retravaill!J1122))</f>
        <v>0</v>
      </c>
      <c r="L1122" s="3">
        <f>IF([1]Result_notebook_retravaill!I1122&gt;[1]Result_notebook_retravaill!G1122,0,IF([1]Result_notebook_retravaill!I1122+[1]Result_notebook_retravaill!J1122&gt;[1]Result_notebook_retravaill!G1122,0,[1]Result_notebook_retravaill!M1122))</f>
        <v>5732.0456775822131</v>
      </c>
    </row>
    <row r="1123" spans="1:12">
      <c r="A1123">
        <f>[1]Result_notebook_retravaill!A1123</f>
        <v>2037</v>
      </c>
      <c r="B1123" t="str">
        <f>[1]Result_notebook_retravaill!B1123</f>
        <v>Neodymium</v>
      </c>
      <c r="C1123" t="str">
        <f>[1]Result_notebook_retravaill!C1123</f>
        <v>Global Net-zero</v>
      </c>
      <c r="D1123" t="str">
        <f>[1]Result_notebook_retravaill!D1123</f>
        <v>Existing production</v>
      </c>
      <c r="E1123" t="str">
        <f>[1]Result_notebook_retravaill!E1123</f>
        <v>Current shares</v>
      </c>
      <c r="F1123" t="str">
        <f>[1]Result_notebook_retravaill!F1123</f>
        <v>Status Quo</v>
      </c>
      <c r="G1123">
        <f>[1]Result_notebook_retravaill!G1123</f>
        <v>5732.0456775822131</v>
      </c>
      <c r="H1123" s="3">
        <f>IF([1]Result_notebook_retravaill!I1123&gt;[1]Result_notebook_retravaill!G1123,[1]Result_notebook_retravaill!I1123/[1]Result_notebook_retravaill!N1123,[1]Result_notebook_retravaill!H1123)</f>
        <v>0</v>
      </c>
      <c r="I1123" s="3">
        <f>[1]Result_notebook_retravaill!K1123</f>
        <v>9553.4094626370224</v>
      </c>
      <c r="J1123" s="3">
        <f>MIN(G1123,[1]Result_notebook_retravaill!I1123)</f>
        <v>0</v>
      </c>
      <c r="K1123" s="3">
        <f>IF([1]Result_notebook_retravaill!I1123&gt;[1]Result_notebook_retravaill!G1123,0,IF([1]Result_notebook_retravaill!I1123+[1]Result_notebook_retravaill!J1123&gt;[1]Result_notebook_retravaill!G1123,[1]Result_notebook_retravaill!G1123-[1]Result_notebook_retravaill!I1123,[1]Result_notebook_retravaill!J1123))</f>
        <v>0</v>
      </c>
      <c r="L1123" s="3">
        <f>IF([1]Result_notebook_retravaill!I1123&gt;[1]Result_notebook_retravaill!G1123,0,IF([1]Result_notebook_retravaill!I1123+[1]Result_notebook_retravaill!J1123&gt;[1]Result_notebook_retravaill!G1123,0,[1]Result_notebook_retravaill!M1123))</f>
        <v>5732.0456775822131</v>
      </c>
    </row>
    <row r="1124" spans="1:12">
      <c r="A1124">
        <f>[1]Result_notebook_retravaill!A1124</f>
        <v>2037</v>
      </c>
      <c r="B1124" t="str">
        <f>[1]Result_notebook_retravaill!B1124</f>
        <v>Neodymium</v>
      </c>
      <c r="C1124" t="str">
        <f>[1]Result_notebook_retravaill!C1124</f>
        <v>Global Net-zero</v>
      </c>
      <c r="D1124" t="str">
        <f>[1]Result_notebook_retravaill!D1124</f>
        <v>Production potential</v>
      </c>
      <c r="E1124" t="str">
        <f>[1]Result_notebook_retravaill!E1124</f>
        <v>Current shares</v>
      </c>
      <c r="F1124" t="str">
        <f>[1]Result_notebook_retravaill!F1124</f>
        <v>Expansion Extractive</v>
      </c>
      <c r="G1124">
        <f>[1]Result_notebook_retravaill!G1124</f>
        <v>5732.0456775822131</v>
      </c>
      <c r="H1124" s="3">
        <f>IF([1]Result_notebook_retravaill!I1124&gt;[1]Result_notebook_retravaill!G1124,[1]Result_notebook_retravaill!I1124/[1]Result_notebook_retravaill!N1124,[1]Result_notebook_retravaill!H1124)</f>
        <v>157.05645137680381</v>
      </c>
      <c r="I1124" s="3">
        <f>[1]Result_notebook_retravaill!K1124</f>
        <v>9396.3530112602184</v>
      </c>
      <c r="J1124" s="3">
        <f>MIN(G1124,[1]Result_notebook_retravaill!I1124)</f>
        <v>94.005183124447228</v>
      </c>
      <c r="K1124" s="3">
        <f>IF([1]Result_notebook_retravaill!I1124&gt;[1]Result_notebook_retravaill!G1124,0,IF([1]Result_notebook_retravaill!I1124+[1]Result_notebook_retravaill!J1124&gt;[1]Result_notebook_retravaill!G1124,[1]Result_notebook_retravaill!G1124-[1]Result_notebook_retravaill!I1124,[1]Result_notebook_retravaill!J1124))</f>
        <v>63.051268252356579</v>
      </c>
      <c r="L1124" s="3">
        <f>IF([1]Result_notebook_retravaill!I1124&gt;[1]Result_notebook_retravaill!G1124,0,IF([1]Result_notebook_retravaill!I1124+[1]Result_notebook_retravaill!J1124&gt;[1]Result_notebook_retravaill!G1124,0,[1]Result_notebook_retravaill!M1124))</f>
        <v>5574.9892262054091</v>
      </c>
    </row>
    <row r="1125" spans="1:12">
      <c r="A1125">
        <f>[1]Result_notebook_retravaill!A1125</f>
        <v>2037</v>
      </c>
      <c r="B1125" t="str">
        <f>[1]Result_notebook_retravaill!B1125</f>
        <v>Neodymium</v>
      </c>
      <c r="C1125" t="str">
        <f>[1]Result_notebook_retravaill!C1125</f>
        <v>Global Net-zero</v>
      </c>
      <c r="D1125" t="str">
        <f>[1]Result_notebook_retravaill!D1125</f>
        <v>Production potential</v>
      </c>
      <c r="E1125" t="str">
        <f>[1]Result_notebook_retravaill!E1125</f>
        <v>Current shares</v>
      </c>
      <c r="F1125" t="str">
        <f>[1]Result_notebook_retravaill!F1125</f>
        <v>Expansion Extractive+Circularity</v>
      </c>
      <c r="G1125">
        <f>[1]Result_notebook_retravaill!G1125</f>
        <v>5732.0456775822131</v>
      </c>
      <c r="H1125" s="3">
        <f>IF([1]Result_notebook_retravaill!I1125&gt;[1]Result_notebook_retravaill!G1125,[1]Result_notebook_retravaill!I1125/[1]Result_notebook_retravaill!N1125,[1]Result_notebook_retravaill!H1125)</f>
        <v>157.05645137680381</v>
      </c>
      <c r="I1125" s="3">
        <f>[1]Result_notebook_retravaill!K1125</f>
        <v>9396.3530112602184</v>
      </c>
      <c r="J1125" s="3">
        <f>MIN(G1125,[1]Result_notebook_retravaill!I1125)</f>
        <v>94.005183124447228</v>
      </c>
      <c r="K1125" s="3">
        <f>IF([1]Result_notebook_retravaill!I1125&gt;[1]Result_notebook_retravaill!G1125,0,IF([1]Result_notebook_retravaill!I1125+[1]Result_notebook_retravaill!J1125&gt;[1]Result_notebook_retravaill!G1125,[1]Result_notebook_retravaill!G1125-[1]Result_notebook_retravaill!I1125,[1]Result_notebook_retravaill!J1125))</f>
        <v>63.051268252356579</v>
      </c>
      <c r="L1125" s="3">
        <f>IF([1]Result_notebook_retravaill!I1125&gt;[1]Result_notebook_retravaill!G1125,0,IF([1]Result_notebook_retravaill!I1125+[1]Result_notebook_retravaill!J1125&gt;[1]Result_notebook_retravaill!G1125,0,[1]Result_notebook_retravaill!M1125))</f>
        <v>5574.9892262054091</v>
      </c>
    </row>
    <row r="1126" spans="1:12">
      <c r="A1126">
        <f>[1]Result_notebook_retravaill!A1126</f>
        <v>2037</v>
      </c>
      <c r="B1126" t="str">
        <f>[1]Result_notebook_retravaill!B1126</f>
        <v>Neodymium</v>
      </c>
      <c r="C1126" t="str">
        <f>[1]Result_notebook_retravaill!C1126</f>
        <v>Global Net-zero</v>
      </c>
      <c r="D1126" t="str">
        <f>[1]Result_notebook_retravaill!D1126</f>
        <v>Production potential</v>
      </c>
      <c r="E1126" t="str">
        <f>[1]Result_notebook_retravaill!E1126</f>
        <v>100% CAN</v>
      </c>
      <c r="F1126" t="str">
        <f>[1]Result_notebook_retravaill!F1126</f>
        <v>Integrated</v>
      </c>
      <c r="G1126">
        <f>[1]Result_notebook_retravaill!G1126</f>
        <v>5732.0456775822131</v>
      </c>
      <c r="H1126" s="3">
        <f>IF([1]Result_notebook_retravaill!I1126&gt;[1]Result_notebook_retravaill!G1126,[1]Result_notebook_retravaill!I1126/[1]Result_notebook_retravaill!N1126,[1]Result_notebook_retravaill!H1126)</f>
        <v>157.05645137680381</v>
      </c>
      <c r="I1126" s="3">
        <f>[1]Result_notebook_retravaill!K1126</f>
        <v>9396.3530112602184</v>
      </c>
      <c r="J1126" s="3">
        <f>MIN(G1126,[1]Result_notebook_retravaill!I1126)</f>
        <v>94.005183124447228</v>
      </c>
      <c r="K1126" s="3">
        <f>IF([1]Result_notebook_retravaill!I1126&gt;[1]Result_notebook_retravaill!G1126,0,IF([1]Result_notebook_retravaill!I1126+[1]Result_notebook_retravaill!J1126&gt;[1]Result_notebook_retravaill!G1126,[1]Result_notebook_retravaill!G1126-[1]Result_notebook_retravaill!I1126,[1]Result_notebook_retravaill!J1126))</f>
        <v>63.051268252356579</v>
      </c>
      <c r="L1126" s="3">
        <f>IF([1]Result_notebook_retravaill!I1126&gt;[1]Result_notebook_retravaill!G1126,0,IF([1]Result_notebook_retravaill!I1126+[1]Result_notebook_retravaill!J1126&gt;[1]Result_notebook_retravaill!G1126,0,[1]Result_notebook_retravaill!M1126))</f>
        <v>5574.9892262054091</v>
      </c>
    </row>
    <row r="1127" spans="1:12">
      <c r="A1127">
        <f>[1]Result_notebook_retravaill!A1127</f>
        <v>2037</v>
      </c>
      <c r="B1127" t="str">
        <f>[1]Result_notebook_retravaill!B1127</f>
        <v>Nickel</v>
      </c>
      <c r="C1127" t="str">
        <f>[1]Result_notebook_retravaill!C1127</f>
        <v>Canada Net-zero</v>
      </c>
      <c r="D1127" t="str">
        <f>[1]Result_notebook_retravaill!D1127</f>
        <v>Existing production</v>
      </c>
      <c r="E1127" t="str">
        <f>[1]Result_notebook_retravaill!E1127</f>
        <v>Current shares</v>
      </c>
      <c r="F1127" t="str">
        <f>[1]Result_notebook_retravaill!F1127</f>
        <v>NIMBY</v>
      </c>
      <c r="G1127">
        <f>[1]Result_notebook_retravaill!G1127</f>
        <v>177436.22424093171</v>
      </c>
      <c r="H1127" s="3">
        <f>IF([1]Result_notebook_retravaill!I1127&gt;[1]Result_notebook_retravaill!G1127,[1]Result_notebook_retravaill!I1127/[1]Result_notebook_retravaill!N1127,[1]Result_notebook_retravaill!H1127)</f>
        <v>0</v>
      </c>
      <c r="I1127" s="3">
        <f>[1]Result_notebook_retravaill!K1127</f>
        <v>224602.81549485019</v>
      </c>
      <c r="J1127" s="3">
        <f>MIN(G1127,[1]Result_notebook_retravaill!I1127)</f>
        <v>0</v>
      </c>
      <c r="K1127" s="3">
        <f>IF([1]Result_notebook_retravaill!I1127&gt;[1]Result_notebook_retravaill!G1127,0,IF([1]Result_notebook_retravaill!I1127+[1]Result_notebook_retravaill!J1127&gt;[1]Result_notebook_retravaill!G1127,[1]Result_notebook_retravaill!G1127-[1]Result_notebook_retravaill!I1127,[1]Result_notebook_retravaill!J1127))</f>
        <v>0</v>
      </c>
      <c r="L1127" s="3">
        <f>IF([1]Result_notebook_retravaill!I1127&gt;[1]Result_notebook_retravaill!G1127,0,IF([1]Result_notebook_retravaill!I1127+[1]Result_notebook_retravaill!J1127&gt;[1]Result_notebook_retravaill!G1127,0,[1]Result_notebook_retravaill!M1127))</f>
        <v>177436.22424093171</v>
      </c>
    </row>
    <row r="1128" spans="1:12">
      <c r="A1128">
        <f>[1]Result_notebook_retravaill!A1128</f>
        <v>2037</v>
      </c>
      <c r="B1128" t="str">
        <f>[1]Result_notebook_retravaill!B1128</f>
        <v>Nickel</v>
      </c>
      <c r="C1128" t="str">
        <f>[1]Result_notebook_retravaill!C1128</f>
        <v>Canada Net-zero</v>
      </c>
      <c r="D1128" t="str">
        <f>[1]Result_notebook_retravaill!D1128</f>
        <v>Existing production</v>
      </c>
      <c r="E1128" t="str">
        <f>[1]Result_notebook_retravaill!E1128</f>
        <v>Current shares</v>
      </c>
      <c r="F1128" t="str">
        <f>[1]Result_notebook_retravaill!F1128</f>
        <v>Status Quo</v>
      </c>
      <c r="G1128">
        <f>[1]Result_notebook_retravaill!G1128</f>
        <v>177436.22424093171</v>
      </c>
      <c r="H1128" s="3">
        <f>IF([1]Result_notebook_retravaill!I1128&gt;[1]Result_notebook_retravaill!G1128,[1]Result_notebook_retravaill!I1128/[1]Result_notebook_retravaill!N1128,[1]Result_notebook_retravaill!H1128)</f>
        <v>82660</v>
      </c>
      <c r="I1128" s="3">
        <f>[1]Result_notebook_retravaill!K1128</f>
        <v>141942.81549485019</v>
      </c>
      <c r="J1128" s="3">
        <f>MIN(G1128,[1]Result_notebook_retravaill!I1128)</f>
        <v>46362.344345082623</v>
      </c>
      <c r="K1128" s="3">
        <f>IF([1]Result_notebook_retravaill!I1128&gt;[1]Result_notebook_retravaill!G1128,0,IF([1]Result_notebook_retravaill!I1128+[1]Result_notebook_retravaill!J1128&gt;[1]Result_notebook_retravaill!G1128,[1]Result_notebook_retravaill!G1128-[1]Result_notebook_retravaill!I1128,[1]Result_notebook_retravaill!J1128))</f>
        <v>11431.086780795828</v>
      </c>
      <c r="L1128" s="3">
        <f>IF([1]Result_notebook_retravaill!I1128&gt;[1]Result_notebook_retravaill!G1128,0,IF([1]Result_notebook_retravaill!I1128+[1]Result_notebook_retravaill!J1128&gt;[1]Result_notebook_retravaill!G1128,0,[1]Result_notebook_retravaill!M1128))</f>
        <v>119642.79311505327</v>
      </c>
    </row>
    <row r="1129" spans="1:12">
      <c r="A1129">
        <f>[1]Result_notebook_retravaill!A1129</f>
        <v>2037</v>
      </c>
      <c r="B1129" t="str">
        <f>[1]Result_notebook_retravaill!B1129</f>
        <v>Nickel</v>
      </c>
      <c r="C1129" t="str">
        <f>[1]Result_notebook_retravaill!C1129</f>
        <v>Canada Net-zero</v>
      </c>
      <c r="D1129" t="str">
        <f>[1]Result_notebook_retravaill!D1129</f>
        <v>Production potential</v>
      </c>
      <c r="E1129" t="str">
        <f>[1]Result_notebook_retravaill!E1129</f>
        <v>Current shares</v>
      </c>
      <c r="F1129" t="str">
        <f>[1]Result_notebook_retravaill!F1129</f>
        <v>Expansion Extractive</v>
      </c>
      <c r="G1129">
        <f>[1]Result_notebook_retravaill!G1129</f>
        <v>177436.22424093171</v>
      </c>
      <c r="H1129" s="3">
        <f>IF([1]Result_notebook_retravaill!I1129&gt;[1]Result_notebook_retravaill!G1129,[1]Result_notebook_retravaill!I1129/[1]Result_notebook_retravaill!N1129,[1]Result_notebook_retravaill!H1129)</f>
        <v>246851.46808035299</v>
      </c>
      <c r="I1129" s="3">
        <f>[1]Result_notebook_retravaill!K1129</f>
        <v>0</v>
      </c>
      <c r="J1129" s="3">
        <f>MIN(G1129,[1]Result_notebook_retravaill!I1129)</f>
        <v>138454.06200375629</v>
      </c>
      <c r="K1129" s="3">
        <f>IF([1]Result_notebook_retravaill!I1129&gt;[1]Result_notebook_retravaill!G1129,0,IF([1]Result_notebook_retravaill!I1129+[1]Result_notebook_retravaill!J1129&gt;[1]Result_notebook_retravaill!G1129,[1]Result_notebook_retravaill!G1129-[1]Result_notebook_retravaill!I1129,[1]Result_notebook_retravaill!J1129))</f>
        <v>34137.195180176233</v>
      </c>
      <c r="L1129" s="3">
        <f>IF([1]Result_notebook_retravaill!I1129&gt;[1]Result_notebook_retravaill!G1129,0,IF([1]Result_notebook_retravaill!I1129+[1]Result_notebook_retravaill!J1129&gt;[1]Result_notebook_retravaill!G1129,0,[1]Result_notebook_retravaill!M1129))</f>
        <v>4844.9670569991576</v>
      </c>
    </row>
    <row r="1130" spans="1:12">
      <c r="A1130">
        <f>[1]Result_notebook_retravaill!A1130</f>
        <v>2037</v>
      </c>
      <c r="B1130" t="str">
        <f>[1]Result_notebook_retravaill!B1130</f>
        <v>Nickel</v>
      </c>
      <c r="C1130" t="str">
        <f>[1]Result_notebook_retravaill!C1130</f>
        <v>Canada Net-zero</v>
      </c>
      <c r="D1130" t="str">
        <f>[1]Result_notebook_retravaill!D1130</f>
        <v>Production potential</v>
      </c>
      <c r="E1130" t="str">
        <f>[1]Result_notebook_retravaill!E1130</f>
        <v>Current shares</v>
      </c>
      <c r="F1130" t="str">
        <f>[1]Result_notebook_retravaill!F1130</f>
        <v>Expansion Extractive+Circularity</v>
      </c>
      <c r="G1130">
        <f>[1]Result_notebook_retravaill!G1130</f>
        <v>177436.22424093171</v>
      </c>
      <c r="H1130" s="3">
        <f>IF([1]Result_notebook_retravaill!I1130&gt;[1]Result_notebook_retravaill!G1130,[1]Result_notebook_retravaill!I1130/[1]Result_notebook_retravaill!N1130,[1]Result_notebook_retravaill!H1130)</f>
        <v>246851.46808035299</v>
      </c>
      <c r="I1130" s="3">
        <f>[1]Result_notebook_retravaill!K1130</f>
        <v>0</v>
      </c>
      <c r="J1130" s="3">
        <f>MIN(G1130,[1]Result_notebook_retravaill!I1130)</f>
        <v>138454.06200375629</v>
      </c>
      <c r="K1130" s="3">
        <f>IF([1]Result_notebook_retravaill!I1130&gt;[1]Result_notebook_retravaill!G1130,0,IF([1]Result_notebook_retravaill!I1130+[1]Result_notebook_retravaill!J1130&gt;[1]Result_notebook_retravaill!G1130,[1]Result_notebook_retravaill!G1130-[1]Result_notebook_retravaill!I1130,[1]Result_notebook_retravaill!J1130))</f>
        <v>34137.195180176233</v>
      </c>
      <c r="L1130" s="3">
        <f>IF([1]Result_notebook_retravaill!I1130&gt;[1]Result_notebook_retravaill!G1130,0,IF([1]Result_notebook_retravaill!I1130+[1]Result_notebook_retravaill!J1130&gt;[1]Result_notebook_retravaill!G1130,0,[1]Result_notebook_retravaill!M1130))</f>
        <v>4844.9670569991576</v>
      </c>
    </row>
    <row r="1131" spans="1:12">
      <c r="A1131">
        <f>[1]Result_notebook_retravaill!A1131</f>
        <v>2037</v>
      </c>
      <c r="B1131" t="str">
        <f>[1]Result_notebook_retravaill!B1131</f>
        <v>Nickel</v>
      </c>
      <c r="C1131" t="str">
        <f>[1]Result_notebook_retravaill!C1131</f>
        <v>Canada Net-zero</v>
      </c>
      <c r="D1131" t="str">
        <f>[1]Result_notebook_retravaill!D1131</f>
        <v>Production potential</v>
      </c>
      <c r="E1131" t="str">
        <f>[1]Result_notebook_retravaill!E1131</f>
        <v>100% CAN</v>
      </c>
      <c r="F1131" t="str">
        <f>[1]Result_notebook_retravaill!F1131</f>
        <v>Integrated</v>
      </c>
      <c r="G1131">
        <f>[1]Result_notebook_retravaill!G1131</f>
        <v>177436.22424093171</v>
      </c>
      <c r="H1131" s="3">
        <f>IF([1]Result_notebook_retravaill!I1131&gt;[1]Result_notebook_retravaill!G1131,[1]Result_notebook_retravaill!I1131/[1]Result_notebook_retravaill!N1131,[1]Result_notebook_retravaill!H1131)</f>
        <v>278056.80482139922</v>
      </c>
      <c r="I1131" s="3">
        <f>[1]Result_notebook_retravaill!K1131</f>
        <v>0</v>
      </c>
      <c r="J1131" s="3">
        <f>MIN(G1131,[1]Result_notebook_retravaill!I1131)</f>
        <v>177436.22424093171</v>
      </c>
      <c r="K1131" s="3">
        <f>IF([1]Result_notebook_retravaill!I1131&gt;[1]Result_notebook_retravaill!G1131,0,IF([1]Result_notebook_retravaill!I1131+[1]Result_notebook_retravaill!J1131&gt;[1]Result_notebook_retravaill!G1131,[1]Result_notebook_retravaill!G1131-[1]Result_notebook_retravaill!I1131,[1]Result_notebook_retravaill!J1131))</f>
        <v>0</v>
      </c>
      <c r="L1131" s="3">
        <f>IF([1]Result_notebook_retravaill!I1131&gt;[1]Result_notebook_retravaill!G1131,0,IF([1]Result_notebook_retravaill!I1131+[1]Result_notebook_retravaill!J1131&gt;[1]Result_notebook_retravaill!G1131,0,[1]Result_notebook_retravaill!M1131))</f>
        <v>0</v>
      </c>
    </row>
    <row r="1132" spans="1:12">
      <c r="A1132">
        <f>[1]Result_notebook_retravaill!A1132</f>
        <v>2037</v>
      </c>
      <c r="B1132" t="str">
        <f>[1]Result_notebook_retravaill!B1132</f>
        <v>Nickel</v>
      </c>
      <c r="C1132" t="str">
        <f>[1]Result_notebook_retravaill!C1132</f>
        <v>Current Measures</v>
      </c>
      <c r="D1132" t="str">
        <f>[1]Result_notebook_retravaill!D1132</f>
        <v>Existing production</v>
      </c>
      <c r="E1132" t="str">
        <f>[1]Result_notebook_retravaill!E1132</f>
        <v>Current shares</v>
      </c>
      <c r="F1132" t="str">
        <f>[1]Result_notebook_retravaill!F1132</f>
        <v>NIMBY</v>
      </c>
      <c r="G1132">
        <f>[1]Result_notebook_retravaill!G1132</f>
        <v>69481.842507553956</v>
      </c>
      <c r="H1132" s="3">
        <f>IF([1]Result_notebook_retravaill!I1132&gt;[1]Result_notebook_retravaill!G1132,[1]Result_notebook_retravaill!I1132/[1]Result_notebook_retravaill!N1132,[1]Result_notebook_retravaill!H1132)</f>
        <v>0</v>
      </c>
      <c r="I1132" s="3">
        <f>[1]Result_notebook_retravaill!K1132</f>
        <v>87951.699376650577</v>
      </c>
      <c r="J1132" s="3">
        <f>MIN(G1132,[1]Result_notebook_retravaill!I1132)</f>
        <v>0</v>
      </c>
      <c r="K1132" s="3">
        <f>IF([1]Result_notebook_retravaill!I1132&gt;[1]Result_notebook_retravaill!G1132,0,IF([1]Result_notebook_retravaill!I1132+[1]Result_notebook_retravaill!J1132&gt;[1]Result_notebook_retravaill!G1132,[1]Result_notebook_retravaill!G1132-[1]Result_notebook_retravaill!I1132,[1]Result_notebook_retravaill!J1132))</f>
        <v>0</v>
      </c>
      <c r="L1132" s="3">
        <f>IF([1]Result_notebook_retravaill!I1132&gt;[1]Result_notebook_retravaill!G1132,0,IF([1]Result_notebook_retravaill!I1132+[1]Result_notebook_retravaill!J1132&gt;[1]Result_notebook_retravaill!G1132,0,[1]Result_notebook_retravaill!M1132))</f>
        <v>69481.842507553956</v>
      </c>
    </row>
    <row r="1133" spans="1:12">
      <c r="A1133">
        <f>[1]Result_notebook_retravaill!A1133</f>
        <v>2037</v>
      </c>
      <c r="B1133" t="str">
        <f>[1]Result_notebook_retravaill!B1133</f>
        <v>Nickel</v>
      </c>
      <c r="C1133" t="str">
        <f>[1]Result_notebook_retravaill!C1133</f>
        <v>Current Measures</v>
      </c>
      <c r="D1133" t="str">
        <f>[1]Result_notebook_retravaill!D1133</f>
        <v>Existing production</v>
      </c>
      <c r="E1133" t="str">
        <f>[1]Result_notebook_retravaill!E1133</f>
        <v>Current shares</v>
      </c>
      <c r="F1133" t="str">
        <f>[1]Result_notebook_retravaill!F1133</f>
        <v>Status Quo</v>
      </c>
      <c r="G1133">
        <f>[1]Result_notebook_retravaill!G1133</f>
        <v>69481.842507553956</v>
      </c>
      <c r="H1133" s="3">
        <f>IF([1]Result_notebook_retravaill!I1133&gt;[1]Result_notebook_retravaill!G1133,[1]Result_notebook_retravaill!I1133/[1]Result_notebook_retravaill!N1133,[1]Result_notebook_retravaill!H1133)</f>
        <v>82660</v>
      </c>
      <c r="I1133" s="3">
        <f>[1]Result_notebook_retravaill!K1133</f>
        <v>5291.6993766505766</v>
      </c>
      <c r="J1133" s="3">
        <f>MIN(G1133,[1]Result_notebook_retravaill!I1133)</f>
        <v>46362.344345082623</v>
      </c>
      <c r="K1133" s="3">
        <f>IF([1]Result_notebook_retravaill!I1133&gt;[1]Result_notebook_retravaill!G1133,0,IF([1]Result_notebook_retravaill!I1133+[1]Result_notebook_retravaill!J1133&gt;[1]Result_notebook_retravaill!G1133,[1]Result_notebook_retravaill!G1133-[1]Result_notebook_retravaill!I1133,[1]Result_notebook_retravaill!J1133))</f>
        <v>11431.086780795828</v>
      </c>
      <c r="L1133" s="3">
        <f>IF([1]Result_notebook_retravaill!I1133&gt;[1]Result_notebook_retravaill!G1133,0,IF([1]Result_notebook_retravaill!I1133+[1]Result_notebook_retravaill!J1133&gt;[1]Result_notebook_retravaill!G1133,0,[1]Result_notebook_retravaill!M1133))</f>
        <v>11688.411381675502</v>
      </c>
    </row>
    <row r="1134" spans="1:12">
      <c r="A1134">
        <f>[1]Result_notebook_retravaill!A1134</f>
        <v>2037</v>
      </c>
      <c r="B1134" t="str">
        <f>[1]Result_notebook_retravaill!B1134</f>
        <v>Nickel</v>
      </c>
      <c r="C1134" t="str">
        <f>[1]Result_notebook_retravaill!C1134</f>
        <v>Current Measures</v>
      </c>
      <c r="D1134" t="str">
        <f>[1]Result_notebook_retravaill!D1134</f>
        <v>Production potential</v>
      </c>
      <c r="E1134" t="str">
        <f>[1]Result_notebook_retravaill!E1134</f>
        <v>Current shares</v>
      </c>
      <c r="F1134" t="str">
        <f>[1]Result_notebook_retravaill!F1134</f>
        <v>Expansion Extractive</v>
      </c>
      <c r="G1134">
        <f>[1]Result_notebook_retravaill!G1134</f>
        <v>69481.842507553956</v>
      </c>
      <c r="H1134" s="3">
        <f>IF([1]Result_notebook_retravaill!I1134&gt;[1]Result_notebook_retravaill!G1134,[1]Result_notebook_retravaill!I1134/[1]Result_notebook_retravaill!N1134,[1]Result_notebook_retravaill!H1134)</f>
        <v>198026.18640695108</v>
      </c>
      <c r="I1134" s="3">
        <f>[1]Result_notebook_retravaill!K1134</f>
        <v>0</v>
      </c>
      <c r="J1134" s="3">
        <f>MIN(G1134,[1]Result_notebook_retravaill!I1134)</f>
        <v>69481.842507553956</v>
      </c>
      <c r="K1134" s="3">
        <f>IF([1]Result_notebook_retravaill!I1134&gt;[1]Result_notebook_retravaill!G1134,0,IF([1]Result_notebook_retravaill!I1134+[1]Result_notebook_retravaill!J1134&gt;[1]Result_notebook_retravaill!G1134,[1]Result_notebook_retravaill!G1134-[1]Result_notebook_retravaill!I1134,[1]Result_notebook_retravaill!J1134))</f>
        <v>0</v>
      </c>
      <c r="L1134" s="3">
        <f>IF([1]Result_notebook_retravaill!I1134&gt;[1]Result_notebook_retravaill!G1134,0,IF([1]Result_notebook_retravaill!I1134+[1]Result_notebook_retravaill!J1134&gt;[1]Result_notebook_retravaill!G1134,0,[1]Result_notebook_retravaill!M1134))</f>
        <v>0</v>
      </c>
    </row>
    <row r="1135" spans="1:12">
      <c r="A1135">
        <f>[1]Result_notebook_retravaill!A1135</f>
        <v>2037</v>
      </c>
      <c r="B1135" t="str">
        <f>[1]Result_notebook_retravaill!B1135</f>
        <v>Nickel</v>
      </c>
      <c r="C1135" t="str">
        <f>[1]Result_notebook_retravaill!C1135</f>
        <v>Current Measures</v>
      </c>
      <c r="D1135" t="str">
        <f>[1]Result_notebook_retravaill!D1135</f>
        <v>Production potential</v>
      </c>
      <c r="E1135" t="str">
        <f>[1]Result_notebook_retravaill!E1135</f>
        <v>Current shares</v>
      </c>
      <c r="F1135" t="str">
        <f>[1]Result_notebook_retravaill!F1135</f>
        <v>Expansion Extractive+Circularity</v>
      </c>
      <c r="G1135">
        <f>[1]Result_notebook_retravaill!G1135</f>
        <v>69481.842507553956</v>
      </c>
      <c r="H1135" s="3">
        <f>IF([1]Result_notebook_retravaill!I1135&gt;[1]Result_notebook_retravaill!G1135,[1]Result_notebook_retravaill!I1135/[1]Result_notebook_retravaill!N1135,[1]Result_notebook_retravaill!H1135)</f>
        <v>198026.18640695108</v>
      </c>
      <c r="I1135" s="3">
        <f>[1]Result_notebook_retravaill!K1135</f>
        <v>0</v>
      </c>
      <c r="J1135" s="3">
        <f>MIN(G1135,[1]Result_notebook_retravaill!I1135)</f>
        <v>69481.842507553956</v>
      </c>
      <c r="K1135" s="3">
        <f>IF([1]Result_notebook_retravaill!I1135&gt;[1]Result_notebook_retravaill!G1135,0,IF([1]Result_notebook_retravaill!I1135+[1]Result_notebook_retravaill!J1135&gt;[1]Result_notebook_retravaill!G1135,[1]Result_notebook_retravaill!G1135-[1]Result_notebook_retravaill!I1135,[1]Result_notebook_retravaill!J1135))</f>
        <v>0</v>
      </c>
      <c r="L1135" s="3">
        <f>IF([1]Result_notebook_retravaill!I1135&gt;[1]Result_notebook_retravaill!G1135,0,IF([1]Result_notebook_retravaill!I1135+[1]Result_notebook_retravaill!J1135&gt;[1]Result_notebook_retravaill!G1135,0,[1]Result_notebook_retravaill!M1135))</f>
        <v>0</v>
      </c>
    </row>
    <row r="1136" spans="1:12">
      <c r="A1136">
        <f>[1]Result_notebook_retravaill!A1136</f>
        <v>2037</v>
      </c>
      <c r="B1136" t="str">
        <f>[1]Result_notebook_retravaill!B1136</f>
        <v>Nickel</v>
      </c>
      <c r="C1136" t="str">
        <f>[1]Result_notebook_retravaill!C1136</f>
        <v>Current Measures</v>
      </c>
      <c r="D1136" t="str">
        <f>[1]Result_notebook_retravaill!D1136</f>
        <v>Production potential</v>
      </c>
      <c r="E1136" t="str">
        <f>[1]Result_notebook_retravaill!E1136</f>
        <v>100% CAN</v>
      </c>
      <c r="F1136" t="str">
        <f>[1]Result_notebook_retravaill!F1136</f>
        <v>Integrated</v>
      </c>
      <c r="G1136">
        <f>[1]Result_notebook_retravaill!G1136</f>
        <v>69481.842507553956</v>
      </c>
      <c r="H1136" s="3">
        <f>IF([1]Result_notebook_retravaill!I1136&gt;[1]Result_notebook_retravaill!G1136,[1]Result_notebook_retravaill!I1136/[1]Result_notebook_retravaill!N1136,[1]Result_notebook_retravaill!H1136)</f>
        <v>278056.80482139922</v>
      </c>
      <c r="I1136" s="3">
        <f>[1]Result_notebook_retravaill!K1136</f>
        <v>0</v>
      </c>
      <c r="J1136" s="3">
        <f>MIN(G1136,[1]Result_notebook_retravaill!I1136)</f>
        <v>69481.842507553956</v>
      </c>
      <c r="K1136" s="3">
        <f>IF([1]Result_notebook_retravaill!I1136&gt;[1]Result_notebook_retravaill!G1136,0,IF([1]Result_notebook_retravaill!I1136+[1]Result_notebook_retravaill!J1136&gt;[1]Result_notebook_retravaill!G1136,[1]Result_notebook_retravaill!G1136-[1]Result_notebook_retravaill!I1136,[1]Result_notebook_retravaill!J1136))</f>
        <v>0</v>
      </c>
      <c r="L1136" s="3">
        <f>IF([1]Result_notebook_retravaill!I1136&gt;[1]Result_notebook_retravaill!G1136,0,IF([1]Result_notebook_retravaill!I1136+[1]Result_notebook_retravaill!J1136&gt;[1]Result_notebook_retravaill!G1136,0,[1]Result_notebook_retravaill!M1136))</f>
        <v>0</v>
      </c>
    </row>
    <row r="1137" spans="1:12">
      <c r="A1137">
        <f>[1]Result_notebook_retravaill!A1137</f>
        <v>2037</v>
      </c>
      <c r="B1137" t="str">
        <f>[1]Result_notebook_retravaill!B1137</f>
        <v>Nickel</v>
      </c>
      <c r="C1137" t="str">
        <f>[1]Result_notebook_retravaill!C1137</f>
        <v>Global Net-zero</v>
      </c>
      <c r="D1137" t="str">
        <f>[1]Result_notebook_retravaill!D1137</f>
        <v>Existing production</v>
      </c>
      <c r="E1137" t="str">
        <f>[1]Result_notebook_retravaill!E1137</f>
        <v>Current shares</v>
      </c>
      <c r="F1137" t="str">
        <f>[1]Result_notebook_retravaill!F1137</f>
        <v>NIMBY</v>
      </c>
      <c r="G1137">
        <f>[1]Result_notebook_retravaill!G1137</f>
        <v>170535.0212582692</v>
      </c>
      <c r="H1137" s="3">
        <f>IF([1]Result_notebook_retravaill!I1137&gt;[1]Result_notebook_retravaill!G1137,[1]Result_notebook_retravaill!I1137/[1]Result_notebook_retravaill!N1137,[1]Result_notebook_retravaill!H1137)</f>
        <v>0</v>
      </c>
      <c r="I1137" s="3">
        <f>[1]Result_notebook_retravaill!K1137</f>
        <v>215867.11551679639</v>
      </c>
      <c r="J1137" s="3">
        <f>MIN(G1137,[1]Result_notebook_retravaill!I1137)</f>
        <v>0</v>
      </c>
      <c r="K1137" s="3">
        <f>IF([1]Result_notebook_retravaill!I1137&gt;[1]Result_notebook_retravaill!G1137,0,IF([1]Result_notebook_retravaill!I1137+[1]Result_notebook_retravaill!J1137&gt;[1]Result_notebook_retravaill!G1137,[1]Result_notebook_retravaill!G1137-[1]Result_notebook_retravaill!I1137,[1]Result_notebook_retravaill!J1137))</f>
        <v>0</v>
      </c>
      <c r="L1137" s="3">
        <f>IF([1]Result_notebook_retravaill!I1137&gt;[1]Result_notebook_retravaill!G1137,0,IF([1]Result_notebook_retravaill!I1137+[1]Result_notebook_retravaill!J1137&gt;[1]Result_notebook_retravaill!G1137,0,[1]Result_notebook_retravaill!M1137))</f>
        <v>170535.0212582692</v>
      </c>
    </row>
    <row r="1138" spans="1:12">
      <c r="A1138">
        <f>[1]Result_notebook_retravaill!A1138</f>
        <v>2037</v>
      </c>
      <c r="B1138" t="str">
        <f>[1]Result_notebook_retravaill!B1138</f>
        <v>Nickel</v>
      </c>
      <c r="C1138" t="str">
        <f>[1]Result_notebook_retravaill!C1138</f>
        <v>Global Net-zero</v>
      </c>
      <c r="D1138" t="str">
        <f>[1]Result_notebook_retravaill!D1138</f>
        <v>Existing production</v>
      </c>
      <c r="E1138" t="str">
        <f>[1]Result_notebook_retravaill!E1138</f>
        <v>Current shares</v>
      </c>
      <c r="F1138" t="str">
        <f>[1]Result_notebook_retravaill!F1138</f>
        <v>Status Quo</v>
      </c>
      <c r="G1138">
        <f>[1]Result_notebook_retravaill!G1138</f>
        <v>170535.0212582692</v>
      </c>
      <c r="H1138" s="3">
        <f>IF([1]Result_notebook_retravaill!I1138&gt;[1]Result_notebook_retravaill!G1138,[1]Result_notebook_retravaill!I1138/[1]Result_notebook_retravaill!N1138,[1]Result_notebook_retravaill!H1138)</f>
        <v>82660</v>
      </c>
      <c r="I1138" s="3">
        <f>[1]Result_notebook_retravaill!K1138</f>
        <v>133207.11551679639</v>
      </c>
      <c r="J1138" s="3">
        <f>MIN(G1138,[1]Result_notebook_retravaill!I1138)</f>
        <v>46362.344345082623</v>
      </c>
      <c r="K1138" s="3">
        <f>IF([1]Result_notebook_retravaill!I1138&gt;[1]Result_notebook_retravaill!G1138,0,IF([1]Result_notebook_retravaill!I1138+[1]Result_notebook_retravaill!J1138&gt;[1]Result_notebook_retravaill!G1138,[1]Result_notebook_retravaill!G1138-[1]Result_notebook_retravaill!I1138,[1]Result_notebook_retravaill!J1138))</f>
        <v>11431.086780795828</v>
      </c>
      <c r="L1138" s="3">
        <f>IF([1]Result_notebook_retravaill!I1138&gt;[1]Result_notebook_retravaill!G1138,0,IF([1]Result_notebook_retravaill!I1138+[1]Result_notebook_retravaill!J1138&gt;[1]Result_notebook_retravaill!G1138,0,[1]Result_notebook_retravaill!M1138))</f>
        <v>112741.59013239077</v>
      </c>
    </row>
    <row r="1139" spans="1:12">
      <c r="A1139">
        <f>[1]Result_notebook_retravaill!A1139</f>
        <v>2037</v>
      </c>
      <c r="B1139" t="str">
        <f>[1]Result_notebook_retravaill!B1139</f>
        <v>Nickel</v>
      </c>
      <c r="C1139" t="str">
        <f>[1]Result_notebook_retravaill!C1139</f>
        <v>Global Net-zero</v>
      </c>
      <c r="D1139" t="str">
        <f>[1]Result_notebook_retravaill!D1139</f>
        <v>Production potential</v>
      </c>
      <c r="E1139" t="str">
        <f>[1]Result_notebook_retravaill!E1139</f>
        <v>Current shares</v>
      </c>
      <c r="F1139" t="str">
        <f>[1]Result_notebook_retravaill!F1139</f>
        <v>Expansion Extractive</v>
      </c>
      <c r="G1139">
        <f>[1]Result_notebook_retravaill!G1139</f>
        <v>170535.0212582692</v>
      </c>
      <c r="H1139" s="3">
        <f>IF([1]Result_notebook_retravaill!I1139&gt;[1]Result_notebook_retravaill!G1139,[1]Result_notebook_retravaill!I1139/[1]Result_notebook_retravaill!N1139,[1]Result_notebook_retravaill!H1139)</f>
        <v>246851.46808035299</v>
      </c>
      <c r="I1139" s="3">
        <f>[1]Result_notebook_retravaill!K1139</f>
        <v>0</v>
      </c>
      <c r="J1139" s="3">
        <f>MIN(G1139,[1]Result_notebook_retravaill!I1139)</f>
        <v>138454.06200375629</v>
      </c>
      <c r="K1139" s="3">
        <f>IF([1]Result_notebook_retravaill!I1139&gt;[1]Result_notebook_retravaill!G1139,0,IF([1]Result_notebook_retravaill!I1139+[1]Result_notebook_retravaill!J1139&gt;[1]Result_notebook_retravaill!G1139,[1]Result_notebook_retravaill!G1139-[1]Result_notebook_retravaill!I1139,[1]Result_notebook_retravaill!J1139))</f>
        <v>32080.959254512913</v>
      </c>
      <c r="L1139" s="3">
        <f>IF([1]Result_notebook_retravaill!I1139&gt;[1]Result_notebook_retravaill!G1139,0,IF([1]Result_notebook_retravaill!I1139+[1]Result_notebook_retravaill!J1139&gt;[1]Result_notebook_retravaill!G1139,0,[1]Result_notebook_retravaill!M1139))</f>
        <v>0</v>
      </c>
    </row>
    <row r="1140" spans="1:12">
      <c r="A1140">
        <f>[1]Result_notebook_retravaill!A1140</f>
        <v>2037</v>
      </c>
      <c r="B1140" t="str">
        <f>[1]Result_notebook_retravaill!B1140</f>
        <v>Nickel</v>
      </c>
      <c r="C1140" t="str">
        <f>[1]Result_notebook_retravaill!C1140</f>
        <v>Global Net-zero</v>
      </c>
      <c r="D1140" t="str">
        <f>[1]Result_notebook_retravaill!D1140</f>
        <v>Production potential</v>
      </c>
      <c r="E1140" t="str">
        <f>[1]Result_notebook_retravaill!E1140</f>
        <v>Current shares</v>
      </c>
      <c r="F1140" t="str">
        <f>[1]Result_notebook_retravaill!F1140</f>
        <v>Expansion Extractive+Circularity</v>
      </c>
      <c r="G1140">
        <f>[1]Result_notebook_retravaill!G1140</f>
        <v>170535.0212582692</v>
      </c>
      <c r="H1140" s="3">
        <f>IF([1]Result_notebook_retravaill!I1140&gt;[1]Result_notebook_retravaill!G1140,[1]Result_notebook_retravaill!I1140/[1]Result_notebook_retravaill!N1140,[1]Result_notebook_retravaill!H1140)</f>
        <v>246851.46808035299</v>
      </c>
      <c r="I1140" s="3">
        <f>[1]Result_notebook_retravaill!K1140</f>
        <v>0</v>
      </c>
      <c r="J1140" s="3">
        <f>MIN(G1140,[1]Result_notebook_retravaill!I1140)</f>
        <v>138454.06200375629</v>
      </c>
      <c r="K1140" s="3">
        <f>IF([1]Result_notebook_retravaill!I1140&gt;[1]Result_notebook_retravaill!G1140,0,IF([1]Result_notebook_retravaill!I1140+[1]Result_notebook_retravaill!J1140&gt;[1]Result_notebook_retravaill!G1140,[1]Result_notebook_retravaill!G1140-[1]Result_notebook_retravaill!I1140,[1]Result_notebook_retravaill!J1140))</f>
        <v>32080.959254512913</v>
      </c>
      <c r="L1140" s="3">
        <f>IF([1]Result_notebook_retravaill!I1140&gt;[1]Result_notebook_retravaill!G1140,0,IF([1]Result_notebook_retravaill!I1140+[1]Result_notebook_retravaill!J1140&gt;[1]Result_notebook_retravaill!G1140,0,[1]Result_notebook_retravaill!M1140))</f>
        <v>0</v>
      </c>
    </row>
    <row r="1141" spans="1:12">
      <c r="A1141">
        <f>[1]Result_notebook_retravaill!A1141</f>
        <v>2037</v>
      </c>
      <c r="B1141" t="str">
        <f>[1]Result_notebook_retravaill!B1141</f>
        <v>Nickel</v>
      </c>
      <c r="C1141" t="str">
        <f>[1]Result_notebook_retravaill!C1141</f>
        <v>Global Net-zero</v>
      </c>
      <c r="D1141" t="str">
        <f>[1]Result_notebook_retravaill!D1141</f>
        <v>Production potential</v>
      </c>
      <c r="E1141" t="str">
        <f>[1]Result_notebook_retravaill!E1141</f>
        <v>100% CAN</v>
      </c>
      <c r="F1141" t="str">
        <f>[1]Result_notebook_retravaill!F1141</f>
        <v>Integrated</v>
      </c>
      <c r="G1141">
        <f>[1]Result_notebook_retravaill!G1141</f>
        <v>170535.0212582692</v>
      </c>
      <c r="H1141" s="3">
        <f>IF([1]Result_notebook_retravaill!I1141&gt;[1]Result_notebook_retravaill!G1141,[1]Result_notebook_retravaill!I1141/[1]Result_notebook_retravaill!N1141,[1]Result_notebook_retravaill!H1141)</f>
        <v>278056.80482139922</v>
      </c>
      <c r="I1141" s="3">
        <f>[1]Result_notebook_retravaill!K1141</f>
        <v>0</v>
      </c>
      <c r="J1141" s="3">
        <f>MIN(G1141,[1]Result_notebook_retravaill!I1141)</f>
        <v>170535.0212582692</v>
      </c>
      <c r="K1141" s="3">
        <f>IF([1]Result_notebook_retravaill!I1141&gt;[1]Result_notebook_retravaill!G1141,0,IF([1]Result_notebook_retravaill!I1141+[1]Result_notebook_retravaill!J1141&gt;[1]Result_notebook_retravaill!G1141,[1]Result_notebook_retravaill!G1141-[1]Result_notebook_retravaill!I1141,[1]Result_notebook_retravaill!J1141))</f>
        <v>0</v>
      </c>
      <c r="L1141" s="3">
        <f>IF([1]Result_notebook_retravaill!I1141&gt;[1]Result_notebook_retravaill!G1141,0,IF([1]Result_notebook_retravaill!I1141+[1]Result_notebook_retravaill!J1141&gt;[1]Result_notebook_retravaill!G1141,0,[1]Result_notebook_retravaill!M1141))</f>
        <v>0</v>
      </c>
    </row>
    <row r="1142" spans="1:12">
      <c r="A1142">
        <f>[1]Result_notebook_retravaill!A1142</f>
        <v>2037</v>
      </c>
      <c r="B1142" t="str">
        <f>[1]Result_notebook_retravaill!B1142</f>
        <v>Graphite</v>
      </c>
      <c r="C1142" t="str">
        <f>[1]Result_notebook_retravaill!C1142</f>
        <v>Canada Net-zero</v>
      </c>
      <c r="D1142" t="str">
        <f>[1]Result_notebook_retravaill!D1142</f>
        <v>Existing production</v>
      </c>
      <c r="E1142" t="str">
        <f>[1]Result_notebook_retravaill!E1142</f>
        <v>Current shares</v>
      </c>
      <c r="F1142" t="str">
        <f>[1]Result_notebook_retravaill!F1142</f>
        <v>NIMBY</v>
      </c>
      <c r="G1142">
        <f>[1]Result_notebook_retravaill!G1142</f>
        <v>3230.4798003226651</v>
      </c>
      <c r="H1142" s="3">
        <f>IF([1]Result_notebook_retravaill!I1142&gt;[1]Result_notebook_retravaill!G1142,[1]Result_notebook_retravaill!I1142/[1]Result_notebook_retravaill!N1142,[1]Result_notebook_retravaill!H1142)</f>
        <v>0</v>
      </c>
      <c r="I1142" s="3">
        <f>[1]Result_notebook_retravaill!K1142</f>
        <v>3230.4798003226651</v>
      </c>
      <c r="J1142" s="3">
        <f>MIN(G1142,[1]Result_notebook_retravaill!I1142)</f>
        <v>0</v>
      </c>
      <c r="K1142" s="3">
        <f>IF([1]Result_notebook_retravaill!I1142&gt;[1]Result_notebook_retravaill!G1142,0,IF([1]Result_notebook_retravaill!I1142+[1]Result_notebook_retravaill!J1142&gt;[1]Result_notebook_retravaill!G1142,[1]Result_notebook_retravaill!G1142-[1]Result_notebook_retravaill!I1142,[1]Result_notebook_retravaill!J1142))</f>
        <v>0</v>
      </c>
      <c r="L1142" s="3">
        <f>IF([1]Result_notebook_retravaill!I1142&gt;[1]Result_notebook_retravaill!G1142,0,IF([1]Result_notebook_retravaill!I1142+[1]Result_notebook_retravaill!J1142&gt;[1]Result_notebook_retravaill!G1142,0,[1]Result_notebook_retravaill!M1142))</f>
        <v>3230.4798003226651</v>
      </c>
    </row>
    <row r="1143" spans="1:12">
      <c r="A1143">
        <f>[1]Result_notebook_retravaill!A1143</f>
        <v>2037</v>
      </c>
      <c r="B1143" t="str">
        <f>[1]Result_notebook_retravaill!B1143</f>
        <v>Graphite</v>
      </c>
      <c r="C1143" t="str">
        <f>[1]Result_notebook_retravaill!C1143</f>
        <v>Canada Net-zero</v>
      </c>
      <c r="D1143" t="str">
        <f>[1]Result_notebook_retravaill!D1143</f>
        <v>Existing production</v>
      </c>
      <c r="E1143" t="str">
        <f>[1]Result_notebook_retravaill!E1143</f>
        <v>Current shares</v>
      </c>
      <c r="F1143" t="str">
        <f>[1]Result_notebook_retravaill!F1143</f>
        <v>Status Quo</v>
      </c>
      <c r="G1143">
        <f>[1]Result_notebook_retravaill!G1143</f>
        <v>3230.4798003226651</v>
      </c>
      <c r="H1143" s="3">
        <f>IF([1]Result_notebook_retravaill!I1143&gt;[1]Result_notebook_retravaill!G1143,[1]Result_notebook_retravaill!I1143/[1]Result_notebook_retravaill!N1143,[1]Result_notebook_retravaill!H1143)</f>
        <v>0</v>
      </c>
      <c r="I1143" s="3">
        <f>[1]Result_notebook_retravaill!K1143</f>
        <v>3230.4798003226651</v>
      </c>
      <c r="J1143" s="3">
        <f>MIN(G1143,[1]Result_notebook_retravaill!I1143)</f>
        <v>0</v>
      </c>
      <c r="K1143" s="3">
        <f>IF([1]Result_notebook_retravaill!I1143&gt;[1]Result_notebook_retravaill!G1143,0,IF([1]Result_notebook_retravaill!I1143+[1]Result_notebook_retravaill!J1143&gt;[1]Result_notebook_retravaill!G1143,[1]Result_notebook_retravaill!G1143-[1]Result_notebook_retravaill!I1143,[1]Result_notebook_retravaill!J1143))</f>
        <v>0</v>
      </c>
      <c r="L1143" s="3">
        <f>IF([1]Result_notebook_retravaill!I1143&gt;[1]Result_notebook_retravaill!G1143,0,IF([1]Result_notebook_retravaill!I1143+[1]Result_notebook_retravaill!J1143&gt;[1]Result_notebook_retravaill!G1143,0,[1]Result_notebook_retravaill!M1143))</f>
        <v>3230.4798003226651</v>
      </c>
    </row>
    <row r="1144" spans="1:12">
      <c r="A1144">
        <f>[1]Result_notebook_retravaill!A1144</f>
        <v>2037</v>
      </c>
      <c r="B1144" t="str">
        <f>[1]Result_notebook_retravaill!B1144</f>
        <v>Graphite</v>
      </c>
      <c r="C1144" t="str">
        <f>[1]Result_notebook_retravaill!C1144</f>
        <v>Canada Net-zero</v>
      </c>
      <c r="D1144" t="str">
        <f>[1]Result_notebook_retravaill!D1144</f>
        <v>Production potential</v>
      </c>
      <c r="E1144" t="str">
        <f>[1]Result_notebook_retravaill!E1144</f>
        <v>Current shares</v>
      </c>
      <c r="F1144" t="str">
        <f>[1]Result_notebook_retravaill!F1144</f>
        <v>Expansion Extractive</v>
      </c>
      <c r="G1144">
        <f>[1]Result_notebook_retravaill!G1144</f>
        <v>3230.4798003226651</v>
      </c>
      <c r="H1144" s="3">
        <f>IF([1]Result_notebook_retravaill!I1144&gt;[1]Result_notebook_retravaill!G1144,[1]Result_notebook_retravaill!I1144/[1]Result_notebook_retravaill!N1144,[1]Result_notebook_retravaill!H1144)</f>
        <v>125561.57551128366</v>
      </c>
      <c r="I1144" s="3">
        <f>[1]Result_notebook_retravaill!K1144</f>
        <v>0</v>
      </c>
      <c r="J1144" s="3">
        <f>MIN(G1144,[1]Result_notebook_retravaill!I1144)</f>
        <v>3230.4798003226651</v>
      </c>
      <c r="K1144" s="3">
        <f>IF([1]Result_notebook_retravaill!I1144&gt;[1]Result_notebook_retravaill!G1144,0,IF([1]Result_notebook_retravaill!I1144+[1]Result_notebook_retravaill!J1144&gt;[1]Result_notebook_retravaill!G1144,[1]Result_notebook_retravaill!G1144-[1]Result_notebook_retravaill!I1144,[1]Result_notebook_retravaill!J1144))</f>
        <v>0</v>
      </c>
      <c r="L1144" s="3">
        <f>IF([1]Result_notebook_retravaill!I1144&gt;[1]Result_notebook_retravaill!G1144,0,IF([1]Result_notebook_retravaill!I1144+[1]Result_notebook_retravaill!J1144&gt;[1]Result_notebook_retravaill!G1144,0,[1]Result_notebook_retravaill!M1144))</f>
        <v>0</v>
      </c>
    </row>
    <row r="1145" spans="1:12">
      <c r="A1145">
        <f>[1]Result_notebook_retravaill!A1145</f>
        <v>2037</v>
      </c>
      <c r="B1145" t="str">
        <f>[1]Result_notebook_retravaill!B1145</f>
        <v>Graphite</v>
      </c>
      <c r="C1145" t="str">
        <f>[1]Result_notebook_retravaill!C1145</f>
        <v>Canada Net-zero</v>
      </c>
      <c r="D1145" t="str">
        <f>[1]Result_notebook_retravaill!D1145</f>
        <v>Production potential</v>
      </c>
      <c r="E1145" t="str">
        <f>[1]Result_notebook_retravaill!E1145</f>
        <v>Current shares</v>
      </c>
      <c r="F1145" t="str">
        <f>[1]Result_notebook_retravaill!F1145</f>
        <v>Expansion Extractive+Circularity</v>
      </c>
      <c r="G1145">
        <f>[1]Result_notebook_retravaill!G1145</f>
        <v>3230.4798003226651</v>
      </c>
      <c r="H1145" s="3">
        <f>IF([1]Result_notebook_retravaill!I1145&gt;[1]Result_notebook_retravaill!G1145,[1]Result_notebook_retravaill!I1145/[1]Result_notebook_retravaill!N1145,[1]Result_notebook_retravaill!H1145)</f>
        <v>125561.57551128366</v>
      </c>
      <c r="I1145" s="3">
        <f>[1]Result_notebook_retravaill!K1145</f>
        <v>0</v>
      </c>
      <c r="J1145" s="3">
        <f>MIN(G1145,[1]Result_notebook_retravaill!I1145)</f>
        <v>3230.4798003226651</v>
      </c>
      <c r="K1145" s="3">
        <f>IF([1]Result_notebook_retravaill!I1145&gt;[1]Result_notebook_retravaill!G1145,0,IF([1]Result_notebook_retravaill!I1145+[1]Result_notebook_retravaill!J1145&gt;[1]Result_notebook_retravaill!G1145,[1]Result_notebook_retravaill!G1145-[1]Result_notebook_retravaill!I1145,[1]Result_notebook_retravaill!J1145))</f>
        <v>0</v>
      </c>
      <c r="L1145" s="3">
        <f>IF([1]Result_notebook_retravaill!I1145&gt;[1]Result_notebook_retravaill!G1145,0,IF([1]Result_notebook_retravaill!I1145+[1]Result_notebook_retravaill!J1145&gt;[1]Result_notebook_retravaill!G1145,0,[1]Result_notebook_retravaill!M1145))</f>
        <v>0</v>
      </c>
    </row>
    <row r="1146" spans="1:12">
      <c r="A1146">
        <f>[1]Result_notebook_retravaill!A1146</f>
        <v>2037</v>
      </c>
      <c r="B1146" t="str">
        <f>[1]Result_notebook_retravaill!B1146</f>
        <v>Graphite</v>
      </c>
      <c r="C1146" t="str">
        <f>[1]Result_notebook_retravaill!C1146</f>
        <v>Canada Net-zero</v>
      </c>
      <c r="D1146" t="str">
        <f>[1]Result_notebook_retravaill!D1146</f>
        <v>Production potential</v>
      </c>
      <c r="E1146" t="str">
        <f>[1]Result_notebook_retravaill!E1146</f>
        <v>100% CAN</v>
      </c>
      <c r="F1146" t="str">
        <f>[1]Result_notebook_retravaill!F1146</f>
        <v>Integrated</v>
      </c>
      <c r="G1146">
        <f>[1]Result_notebook_retravaill!G1146</f>
        <v>3230.4798003226651</v>
      </c>
      <c r="H1146" s="3">
        <f>IF([1]Result_notebook_retravaill!I1146&gt;[1]Result_notebook_retravaill!G1146,[1]Result_notebook_retravaill!I1146/[1]Result_notebook_retravaill!N1146,[1]Result_notebook_retravaill!H1146)</f>
        <v>125561.57551128366</v>
      </c>
      <c r="I1146" s="3">
        <f>[1]Result_notebook_retravaill!K1146</f>
        <v>0</v>
      </c>
      <c r="J1146" s="3">
        <f>MIN(G1146,[1]Result_notebook_retravaill!I1146)</f>
        <v>3230.4798003226651</v>
      </c>
      <c r="K1146" s="3">
        <f>IF([1]Result_notebook_retravaill!I1146&gt;[1]Result_notebook_retravaill!G1146,0,IF([1]Result_notebook_retravaill!I1146+[1]Result_notebook_retravaill!J1146&gt;[1]Result_notebook_retravaill!G1146,[1]Result_notebook_retravaill!G1146-[1]Result_notebook_retravaill!I1146,[1]Result_notebook_retravaill!J1146))</f>
        <v>0</v>
      </c>
      <c r="L1146" s="3">
        <f>IF([1]Result_notebook_retravaill!I1146&gt;[1]Result_notebook_retravaill!G1146,0,IF([1]Result_notebook_retravaill!I1146+[1]Result_notebook_retravaill!J1146&gt;[1]Result_notebook_retravaill!G1146,0,[1]Result_notebook_retravaill!M1146))</f>
        <v>0</v>
      </c>
    </row>
    <row r="1147" spans="1:12">
      <c r="A1147">
        <f>[1]Result_notebook_retravaill!A1147</f>
        <v>2037</v>
      </c>
      <c r="B1147" t="str">
        <f>[1]Result_notebook_retravaill!B1147</f>
        <v>Graphite</v>
      </c>
      <c r="C1147" t="str">
        <f>[1]Result_notebook_retravaill!C1147</f>
        <v>Current Measures</v>
      </c>
      <c r="D1147" t="str">
        <f>[1]Result_notebook_retravaill!D1147</f>
        <v>Existing production</v>
      </c>
      <c r="E1147" t="str">
        <f>[1]Result_notebook_retravaill!E1147</f>
        <v>Current shares</v>
      </c>
      <c r="F1147" t="str">
        <f>[1]Result_notebook_retravaill!F1147</f>
        <v>NIMBY</v>
      </c>
      <c r="G1147">
        <f>[1]Result_notebook_retravaill!G1147</f>
        <v>1189.986753633372</v>
      </c>
      <c r="H1147" s="3">
        <f>IF([1]Result_notebook_retravaill!I1147&gt;[1]Result_notebook_retravaill!G1147,[1]Result_notebook_retravaill!I1147/[1]Result_notebook_retravaill!N1147,[1]Result_notebook_retravaill!H1147)</f>
        <v>0</v>
      </c>
      <c r="I1147" s="3">
        <f>[1]Result_notebook_retravaill!K1147</f>
        <v>1189.986753633372</v>
      </c>
      <c r="J1147" s="3">
        <f>MIN(G1147,[1]Result_notebook_retravaill!I1147)</f>
        <v>0</v>
      </c>
      <c r="K1147" s="3">
        <f>IF([1]Result_notebook_retravaill!I1147&gt;[1]Result_notebook_retravaill!G1147,0,IF([1]Result_notebook_retravaill!I1147+[1]Result_notebook_retravaill!J1147&gt;[1]Result_notebook_retravaill!G1147,[1]Result_notebook_retravaill!G1147-[1]Result_notebook_retravaill!I1147,[1]Result_notebook_retravaill!J1147))</f>
        <v>0</v>
      </c>
      <c r="L1147" s="3">
        <f>IF([1]Result_notebook_retravaill!I1147&gt;[1]Result_notebook_retravaill!G1147,0,IF([1]Result_notebook_retravaill!I1147+[1]Result_notebook_retravaill!J1147&gt;[1]Result_notebook_retravaill!G1147,0,[1]Result_notebook_retravaill!M1147))</f>
        <v>1189.986753633372</v>
      </c>
    </row>
    <row r="1148" spans="1:12">
      <c r="A1148">
        <f>[1]Result_notebook_retravaill!A1148</f>
        <v>2037</v>
      </c>
      <c r="B1148" t="str">
        <f>[1]Result_notebook_retravaill!B1148</f>
        <v>Graphite</v>
      </c>
      <c r="C1148" t="str">
        <f>[1]Result_notebook_retravaill!C1148</f>
        <v>Current Measures</v>
      </c>
      <c r="D1148" t="str">
        <f>[1]Result_notebook_retravaill!D1148</f>
        <v>Existing production</v>
      </c>
      <c r="E1148" t="str">
        <f>[1]Result_notebook_retravaill!E1148</f>
        <v>Current shares</v>
      </c>
      <c r="F1148" t="str">
        <f>[1]Result_notebook_retravaill!F1148</f>
        <v>Status Quo</v>
      </c>
      <c r="G1148">
        <f>[1]Result_notebook_retravaill!G1148</f>
        <v>1189.986753633372</v>
      </c>
      <c r="H1148" s="3">
        <f>IF([1]Result_notebook_retravaill!I1148&gt;[1]Result_notebook_retravaill!G1148,[1]Result_notebook_retravaill!I1148/[1]Result_notebook_retravaill!N1148,[1]Result_notebook_retravaill!H1148)</f>
        <v>0</v>
      </c>
      <c r="I1148" s="3">
        <f>[1]Result_notebook_retravaill!K1148</f>
        <v>1189.986753633372</v>
      </c>
      <c r="J1148" s="3">
        <f>MIN(G1148,[1]Result_notebook_retravaill!I1148)</f>
        <v>0</v>
      </c>
      <c r="K1148" s="3">
        <f>IF([1]Result_notebook_retravaill!I1148&gt;[1]Result_notebook_retravaill!G1148,0,IF([1]Result_notebook_retravaill!I1148+[1]Result_notebook_retravaill!J1148&gt;[1]Result_notebook_retravaill!G1148,[1]Result_notebook_retravaill!G1148-[1]Result_notebook_retravaill!I1148,[1]Result_notebook_retravaill!J1148))</f>
        <v>0</v>
      </c>
      <c r="L1148" s="3">
        <f>IF([1]Result_notebook_retravaill!I1148&gt;[1]Result_notebook_retravaill!G1148,0,IF([1]Result_notebook_retravaill!I1148+[1]Result_notebook_retravaill!J1148&gt;[1]Result_notebook_retravaill!G1148,0,[1]Result_notebook_retravaill!M1148))</f>
        <v>1189.986753633372</v>
      </c>
    </row>
    <row r="1149" spans="1:12">
      <c r="A1149">
        <f>[1]Result_notebook_retravaill!A1149</f>
        <v>2037</v>
      </c>
      <c r="B1149" t="str">
        <f>[1]Result_notebook_retravaill!B1149</f>
        <v>Graphite</v>
      </c>
      <c r="C1149" t="str">
        <f>[1]Result_notebook_retravaill!C1149</f>
        <v>Current Measures</v>
      </c>
      <c r="D1149" t="str">
        <f>[1]Result_notebook_retravaill!D1149</f>
        <v>Production potential</v>
      </c>
      <c r="E1149" t="str">
        <f>[1]Result_notebook_retravaill!E1149</f>
        <v>Current shares</v>
      </c>
      <c r="F1149" t="str">
        <f>[1]Result_notebook_retravaill!F1149</f>
        <v>Expansion Extractive</v>
      </c>
      <c r="G1149">
        <f>[1]Result_notebook_retravaill!G1149</f>
        <v>1189.986753633372</v>
      </c>
      <c r="H1149" s="3">
        <f>IF([1]Result_notebook_retravaill!I1149&gt;[1]Result_notebook_retravaill!G1149,[1]Result_notebook_retravaill!I1149/[1]Result_notebook_retravaill!N1149,[1]Result_notebook_retravaill!H1149)</f>
        <v>125561.57551128366</v>
      </c>
      <c r="I1149" s="3">
        <f>[1]Result_notebook_retravaill!K1149</f>
        <v>0</v>
      </c>
      <c r="J1149" s="3">
        <f>MIN(G1149,[1]Result_notebook_retravaill!I1149)</f>
        <v>1189.986753633372</v>
      </c>
      <c r="K1149" s="3">
        <f>IF([1]Result_notebook_retravaill!I1149&gt;[1]Result_notebook_retravaill!G1149,0,IF([1]Result_notebook_retravaill!I1149+[1]Result_notebook_retravaill!J1149&gt;[1]Result_notebook_retravaill!G1149,[1]Result_notebook_retravaill!G1149-[1]Result_notebook_retravaill!I1149,[1]Result_notebook_retravaill!J1149))</f>
        <v>0</v>
      </c>
      <c r="L1149" s="3">
        <f>IF([1]Result_notebook_retravaill!I1149&gt;[1]Result_notebook_retravaill!G1149,0,IF([1]Result_notebook_retravaill!I1149+[1]Result_notebook_retravaill!J1149&gt;[1]Result_notebook_retravaill!G1149,0,[1]Result_notebook_retravaill!M1149))</f>
        <v>0</v>
      </c>
    </row>
    <row r="1150" spans="1:12">
      <c r="A1150">
        <f>[1]Result_notebook_retravaill!A1150</f>
        <v>2037</v>
      </c>
      <c r="B1150" t="str">
        <f>[1]Result_notebook_retravaill!B1150</f>
        <v>Graphite</v>
      </c>
      <c r="C1150" t="str">
        <f>[1]Result_notebook_retravaill!C1150</f>
        <v>Current Measures</v>
      </c>
      <c r="D1150" t="str">
        <f>[1]Result_notebook_retravaill!D1150</f>
        <v>Production potential</v>
      </c>
      <c r="E1150" t="str">
        <f>[1]Result_notebook_retravaill!E1150</f>
        <v>Current shares</v>
      </c>
      <c r="F1150" t="str">
        <f>[1]Result_notebook_retravaill!F1150</f>
        <v>Expansion Extractive+Circularity</v>
      </c>
      <c r="G1150">
        <f>[1]Result_notebook_retravaill!G1150</f>
        <v>1189.986753633372</v>
      </c>
      <c r="H1150" s="3">
        <f>IF([1]Result_notebook_retravaill!I1150&gt;[1]Result_notebook_retravaill!G1150,[1]Result_notebook_retravaill!I1150/[1]Result_notebook_retravaill!N1150,[1]Result_notebook_retravaill!H1150)</f>
        <v>125561.57551128366</v>
      </c>
      <c r="I1150" s="3">
        <f>[1]Result_notebook_retravaill!K1150</f>
        <v>0</v>
      </c>
      <c r="J1150" s="3">
        <f>MIN(G1150,[1]Result_notebook_retravaill!I1150)</f>
        <v>1189.986753633372</v>
      </c>
      <c r="K1150" s="3">
        <f>IF([1]Result_notebook_retravaill!I1150&gt;[1]Result_notebook_retravaill!G1150,0,IF([1]Result_notebook_retravaill!I1150+[1]Result_notebook_retravaill!J1150&gt;[1]Result_notebook_retravaill!G1150,[1]Result_notebook_retravaill!G1150-[1]Result_notebook_retravaill!I1150,[1]Result_notebook_retravaill!J1150))</f>
        <v>0</v>
      </c>
      <c r="L1150" s="3">
        <f>IF([1]Result_notebook_retravaill!I1150&gt;[1]Result_notebook_retravaill!G1150,0,IF([1]Result_notebook_retravaill!I1150+[1]Result_notebook_retravaill!J1150&gt;[1]Result_notebook_retravaill!G1150,0,[1]Result_notebook_retravaill!M1150))</f>
        <v>0</v>
      </c>
    </row>
    <row r="1151" spans="1:12">
      <c r="A1151">
        <f>[1]Result_notebook_retravaill!A1151</f>
        <v>2037</v>
      </c>
      <c r="B1151" t="str">
        <f>[1]Result_notebook_retravaill!B1151</f>
        <v>Graphite</v>
      </c>
      <c r="C1151" t="str">
        <f>[1]Result_notebook_retravaill!C1151</f>
        <v>Current Measures</v>
      </c>
      <c r="D1151" t="str">
        <f>[1]Result_notebook_retravaill!D1151</f>
        <v>Production potential</v>
      </c>
      <c r="E1151" t="str">
        <f>[1]Result_notebook_retravaill!E1151</f>
        <v>100% CAN</v>
      </c>
      <c r="F1151" t="str">
        <f>[1]Result_notebook_retravaill!F1151</f>
        <v>Integrated</v>
      </c>
      <c r="G1151">
        <f>[1]Result_notebook_retravaill!G1151</f>
        <v>1189.986753633372</v>
      </c>
      <c r="H1151" s="3">
        <f>IF([1]Result_notebook_retravaill!I1151&gt;[1]Result_notebook_retravaill!G1151,[1]Result_notebook_retravaill!I1151/[1]Result_notebook_retravaill!N1151,[1]Result_notebook_retravaill!H1151)</f>
        <v>125561.57551128366</v>
      </c>
      <c r="I1151" s="3">
        <f>[1]Result_notebook_retravaill!K1151</f>
        <v>0</v>
      </c>
      <c r="J1151" s="3">
        <f>MIN(G1151,[1]Result_notebook_retravaill!I1151)</f>
        <v>1189.986753633372</v>
      </c>
      <c r="K1151" s="3">
        <f>IF([1]Result_notebook_retravaill!I1151&gt;[1]Result_notebook_retravaill!G1151,0,IF([1]Result_notebook_retravaill!I1151+[1]Result_notebook_retravaill!J1151&gt;[1]Result_notebook_retravaill!G1151,[1]Result_notebook_retravaill!G1151-[1]Result_notebook_retravaill!I1151,[1]Result_notebook_retravaill!J1151))</f>
        <v>0</v>
      </c>
      <c r="L1151" s="3">
        <f>IF([1]Result_notebook_retravaill!I1151&gt;[1]Result_notebook_retravaill!G1151,0,IF([1]Result_notebook_retravaill!I1151+[1]Result_notebook_retravaill!J1151&gt;[1]Result_notebook_retravaill!G1151,0,[1]Result_notebook_retravaill!M1151))</f>
        <v>0</v>
      </c>
    </row>
    <row r="1152" spans="1:12">
      <c r="A1152">
        <f>[1]Result_notebook_retravaill!A1152</f>
        <v>2037</v>
      </c>
      <c r="B1152" t="str">
        <f>[1]Result_notebook_retravaill!B1152</f>
        <v>Graphite</v>
      </c>
      <c r="C1152" t="str">
        <f>[1]Result_notebook_retravaill!C1152</f>
        <v>Global Net-zero</v>
      </c>
      <c r="D1152" t="str">
        <f>[1]Result_notebook_retravaill!D1152</f>
        <v>Existing production</v>
      </c>
      <c r="E1152" t="str">
        <f>[1]Result_notebook_retravaill!E1152</f>
        <v>Current shares</v>
      </c>
      <c r="F1152" t="str">
        <f>[1]Result_notebook_retravaill!F1152</f>
        <v>NIMBY</v>
      </c>
      <c r="G1152">
        <f>[1]Result_notebook_retravaill!G1152</f>
        <v>3080.4826094202749</v>
      </c>
      <c r="H1152" s="3">
        <f>IF([1]Result_notebook_retravaill!I1152&gt;[1]Result_notebook_retravaill!G1152,[1]Result_notebook_retravaill!I1152/[1]Result_notebook_retravaill!N1152,[1]Result_notebook_retravaill!H1152)</f>
        <v>0</v>
      </c>
      <c r="I1152" s="3">
        <f>[1]Result_notebook_retravaill!K1152</f>
        <v>3080.4826094202749</v>
      </c>
      <c r="J1152" s="3">
        <f>MIN(G1152,[1]Result_notebook_retravaill!I1152)</f>
        <v>0</v>
      </c>
      <c r="K1152" s="3">
        <f>IF([1]Result_notebook_retravaill!I1152&gt;[1]Result_notebook_retravaill!G1152,0,IF([1]Result_notebook_retravaill!I1152+[1]Result_notebook_retravaill!J1152&gt;[1]Result_notebook_retravaill!G1152,[1]Result_notebook_retravaill!G1152-[1]Result_notebook_retravaill!I1152,[1]Result_notebook_retravaill!J1152))</f>
        <v>0</v>
      </c>
      <c r="L1152" s="3">
        <f>IF([1]Result_notebook_retravaill!I1152&gt;[1]Result_notebook_retravaill!G1152,0,IF([1]Result_notebook_retravaill!I1152+[1]Result_notebook_retravaill!J1152&gt;[1]Result_notebook_retravaill!G1152,0,[1]Result_notebook_retravaill!M1152))</f>
        <v>3080.4826094202749</v>
      </c>
    </row>
    <row r="1153" spans="1:12">
      <c r="A1153">
        <f>[1]Result_notebook_retravaill!A1153</f>
        <v>2037</v>
      </c>
      <c r="B1153" t="str">
        <f>[1]Result_notebook_retravaill!B1153</f>
        <v>Graphite</v>
      </c>
      <c r="C1153" t="str">
        <f>[1]Result_notebook_retravaill!C1153</f>
        <v>Global Net-zero</v>
      </c>
      <c r="D1153" t="str">
        <f>[1]Result_notebook_retravaill!D1153</f>
        <v>Existing production</v>
      </c>
      <c r="E1153" t="str">
        <f>[1]Result_notebook_retravaill!E1153</f>
        <v>Current shares</v>
      </c>
      <c r="F1153" t="str">
        <f>[1]Result_notebook_retravaill!F1153</f>
        <v>Status Quo</v>
      </c>
      <c r="G1153">
        <f>[1]Result_notebook_retravaill!G1153</f>
        <v>3080.4826094202749</v>
      </c>
      <c r="H1153" s="3">
        <f>IF([1]Result_notebook_retravaill!I1153&gt;[1]Result_notebook_retravaill!G1153,[1]Result_notebook_retravaill!I1153/[1]Result_notebook_retravaill!N1153,[1]Result_notebook_retravaill!H1153)</f>
        <v>0</v>
      </c>
      <c r="I1153" s="3">
        <f>[1]Result_notebook_retravaill!K1153</f>
        <v>3080.4826094202749</v>
      </c>
      <c r="J1153" s="3">
        <f>MIN(G1153,[1]Result_notebook_retravaill!I1153)</f>
        <v>0</v>
      </c>
      <c r="K1153" s="3">
        <f>IF([1]Result_notebook_retravaill!I1153&gt;[1]Result_notebook_retravaill!G1153,0,IF([1]Result_notebook_retravaill!I1153+[1]Result_notebook_retravaill!J1153&gt;[1]Result_notebook_retravaill!G1153,[1]Result_notebook_retravaill!G1153-[1]Result_notebook_retravaill!I1153,[1]Result_notebook_retravaill!J1153))</f>
        <v>0</v>
      </c>
      <c r="L1153" s="3">
        <f>IF([1]Result_notebook_retravaill!I1153&gt;[1]Result_notebook_retravaill!G1153,0,IF([1]Result_notebook_retravaill!I1153+[1]Result_notebook_retravaill!J1153&gt;[1]Result_notebook_retravaill!G1153,0,[1]Result_notebook_retravaill!M1153))</f>
        <v>3080.4826094202749</v>
      </c>
    </row>
    <row r="1154" spans="1:12">
      <c r="A1154">
        <f>[1]Result_notebook_retravaill!A1154</f>
        <v>2037</v>
      </c>
      <c r="B1154" t="str">
        <f>[1]Result_notebook_retravaill!B1154</f>
        <v>Graphite</v>
      </c>
      <c r="C1154" t="str">
        <f>[1]Result_notebook_retravaill!C1154</f>
        <v>Global Net-zero</v>
      </c>
      <c r="D1154" t="str">
        <f>[1]Result_notebook_retravaill!D1154</f>
        <v>Production potential</v>
      </c>
      <c r="E1154" t="str">
        <f>[1]Result_notebook_retravaill!E1154</f>
        <v>Current shares</v>
      </c>
      <c r="F1154" t="str">
        <f>[1]Result_notebook_retravaill!F1154</f>
        <v>Expansion Extractive</v>
      </c>
      <c r="G1154">
        <f>[1]Result_notebook_retravaill!G1154</f>
        <v>3080.4826094202749</v>
      </c>
      <c r="H1154" s="3">
        <f>IF([1]Result_notebook_retravaill!I1154&gt;[1]Result_notebook_retravaill!G1154,[1]Result_notebook_retravaill!I1154/[1]Result_notebook_retravaill!N1154,[1]Result_notebook_retravaill!H1154)</f>
        <v>125561.57551128366</v>
      </c>
      <c r="I1154" s="3">
        <f>[1]Result_notebook_retravaill!K1154</f>
        <v>0</v>
      </c>
      <c r="J1154" s="3">
        <f>MIN(G1154,[1]Result_notebook_retravaill!I1154)</f>
        <v>3080.4826094202749</v>
      </c>
      <c r="K1154" s="3">
        <f>IF([1]Result_notebook_retravaill!I1154&gt;[1]Result_notebook_retravaill!G1154,0,IF([1]Result_notebook_retravaill!I1154+[1]Result_notebook_retravaill!J1154&gt;[1]Result_notebook_retravaill!G1154,[1]Result_notebook_retravaill!G1154-[1]Result_notebook_retravaill!I1154,[1]Result_notebook_retravaill!J1154))</f>
        <v>0</v>
      </c>
      <c r="L1154" s="3">
        <f>IF([1]Result_notebook_retravaill!I1154&gt;[1]Result_notebook_retravaill!G1154,0,IF([1]Result_notebook_retravaill!I1154+[1]Result_notebook_retravaill!J1154&gt;[1]Result_notebook_retravaill!G1154,0,[1]Result_notebook_retravaill!M1154))</f>
        <v>0</v>
      </c>
    </row>
    <row r="1155" spans="1:12">
      <c r="A1155">
        <f>[1]Result_notebook_retravaill!A1155</f>
        <v>2037</v>
      </c>
      <c r="B1155" t="str">
        <f>[1]Result_notebook_retravaill!B1155</f>
        <v>Graphite</v>
      </c>
      <c r="C1155" t="str">
        <f>[1]Result_notebook_retravaill!C1155</f>
        <v>Global Net-zero</v>
      </c>
      <c r="D1155" t="str">
        <f>[1]Result_notebook_retravaill!D1155</f>
        <v>Production potential</v>
      </c>
      <c r="E1155" t="str">
        <f>[1]Result_notebook_retravaill!E1155</f>
        <v>Current shares</v>
      </c>
      <c r="F1155" t="str">
        <f>[1]Result_notebook_retravaill!F1155</f>
        <v>Expansion Extractive+Circularity</v>
      </c>
      <c r="G1155">
        <f>[1]Result_notebook_retravaill!G1155</f>
        <v>3080.4826094202749</v>
      </c>
      <c r="H1155" s="3">
        <f>IF([1]Result_notebook_retravaill!I1155&gt;[1]Result_notebook_retravaill!G1155,[1]Result_notebook_retravaill!I1155/[1]Result_notebook_retravaill!N1155,[1]Result_notebook_retravaill!H1155)</f>
        <v>125561.57551128366</v>
      </c>
      <c r="I1155" s="3">
        <f>[1]Result_notebook_retravaill!K1155</f>
        <v>0</v>
      </c>
      <c r="J1155" s="3">
        <f>MIN(G1155,[1]Result_notebook_retravaill!I1155)</f>
        <v>3080.4826094202749</v>
      </c>
      <c r="K1155" s="3">
        <f>IF([1]Result_notebook_retravaill!I1155&gt;[1]Result_notebook_retravaill!G1155,0,IF([1]Result_notebook_retravaill!I1155+[1]Result_notebook_retravaill!J1155&gt;[1]Result_notebook_retravaill!G1155,[1]Result_notebook_retravaill!G1155-[1]Result_notebook_retravaill!I1155,[1]Result_notebook_retravaill!J1155))</f>
        <v>0</v>
      </c>
      <c r="L1155" s="3">
        <f>IF([1]Result_notebook_retravaill!I1155&gt;[1]Result_notebook_retravaill!G1155,0,IF([1]Result_notebook_retravaill!I1155+[1]Result_notebook_retravaill!J1155&gt;[1]Result_notebook_retravaill!G1155,0,[1]Result_notebook_retravaill!M1155))</f>
        <v>0</v>
      </c>
    </row>
    <row r="1156" spans="1:12">
      <c r="A1156">
        <f>[1]Result_notebook_retravaill!A1156</f>
        <v>2037</v>
      </c>
      <c r="B1156" t="str">
        <f>[1]Result_notebook_retravaill!B1156</f>
        <v>Graphite</v>
      </c>
      <c r="C1156" t="str">
        <f>[1]Result_notebook_retravaill!C1156</f>
        <v>Global Net-zero</v>
      </c>
      <c r="D1156" t="str">
        <f>[1]Result_notebook_retravaill!D1156</f>
        <v>Production potential</v>
      </c>
      <c r="E1156" t="str">
        <f>[1]Result_notebook_retravaill!E1156</f>
        <v>100% CAN</v>
      </c>
      <c r="F1156" t="str">
        <f>[1]Result_notebook_retravaill!F1156</f>
        <v>Integrated</v>
      </c>
      <c r="G1156">
        <f>[1]Result_notebook_retravaill!G1156</f>
        <v>3080.4826094202749</v>
      </c>
      <c r="H1156" s="3">
        <f>IF([1]Result_notebook_retravaill!I1156&gt;[1]Result_notebook_retravaill!G1156,[1]Result_notebook_retravaill!I1156/[1]Result_notebook_retravaill!N1156,[1]Result_notebook_retravaill!H1156)</f>
        <v>125561.57551128366</v>
      </c>
      <c r="I1156" s="3">
        <f>[1]Result_notebook_retravaill!K1156</f>
        <v>0</v>
      </c>
      <c r="J1156" s="3">
        <f>MIN(G1156,[1]Result_notebook_retravaill!I1156)</f>
        <v>3080.4826094202749</v>
      </c>
      <c r="K1156" s="3">
        <f>IF([1]Result_notebook_retravaill!I1156&gt;[1]Result_notebook_retravaill!G1156,0,IF([1]Result_notebook_retravaill!I1156+[1]Result_notebook_retravaill!J1156&gt;[1]Result_notebook_retravaill!G1156,[1]Result_notebook_retravaill!G1156-[1]Result_notebook_retravaill!I1156,[1]Result_notebook_retravaill!J1156))</f>
        <v>0</v>
      </c>
      <c r="L1156" s="3">
        <f>IF([1]Result_notebook_retravaill!I1156&gt;[1]Result_notebook_retravaill!G1156,0,IF([1]Result_notebook_retravaill!I1156+[1]Result_notebook_retravaill!J1156&gt;[1]Result_notebook_retravaill!G1156,0,[1]Result_notebook_retravaill!M1156))</f>
        <v>0</v>
      </c>
    </row>
    <row r="1157" spans="1:12">
      <c r="A1157">
        <f>[1]Result_notebook_retravaill!A1157</f>
        <v>2037</v>
      </c>
      <c r="B1157" t="str">
        <f>[1]Result_notebook_retravaill!B1157</f>
        <v>Lithium</v>
      </c>
      <c r="C1157" t="str">
        <f>[1]Result_notebook_retravaill!C1157</f>
        <v>Canada Net-zero</v>
      </c>
      <c r="D1157" t="str">
        <f>[1]Result_notebook_retravaill!D1157</f>
        <v>Existing production</v>
      </c>
      <c r="E1157" t="str">
        <f>[1]Result_notebook_retravaill!E1157</f>
        <v>Current shares</v>
      </c>
      <c r="F1157" t="str">
        <f>[1]Result_notebook_retravaill!F1157</f>
        <v>NIMBY</v>
      </c>
      <c r="G1157">
        <f>[1]Result_notebook_retravaill!G1157</f>
        <v>73716.882405397235</v>
      </c>
      <c r="H1157" s="3">
        <f>IF([1]Result_notebook_retravaill!I1157&gt;[1]Result_notebook_retravaill!G1157,[1]Result_notebook_retravaill!I1157/[1]Result_notebook_retravaill!N1157,[1]Result_notebook_retravaill!H1157)</f>
        <v>0</v>
      </c>
      <c r="I1157" s="3">
        <f>[1]Result_notebook_retravaill!K1157</f>
        <v>105309.8320077103</v>
      </c>
      <c r="J1157" s="3">
        <f>MIN(G1157,[1]Result_notebook_retravaill!I1157)</f>
        <v>0</v>
      </c>
      <c r="K1157" s="3">
        <f>IF([1]Result_notebook_retravaill!I1157&gt;[1]Result_notebook_retravaill!G1157,0,IF([1]Result_notebook_retravaill!I1157+[1]Result_notebook_retravaill!J1157&gt;[1]Result_notebook_retravaill!G1157,[1]Result_notebook_retravaill!G1157-[1]Result_notebook_retravaill!I1157,[1]Result_notebook_retravaill!J1157))</f>
        <v>0</v>
      </c>
      <c r="L1157" s="3">
        <f>IF([1]Result_notebook_retravaill!I1157&gt;[1]Result_notebook_retravaill!G1157,0,IF([1]Result_notebook_retravaill!I1157+[1]Result_notebook_retravaill!J1157&gt;[1]Result_notebook_retravaill!G1157,0,[1]Result_notebook_retravaill!M1157))</f>
        <v>73716.882405397235</v>
      </c>
    </row>
    <row r="1158" spans="1:12">
      <c r="A1158">
        <f>[1]Result_notebook_retravaill!A1158</f>
        <v>2037</v>
      </c>
      <c r="B1158" t="str">
        <f>[1]Result_notebook_retravaill!B1158</f>
        <v>Lithium</v>
      </c>
      <c r="C1158" t="str">
        <f>[1]Result_notebook_retravaill!C1158</f>
        <v>Canada Net-zero</v>
      </c>
      <c r="D1158" t="str">
        <f>[1]Result_notebook_retravaill!D1158</f>
        <v>Existing production</v>
      </c>
      <c r="E1158" t="str">
        <f>[1]Result_notebook_retravaill!E1158</f>
        <v>Current shares</v>
      </c>
      <c r="F1158" t="str">
        <f>[1]Result_notebook_retravaill!F1158</f>
        <v>Status Quo</v>
      </c>
      <c r="G1158">
        <f>[1]Result_notebook_retravaill!G1158</f>
        <v>73716.882405397235</v>
      </c>
      <c r="H1158" s="3">
        <f>IF([1]Result_notebook_retravaill!I1158&gt;[1]Result_notebook_retravaill!G1158,[1]Result_notebook_retravaill!I1158/[1]Result_notebook_retravaill!N1158,[1]Result_notebook_retravaill!H1158)</f>
        <v>39270</v>
      </c>
      <c r="I1158" s="3">
        <f>[1]Result_notebook_retravaill!K1158</f>
        <v>66039.832007710342</v>
      </c>
      <c r="J1158" s="3">
        <f>MIN(G1158,[1]Result_notebook_retravaill!I1158)</f>
        <v>27456.42439285322</v>
      </c>
      <c r="K1158" s="3">
        <f>IF([1]Result_notebook_retravaill!I1158&gt;[1]Result_notebook_retravaill!G1158,0,IF([1]Result_notebook_retravaill!I1158+[1]Result_notebook_retravaill!J1158&gt;[1]Result_notebook_retravaill!G1158,[1]Result_notebook_retravaill!G1158-[1]Result_notebook_retravaill!I1158,[1]Result_notebook_retravaill!J1158))</f>
        <v>3470.8603337338136</v>
      </c>
      <c r="L1158" s="3">
        <f>IF([1]Result_notebook_retravaill!I1158&gt;[1]Result_notebook_retravaill!G1158,0,IF([1]Result_notebook_retravaill!I1158+[1]Result_notebook_retravaill!J1158&gt;[1]Result_notebook_retravaill!G1158,0,[1]Result_notebook_retravaill!M1158))</f>
        <v>42789.597678810205</v>
      </c>
    </row>
    <row r="1159" spans="1:12">
      <c r="A1159">
        <f>[1]Result_notebook_retravaill!A1159</f>
        <v>2037</v>
      </c>
      <c r="B1159" t="str">
        <f>[1]Result_notebook_retravaill!B1159</f>
        <v>Lithium</v>
      </c>
      <c r="C1159" t="str">
        <f>[1]Result_notebook_retravaill!C1159</f>
        <v>Canada Net-zero</v>
      </c>
      <c r="D1159" t="str">
        <f>[1]Result_notebook_retravaill!D1159</f>
        <v>Production potential</v>
      </c>
      <c r="E1159" t="str">
        <f>[1]Result_notebook_retravaill!E1159</f>
        <v>Current shares</v>
      </c>
      <c r="F1159" t="str">
        <f>[1]Result_notebook_retravaill!F1159</f>
        <v>Expansion Extractive</v>
      </c>
      <c r="G1159">
        <f>[1]Result_notebook_retravaill!G1159</f>
        <v>73716.882405397235</v>
      </c>
      <c r="H1159" s="3">
        <f>IF([1]Result_notebook_retravaill!I1159&gt;[1]Result_notebook_retravaill!G1159,[1]Result_notebook_retravaill!I1159/[1]Result_notebook_retravaill!N1159,[1]Result_notebook_retravaill!H1159)</f>
        <v>230581.74490134718</v>
      </c>
      <c r="I1159" s="3">
        <f>[1]Result_notebook_retravaill!K1159</f>
        <v>0</v>
      </c>
      <c r="J1159" s="3">
        <f>MIN(G1159,[1]Result_notebook_retravaill!I1159)</f>
        <v>73716.882405397235</v>
      </c>
      <c r="K1159" s="3">
        <f>IF([1]Result_notebook_retravaill!I1159&gt;[1]Result_notebook_retravaill!G1159,0,IF([1]Result_notebook_retravaill!I1159+[1]Result_notebook_retravaill!J1159&gt;[1]Result_notebook_retravaill!G1159,[1]Result_notebook_retravaill!G1159-[1]Result_notebook_retravaill!I1159,[1]Result_notebook_retravaill!J1159))</f>
        <v>0</v>
      </c>
      <c r="L1159" s="3">
        <f>IF([1]Result_notebook_retravaill!I1159&gt;[1]Result_notebook_retravaill!G1159,0,IF([1]Result_notebook_retravaill!I1159+[1]Result_notebook_retravaill!J1159&gt;[1]Result_notebook_retravaill!G1159,0,[1]Result_notebook_retravaill!M1159))</f>
        <v>0</v>
      </c>
    </row>
    <row r="1160" spans="1:12">
      <c r="A1160">
        <f>[1]Result_notebook_retravaill!A1160</f>
        <v>2037</v>
      </c>
      <c r="B1160" t="str">
        <f>[1]Result_notebook_retravaill!B1160</f>
        <v>Lithium</v>
      </c>
      <c r="C1160" t="str">
        <f>[1]Result_notebook_retravaill!C1160</f>
        <v>Canada Net-zero</v>
      </c>
      <c r="D1160" t="str">
        <f>[1]Result_notebook_retravaill!D1160</f>
        <v>Production potential</v>
      </c>
      <c r="E1160" t="str">
        <f>[1]Result_notebook_retravaill!E1160</f>
        <v>Current shares</v>
      </c>
      <c r="F1160" t="str">
        <f>[1]Result_notebook_retravaill!F1160</f>
        <v>Expansion Extractive+Circularity</v>
      </c>
      <c r="G1160">
        <f>[1]Result_notebook_retravaill!G1160</f>
        <v>73716.882405397235</v>
      </c>
      <c r="H1160" s="3">
        <f>IF([1]Result_notebook_retravaill!I1160&gt;[1]Result_notebook_retravaill!G1160,[1]Result_notebook_retravaill!I1160/[1]Result_notebook_retravaill!N1160,[1]Result_notebook_retravaill!H1160)</f>
        <v>230581.74490134718</v>
      </c>
      <c r="I1160" s="3">
        <f>[1]Result_notebook_retravaill!K1160</f>
        <v>0</v>
      </c>
      <c r="J1160" s="3">
        <f>MIN(G1160,[1]Result_notebook_retravaill!I1160)</f>
        <v>73716.882405397235</v>
      </c>
      <c r="K1160" s="3">
        <f>IF([1]Result_notebook_retravaill!I1160&gt;[1]Result_notebook_retravaill!G1160,0,IF([1]Result_notebook_retravaill!I1160+[1]Result_notebook_retravaill!J1160&gt;[1]Result_notebook_retravaill!G1160,[1]Result_notebook_retravaill!G1160-[1]Result_notebook_retravaill!I1160,[1]Result_notebook_retravaill!J1160))</f>
        <v>0</v>
      </c>
      <c r="L1160" s="3">
        <f>IF([1]Result_notebook_retravaill!I1160&gt;[1]Result_notebook_retravaill!G1160,0,IF([1]Result_notebook_retravaill!I1160+[1]Result_notebook_retravaill!J1160&gt;[1]Result_notebook_retravaill!G1160,0,[1]Result_notebook_retravaill!M1160))</f>
        <v>0</v>
      </c>
    </row>
    <row r="1161" spans="1:12">
      <c r="A1161">
        <f>[1]Result_notebook_retravaill!A1161</f>
        <v>2037</v>
      </c>
      <c r="B1161" t="str">
        <f>[1]Result_notebook_retravaill!B1161</f>
        <v>Lithium</v>
      </c>
      <c r="C1161" t="str">
        <f>[1]Result_notebook_retravaill!C1161</f>
        <v>Canada Net-zero</v>
      </c>
      <c r="D1161" t="str">
        <f>[1]Result_notebook_retravaill!D1161</f>
        <v>Production potential</v>
      </c>
      <c r="E1161" t="str">
        <f>[1]Result_notebook_retravaill!E1161</f>
        <v>100% CAN</v>
      </c>
      <c r="F1161" t="str">
        <f>[1]Result_notebook_retravaill!F1161</f>
        <v>Integrated</v>
      </c>
      <c r="G1161">
        <f>[1]Result_notebook_retravaill!G1161</f>
        <v>73716.882405397235</v>
      </c>
      <c r="H1161" s="3">
        <f>IF([1]Result_notebook_retravaill!I1161&gt;[1]Result_notebook_retravaill!G1161,[1]Result_notebook_retravaill!I1161/[1]Result_notebook_retravaill!N1161,[1]Result_notebook_retravaill!H1161)</f>
        <v>230581.74490134718</v>
      </c>
      <c r="I1161" s="3">
        <f>[1]Result_notebook_retravaill!K1161</f>
        <v>0</v>
      </c>
      <c r="J1161" s="3">
        <f>MIN(G1161,[1]Result_notebook_retravaill!I1161)</f>
        <v>73716.882405397235</v>
      </c>
      <c r="K1161" s="3">
        <f>IF([1]Result_notebook_retravaill!I1161&gt;[1]Result_notebook_retravaill!G1161,0,IF([1]Result_notebook_retravaill!I1161+[1]Result_notebook_retravaill!J1161&gt;[1]Result_notebook_retravaill!G1161,[1]Result_notebook_retravaill!G1161-[1]Result_notebook_retravaill!I1161,[1]Result_notebook_retravaill!J1161))</f>
        <v>0</v>
      </c>
      <c r="L1161" s="3">
        <f>IF([1]Result_notebook_retravaill!I1161&gt;[1]Result_notebook_retravaill!G1161,0,IF([1]Result_notebook_retravaill!I1161+[1]Result_notebook_retravaill!J1161&gt;[1]Result_notebook_retravaill!G1161,0,[1]Result_notebook_retravaill!M1161))</f>
        <v>0</v>
      </c>
    </row>
    <row r="1162" spans="1:12">
      <c r="A1162">
        <f>[1]Result_notebook_retravaill!A1162</f>
        <v>2037</v>
      </c>
      <c r="B1162" t="str">
        <f>[1]Result_notebook_retravaill!B1162</f>
        <v>Lithium</v>
      </c>
      <c r="C1162" t="str">
        <f>[1]Result_notebook_retravaill!C1162</f>
        <v>Current Measures</v>
      </c>
      <c r="D1162" t="str">
        <f>[1]Result_notebook_retravaill!D1162</f>
        <v>Existing production</v>
      </c>
      <c r="E1162" t="str">
        <f>[1]Result_notebook_retravaill!E1162</f>
        <v>Current shares</v>
      </c>
      <c r="F1162" t="str">
        <f>[1]Result_notebook_retravaill!F1162</f>
        <v>NIMBY</v>
      </c>
      <c r="G1162">
        <f>[1]Result_notebook_retravaill!G1162</f>
        <v>27154.51542919709</v>
      </c>
      <c r="H1162" s="3">
        <f>IF([1]Result_notebook_retravaill!I1162&gt;[1]Result_notebook_retravaill!G1162,[1]Result_notebook_retravaill!I1162/[1]Result_notebook_retravaill!N1162,[1]Result_notebook_retravaill!H1162)</f>
        <v>0</v>
      </c>
      <c r="I1162" s="3">
        <f>[1]Result_notebook_retravaill!K1162</f>
        <v>38792.164898852992</v>
      </c>
      <c r="J1162" s="3">
        <f>MIN(G1162,[1]Result_notebook_retravaill!I1162)</f>
        <v>0</v>
      </c>
      <c r="K1162" s="3">
        <f>IF([1]Result_notebook_retravaill!I1162&gt;[1]Result_notebook_retravaill!G1162,0,IF([1]Result_notebook_retravaill!I1162+[1]Result_notebook_retravaill!J1162&gt;[1]Result_notebook_retravaill!G1162,[1]Result_notebook_retravaill!G1162-[1]Result_notebook_retravaill!I1162,[1]Result_notebook_retravaill!J1162))</f>
        <v>0</v>
      </c>
      <c r="L1162" s="3">
        <f>IF([1]Result_notebook_retravaill!I1162&gt;[1]Result_notebook_retravaill!G1162,0,IF([1]Result_notebook_retravaill!I1162+[1]Result_notebook_retravaill!J1162&gt;[1]Result_notebook_retravaill!G1162,0,[1]Result_notebook_retravaill!M1162))</f>
        <v>27154.51542919709</v>
      </c>
    </row>
    <row r="1163" spans="1:12">
      <c r="A1163">
        <f>[1]Result_notebook_retravaill!A1163</f>
        <v>2037</v>
      </c>
      <c r="B1163" t="str">
        <f>[1]Result_notebook_retravaill!B1163</f>
        <v>Lithium</v>
      </c>
      <c r="C1163" t="str">
        <f>[1]Result_notebook_retravaill!C1163</f>
        <v>Current Measures</v>
      </c>
      <c r="D1163" t="str">
        <f>[1]Result_notebook_retravaill!D1163</f>
        <v>Existing production</v>
      </c>
      <c r="E1163" t="str">
        <f>[1]Result_notebook_retravaill!E1163</f>
        <v>Current shares</v>
      </c>
      <c r="F1163" t="str">
        <f>[1]Result_notebook_retravaill!F1163</f>
        <v>Status Quo</v>
      </c>
      <c r="G1163">
        <f>[1]Result_notebook_retravaill!G1163</f>
        <v>27154.51542919709</v>
      </c>
      <c r="H1163" s="3">
        <f>IF([1]Result_notebook_retravaill!I1163&gt;[1]Result_notebook_retravaill!G1163,[1]Result_notebook_retravaill!I1163/[1]Result_notebook_retravaill!N1163,[1]Result_notebook_retravaill!H1163)</f>
        <v>34862.866088610928</v>
      </c>
      <c r="I1163" s="3">
        <f>[1]Result_notebook_retravaill!K1163</f>
        <v>0</v>
      </c>
      <c r="J1163" s="3">
        <f>MIN(G1163,[1]Result_notebook_retravaill!I1163)</f>
        <v>27154.51542919709</v>
      </c>
      <c r="K1163" s="3">
        <f>IF([1]Result_notebook_retravaill!I1163&gt;[1]Result_notebook_retravaill!G1163,0,IF([1]Result_notebook_retravaill!I1163+[1]Result_notebook_retravaill!J1163&gt;[1]Result_notebook_retravaill!G1163,[1]Result_notebook_retravaill!G1163-[1]Result_notebook_retravaill!I1163,[1]Result_notebook_retravaill!J1163))</f>
        <v>0</v>
      </c>
      <c r="L1163" s="3">
        <f>IF([1]Result_notebook_retravaill!I1163&gt;[1]Result_notebook_retravaill!G1163,0,IF([1]Result_notebook_retravaill!I1163+[1]Result_notebook_retravaill!J1163&gt;[1]Result_notebook_retravaill!G1163,0,[1]Result_notebook_retravaill!M1163))</f>
        <v>0</v>
      </c>
    </row>
    <row r="1164" spans="1:12">
      <c r="A1164">
        <f>[1]Result_notebook_retravaill!A1164</f>
        <v>2037</v>
      </c>
      <c r="B1164" t="str">
        <f>[1]Result_notebook_retravaill!B1164</f>
        <v>Lithium</v>
      </c>
      <c r="C1164" t="str">
        <f>[1]Result_notebook_retravaill!C1164</f>
        <v>Current Measures</v>
      </c>
      <c r="D1164" t="str">
        <f>[1]Result_notebook_retravaill!D1164</f>
        <v>Production potential</v>
      </c>
      <c r="E1164" t="str">
        <f>[1]Result_notebook_retravaill!E1164</f>
        <v>Current shares</v>
      </c>
      <c r="F1164" t="str">
        <f>[1]Result_notebook_retravaill!F1164</f>
        <v>Expansion Extractive</v>
      </c>
      <c r="G1164">
        <f>[1]Result_notebook_retravaill!G1164</f>
        <v>27154.51542919709</v>
      </c>
      <c r="H1164" s="3">
        <f>IF([1]Result_notebook_retravaill!I1164&gt;[1]Result_notebook_retravaill!G1164,[1]Result_notebook_retravaill!I1164/[1]Result_notebook_retravaill!N1164,[1]Result_notebook_retravaill!H1164)</f>
        <v>230581.74490134718</v>
      </c>
      <c r="I1164" s="3">
        <f>[1]Result_notebook_retravaill!K1164</f>
        <v>0</v>
      </c>
      <c r="J1164" s="3">
        <f>MIN(G1164,[1]Result_notebook_retravaill!I1164)</f>
        <v>27154.51542919709</v>
      </c>
      <c r="K1164" s="3">
        <f>IF([1]Result_notebook_retravaill!I1164&gt;[1]Result_notebook_retravaill!G1164,0,IF([1]Result_notebook_retravaill!I1164+[1]Result_notebook_retravaill!J1164&gt;[1]Result_notebook_retravaill!G1164,[1]Result_notebook_retravaill!G1164-[1]Result_notebook_retravaill!I1164,[1]Result_notebook_retravaill!J1164))</f>
        <v>0</v>
      </c>
      <c r="L1164" s="3">
        <f>IF([1]Result_notebook_retravaill!I1164&gt;[1]Result_notebook_retravaill!G1164,0,IF([1]Result_notebook_retravaill!I1164+[1]Result_notebook_retravaill!J1164&gt;[1]Result_notebook_retravaill!G1164,0,[1]Result_notebook_retravaill!M1164))</f>
        <v>0</v>
      </c>
    </row>
    <row r="1165" spans="1:12">
      <c r="A1165">
        <f>[1]Result_notebook_retravaill!A1165</f>
        <v>2037</v>
      </c>
      <c r="B1165" t="str">
        <f>[1]Result_notebook_retravaill!B1165</f>
        <v>Lithium</v>
      </c>
      <c r="C1165" t="str">
        <f>[1]Result_notebook_retravaill!C1165</f>
        <v>Current Measures</v>
      </c>
      <c r="D1165" t="str">
        <f>[1]Result_notebook_retravaill!D1165</f>
        <v>Production potential</v>
      </c>
      <c r="E1165" t="str">
        <f>[1]Result_notebook_retravaill!E1165</f>
        <v>Current shares</v>
      </c>
      <c r="F1165" t="str">
        <f>[1]Result_notebook_retravaill!F1165</f>
        <v>Expansion Extractive+Circularity</v>
      </c>
      <c r="G1165">
        <f>[1]Result_notebook_retravaill!G1165</f>
        <v>27154.51542919709</v>
      </c>
      <c r="H1165" s="3">
        <f>IF([1]Result_notebook_retravaill!I1165&gt;[1]Result_notebook_retravaill!G1165,[1]Result_notebook_retravaill!I1165/[1]Result_notebook_retravaill!N1165,[1]Result_notebook_retravaill!H1165)</f>
        <v>230581.74490134718</v>
      </c>
      <c r="I1165" s="3">
        <f>[1]Result_notebook_retravaill!K1165</f>
        <v>0</v>
      </c>
      <c r="J1165" s="3">
        <f>MIN(G1165,[1]Result_notebook_retravaill!I1165)</f>
        <v>27154.51542919709</v>
      </c>
      <c r="K1165" s="3">
        <f>IF([1]Result_notebook_retravaill!I1165&gt;[1]Result_notebook_retravaill!G1165,0,IF([1]Result_notebook_retravaill!I1165+[1]Result_notebook_retravaill!J1165&gt;[1]Result_notebook_retravaill!G1165,[1]Result_notebook_retravaill!G1165-[1]Result_notebook_retravaill!I1165,[1]Result_notebook_retravaill!J1165))</f>
        <v>0</v>
      </c>
      <c r="L1165" s="3">
        <f>IF([1]Result_notebook_retravaill!I1165&gt;[1]Result_notebook_retravaill!G1165,0,IF([1]Result_notebook_retravaill!I1165+[1]Result_notebook_retravaill!J1165&gt;[1]Result_notebook_retravaill!G1165,0,[1]Result_notebook_retravaill!M1165))</f>
        <v>0</v>
      </c>
    </row>
    <row r="1166" spans="1:12">
      <c r="A1166">
        <f>[1]Result_notebook_retravaill!A1166</f>
        <v>2037</v>
      </c>
      <c r="B1166" t="str">
        <f>[1]Result_notebook_retravaill!B1166</f>
        <v>Lithium</v>
      </c>
      <c r="C1166" t="str">
        <f>[1]Result_notebook_retravaill!C1166</f>
        <v>Current Measures</v>
      </c>
      <c r="D1166" t="str">
        <f>[1]Result_notebook_retravaill!D1166</f>
        <v>Production potential</v>
      </c>
      <c r="E1166" t="str">
        <f>[1]Result_notebook_retravaill!E1166</f>
        <v>100% CAN</v>
      </c>
      <c r="F1166" t="str">
        <f>[1]Result_notebook_retravaill!F1166</f>
        <v>Integrated</v>
      </c>
      <c r="G1166">
        <f>[1]Result_notebook_retravaill!G1166</f>
        <v>27154.51542919709</v>
      </c>
      <c r="H1166" s="3">
        <f>IF([1]Result_notebook_retravaill!I1166&gt;[1]Result_notebook_retravaill!G1166,[1]Result_notebook_retravaill!I1166/[1]Result_notebook_retravaill!N1166,[1]Result_notebook_retravaill!H1166)</f>
        <v>230581.74490134718</v>
      </c>
      <c r="I1166" s="3">
        <f>[1]Result_notebook_retravaill!K1166</f>
        <v>0</v>
      </c>
      <c r="J1166" s="3">
        <f>MIN(G1166,[1]Result_notebook_retravaill!I1166)</f>
        <v>27154.51542919709</v>
      </c>
      <c r="K1166" s="3">
        <f>IF([1]Result_notebook_retravaill!I1166&gt;[1]Result_notebook_retravaill!G1166,0,IF([1]Result_notebook_retravaill!I1166+[1]Result_notebook_retravaill!J1166&gt;[1]Result_notebook_retravaill!G1166,[1]Result_notebook_retravaill!G1166-[1]Result_notebook_retravaill!I1166,[1]Result_notebook_retravaill!J1166))</f>
        <v>0</v>
      </c>
      <c r="L1166" s="3">
        <f>IF([1]Result_notebook_retravaill!I1166&gt;[1]Result_notebook_retravaill!G1166,0,IF([1]Result_notebook_retravaill!I1166+[1]Result_notebook_retravaill!J1166&gt;[1]Result_notebook_retravaill!G1166,0,[1]Result_notebook_retravaill!M1166))</f>
        <v>0</v>
      </c>
    </row>
    <row r="1167" spans="1:12">
      <c r="A1167">
        <f>[1]Result_notebook_retravaill!A1167</f>
        <v>2037</v>
      </c>
      <c r="B1167" t="str">
        <f>[1]Result_notebook_retravaill!B1167</f>
        <v>Lithium</v>
      </c>
      <c r="C1167" t="str">
        <f>[1]Result_notebook_retravaill!C1167</f>
        <v>Global Net-zero</v>
      </c>
      <c r="D1167" t="str">
        <f>[1]Result_notebook_retravaill!D1167</f>
        <v>Existing production</v>
      </c>
      <c r="E1167" t="str">
        <f>[1]Result_notebook_retravaill!E1167</f>
        <v>Current shares</v>
      </c>
      <c r="F1167" t="str">
        <f>[1]Result_notebook_retravaill!F1167</f>
        <v>NIMBY</v>
      </c>
      <c r="G1167">
        <f>[1]Result_notebook_retravaill!G1167</f>
        <v>70294.070325969486</v>
      </c>
      <c r="H1167" s="3">
        <f>IF([1]Result_notebook_retravaill!I1167&gt;[1]Result_notebook_retravaill!G1167,[1]Result_notebook_retravaill!I1167/[1]Result_notebook_retravaill!N1167,[1]Result_notebook_retravaill!H1167)</f>
        <v>0</v>
      </c>
      <c r="I1167" s="3">
        <f>[1]Result_notebook_retravaill!K1167</f>
        <v>100420.10046567069</v>
      </c>
      <c r="J1167" s="3">
        <f>MIN(G1167,[1]Result_notebook_retravaill!I1167)</f>
        <v>0</v>
      </c>
      <c r="K1167" s="3">
        <f>IF([1]Result_notebook_retravaill!I1167&gt;[1]Result_notebook_retravaill!G1167,0,IF([1]Result_notebook_retravaill!I1167+[1]Result_notebook_retravaill!J1167&gt;[1]Result_notebook_retravaill!G1167,[1]Result_notebook_retravaill!G1167-[1]Result_notebook_retravaill!I1167,[1]Result_notebook_retravaill!J1167))</f>
        <v>0</v>
      </c>
      <c r="L1167" s="3">
        <f>IF([1]Result_notebook_retravaill!I1167&gt;[1]Result_notebook_retravaill!G1167,0,IF([1]Result_notebook_retravaill!I1167+[1]Result_notebook_retravaill!J1167&gt;[1]Result_notebook_retravaill!G1167,0,[1]Result_notebook_retravaill!M1167))</f>
        <v>70294.070325969486</v>
      </c>
    </row>
    <row r="1168" spans="1:12">
      <c r="A1168">
        <f>[1]Result_notebook_retravaill!A1168</f>
        <v>2037</v>
      </c>
      <c r="B1168" t="str">
        <f>[1]Result_notebook_retravaill!B1168</f>
        <v>Lithium</v>
      </c>
      <c r="C1168" t="str">
        <f>[1]Result_notebook_retravaill!C1168</f>
        <v>Global Net-zero</v>
      </c>
      <c r="D1168" t="str">
        <f>[1]Result_notebook_retravaill!D1168</f>
        <v>Existing production</v>
      </c>
      <c r="E1168" t="str">
        <f>[1]Result_notebook_retravaill!E1168</f>
        <v>Current shares</v>
      </c>
      <c r="F1168" t="str">
        <f>[1]Result_notebook_retravaill!F1168</f>
        <v>Status Quo</v>
      </c>
      <c r="G1168">
        <f>[1]Result_notebook_retravaill!G1168</f>
        <v>70294.070325969486</v>
      </c>
      <c r="H1168" s="3">
        <f>IF([1]Result_notebook_retravaill!I1168&gt;[1]Result_notebook_retravaill!G1168,[1]Result_notebook_retravaill!I1168/[1]Result_notebook_retravaill!N1168,[1]Result_notebook_retravaill!H1168)</f>
        <v>39270</v>
      </c>
      <c r="I1168" s="3">
        <f>[1]Result_notebook_retravaill!K1168</f>
        <v>61150.100465670686</v>
      </c>
      <c r="J1168" s="3">
        <f>MIN(G1168,[1]Result_notebook_retravaill!I1168)</f>
        <v>27456.42439285322</v>
      </c>
      <c r="K1168" s="3">
        <f>IF([1]Result_notebook_retravaill!I1168&gt;[1]Result_notebook_retravaill!G1168,0,IF([1]Result_notebook_retravaill!I1168+[1]Result_notebook_retravaill!J1168&gt;[1]Result_notebook_retravaill!G1168,[1]Result_notebook_retravaill!G1168-[1]Result_notebook_retravaill!I1168,[1]Result_notebook_retravaill!J1168))</f>
        <v>3470.8603337338136</v>
      </c>
      <c r="L1168" s="3">
        <f>IF([1]Result_notebook_retravaill!I1168&gt;[1]Result_notebook_retravaill!G1168,0,IF([1]Result_notebook_retravaill!I1168+[1]Result_notebook_retravaill!J1168&gt;[1]Result_notebook_retravaill!G1168,0,[1]Result_notebook_retravaill!M1168))</f>
        <v>39366.785599382456</v>
      </c>
    </row>
    <row r="1169" spans="1:12">
      <c r="A1169">
        <f>[1]Result_notebook_retravaill!A1169</f>
        <v>2037</v>
      </c>
      <c r="B1169" t="str">
        <f>[1]Result_notebook_retravaill!B1169</f>
        <v>Lithium</v>
      </c>
      <c r="C1169" t="str">
        <f>[1]Result_notebook_retravaill!C1169</f>
        <v>Global Net-zero</v>
      </c>
      <c r="D1169" t="str">
        <f>[1]Result_notebook_retravaill!D1169</f>
        <v>Production potential</v>
      </c>
      <c r="E1169" t="str">
        <f>[1]Result_notebook_retravaill!E1169</f>
        <v>Current shares</v>
      </c>
      <c r="F1169" t="str">
        <f>[1]Result_notebook_retravaill!F1169</f>
        <v>Expansion Extractive</v>
      </c>
      <c r="G1169">
        <f>[1]Result_notebook_retravaill!G1169</f>
        <v>70294.070325969486</v>
      </c>
      <c r="H1169" s="3">
        <f>IF([1]Result_notebook_retravaill!I1169&gt;[1]Result_notebook_retravaill!G1169,[1]Result_notebook_retravaill!I1169/[1]Result_notebook_retravaill!N1169,[1]Result_notebook_retravaill!H1169)</f>
        <v>230581.74490134718</v>
      </c>
      <c r="I1169" s="3">
        <f>[1]Result_notebook_retravaill!K1169</f>
        <v>0</v>
      </c>
      <c r="J1169" s="3">
        <f>MIN(G1169,[1]Result_notebook_retravaill!I1169)</f>
        <v>70294.070325969486</v>
      </c>
      <c r="K1169" s="3">
        <f>IF([1]Result_notebook_retravaill!I1169&gt;[1]Result_notebook_retravaill!G1169,0,IF([1]Result_notebook_retravaill!I1169+[1]Result_notebook_retravaill!J1169&gt;[1]Result_notebook_retravaill!G1169,[1]Result_notebook_retravaill!G1169-[1]Result_notebook_retravaill!I1169,[1]Result_notebook_retravaill!J1169))</f>
        <v>0</v>
      </c>
      <c r="L1169" s="3">
        <f>IF([1]Result_notebook_retravaill!I1169&gt;[1]Result_notebook_retravaill!G1169,0,IF([1]Result_notebook_retravaill!I1169+[1]Result_notebook_retravaill!J1169&gt;[1]Result_notebook_retravaill!G1169,0,[1]Result_notebook_retravaill!M1169))</f>
        <v>0</v>
      </c>
    </row>
    <row r="1170" spans="1:12">
      <c r="A1170">
        <f>[1]Result_notebook_retravaill!A1170</f>
        <v>2037</v>
      </c>
      <c r="B1170" t="str">
        <f>[1]Result_notebook_retravaill!B1170</f>
        <v>Lithium</v>
      </c>
      <c r="C1170" t="str">
        <f>[1]Result_notebook_retravaill!C1170</f>
        <v>Global Net-zero</v>
      </c>
      <c r="D1170" t="str">
        <f>[1]Result_notebook_retravaill!D1170</f>
        <v>Production potential</v>
      </c>
      <c r="E1170" t="str">
        <f>[1]Result_notebook_retravaill!E1170</f>
        <v>Current shares</v>
      </c>
      <c r="F1170" t="str">
        <f>[1]Result_notebook_retravaill!F1170</f>
        <v>Expansion Extractive+Circularity</v>
      </c>
      <c r="G1170">
        <f>[1]Result_notebook_retravaill!G1170</f>
        <v>70294.070325969486</v>
      </c>
      <c r="H1170" s="3">
        <f>IF([1]Result_notebook_retravaill!I1170&gt;[1]Result_notebook_retravaill!G1170,[1]Result_notebook_retravaill!I1170/[1]Result_notebook_retravaill!N1170,[1]Result_notebook_retravaill!H1170)</f>
        <v>230581.74490134718</v>
      </c>
      <c r="I1170" s="3">
        <f>[1]Result_notebook_retravaill!K1170</f>
        <v>0</v>
      </c>
      <c r="J1170" s="3">
        <f>MIN(G1170,[1]Result_notebook_retravaill!I1170)</f>
        <v>70294.070325969486</v>
      </c>
      <c r="K1170" s="3">
        <f>IF([1]Result_notebook_retravaill!I1170&gt;[1]Result_notebook_retravaill!G1170,0,IF([1]Result_notebook_retravaill!I1170+[1]Result_notebook_retravaill!J1170&gt;[1]Result_notebook_retravaill!G1170,[1]Result_notebook_retravaill!G1170-[1]Result_notebook_retravaill!I1170,[1]Result_notebook_retravaill!J1170))</f>
        <v>0</v>
      </c>
      <c r="L1170" s="3">
        <f>IF([1]Result_notebook_retravaill!I1170&gt;[1]Result_notebook_retravaill!G1170,0,IF([1]Result_notebook_retravaill!I1170+[1]Result_notebook_retravaill!J1170&gt;[1]Result_notebook_retravaill!G1170,0,[1]Result_notebook_retravaill!M1170))</f>
        <v>0</v>
      </c>
    </row>
    <row r="1171" spans="1:12">
      <c r="A1171">
        <f>[1]Result_notebook_retravaill!A1171</f>
        <v>2037</v>
      </c>
      <c r="B1171" t="str">
        <f>[1]Result_notebook_retravaill!B1171</f>
        <v>Lithium</v>
      </c>
      <c r="C1171" t="str">
        <f>[1]Result_notebook_retravaill!C1171</f>
        <v>Global Net-zero</v>
      </c>
      <c r="D1171" t="str">
        <f>[1]Result_notebook_retravaill!D1171</f>
        <v>Production potential</v>
      </c>
      <c r="E1171" t="str">
        <f>[1]Result_notebook_retravaill!E1171</f>
        <v>100% CAN</v>
      </c>
      <c r="F1171" t="str">
        <f>[1]Result_notebook_retravaill!F1171</f>
        <v>Integrated</v>
      </c>
      <c r="G1171">
        <f>[1]Result_notebook_retravaill!G1171</f>
        <v>70294.070325969486</v>
      </c>
      <c r="H1171" s="3">
        <f>IF([1]Result_notebook_retravaill!I1171&gt;[1]Result_notebook_retravaill!G1171,[1]Result_notebook_retravaill!I1171/[1]Result_notebook_retravaill!N1171,[1]Result_notebook_retravaill!H1171)</f>
        <v>230581.74490134718</v>
      </c>
      <c r="I1171" s="3">
        <f>[1]Result_notebook_retravaill!K1171</f>
        <v>0</v>
      </c>
      <c r="J1171" s="3">
        <f>MIN(G1171,[1]Result_notebook_retravaill!I1171)</f>
        <v>70294.070325969486</v>
      </c>
      <c r="K1171" s="3">
        <f>IF([1]Result_notebook_retravaill!I1171&gt;[1]Result_notebook_retravaill!G1171,0,IF([1]Result_notebook_retravaill!I1171+[1]Result_notebook_retravaill!J1171&gt;[1]Result_notebook_retravaill!G1171,[1]Result_notebook_retravaill!G1171-[1]Result_notebook_retravaill!I1171,[1]Result_notebook_retravaill!J1171))</f>
        <v>0</v>
      </c>
      <c r="L1171" s="3">
        <f>IF([1]Result_notebook_retravaill!I1171&gt;[1]Result_notebook_retravaill!G1171,0,IF([1]Result_notebook_retravaill!I1171+[1]Result_notebook_retravaill!J1171&gt;[1]Result_notebook_retravaill!G1171,0,[1]Result_notebook_retravaill!M1171))</f>
        <v>0</v>
      </c>
    </row>
    <row r="1172" spans="1:12">
      <c r="A1172">
        <f>[1]Result_notebook_retravaill!A1172</f>
        <v>2038</v>
      </c>
      <c r="B1172" t="str">
        <f>[1]Result_notebook_retravaill!B1172</f>
        <v>Cobalt</v>
      </c>
      <c r="C1172" t="str">
        <f>[1]Result_notebook_retravaill!C1172</f>
        <v>Canada Net-zero</v>
      </c>
      <c r="D1172" t="str">
        <f>[1]Result_notebook_retravaill!D1172</f>
        <v>Existing production</v>
      </c>
      <c r="E1172" t="str">
        <f>[1]Result_notebook_retravaill!E1172</f>
        <v>Current shares</v>
      </c>
      <c r="F1172" t="str">
        <f>[1]Result_notebook_retravaill!F1172</f>
        <v>NIMBY</v>
      </c>
      <c r="G1172">
        <f>[1]Result_notebook_retravaill!G1172</f>
        <v>217957.7461959504</v>
      </c>
      <c r="H1172" s="3">
        <f>IF([1]Result_notebook_retravaill!I1172&gt;[1]Result_notebook_retravaill!G1172,[1]Result_notebook_retravaill!I1172/[1]Result_notebook_retravaill!N1172,[1]Result_notebook_retravaill!H1172)</f>
        <v>0</v>
      </c>
      <c r="I1172" s="3">
        <f>[1]Result_notebook_retravaill!K1172</f>
        <v>495358.51408170548</v>
      </c>
      <c r="J1172" s="3">
        <f>MIN(G1172,[1]Result_notebook_retravaill!I1172)</f>
        <v>0</v>
      </c>
      <c r="K1172" s="3">
        <f>IF([1]Result_notebook_retravaill!I1172&gt;[1]Result_notebook_retravaill!G1172,0,IF([1]Result_notebook_retravaill!I1172+[1]Result_notebook_retravaill!J1172&gt;[1]Result_notebook_retravaill!G1172,[1]Result_notebook_retravaill!G1172-[1]Result_notebook_retravaill!I1172,[1]Result_notebook_retravaill!J1172))</f>
        <v>0</v>
      </c>
      <c r="L1172" s="3">
        <f>IF([1]Result_notebook_retravaill!I1172&gt;[1]Result_notebook_retravaill!G1172,0,IF([1]Result_notebook_retravaill!I1172+[1]Result_notebook_retravaill!J1172&gt;[1]Result_notebook_retravaill!G1172,0,[1]Result_notebook_retravaill!M1172))</f>
        <v>217957.7461959504</v>
      </c>
    </row>
    <row r="1173" spans="1:12">
      <c r="A1173">
        <f>[1]Result_notebook_retravaill!A1173</f>
        <v>2038</v>
      </c>
      <c r="B1173" t="str">
        <f>[1]Result_notebook_retravaill!B1173</f>
        <v>Cobalt</v>
      </c>
      <c r="C1173" t="str">
        <f>[1]Result_notebook_retravaill!C1173</f>
        <v>Canada Net-zero</v>
      </c>
      <c r="D1173" t="str">
        <f>[1]Result_notebook_retravaill!D1173</f>
        <v>Existing production</v>
      </c>
      <c r="E1173" t="str">
        <f>[1]Result_notebook_retravaill!E1173</f>
        <v>Current shares</v>
      </c>
      <c r="F1173" t="str">
        <f>[1]Result_notebook_retravaill!F1173</f>
        <v>Status Quo</v>
      </c>
      <c r="G1173">
        <f>[1]Result_notebook_retravaill!G1173</f>
        <v>217957.7461959504</v>
      </c>
      <c r="H1173" s="3">
        <f>IF([1]Result_notebook_retravaill!I1173&gt;[1]Result_notebook_retravaill!G1173,[1]Result_notebook_retravaill!I1173/[1]Result_notebook_retravaill!N1173,[1]Result_notebook_retravaill!H1173)</f>
        <v>261</v>
      </c>
      <c r="I1173" s="3">
        <f>[1]Result_notebook_retravaill!K1173</f>
        <v>495097.51408170548</v>
      </c>
      <c r="J1173" s="3">
        <f>MIN(G1173,[1]Result_notebook_retravaill!I1173)</f>
        <v>110.71145720551</v>
      </c>
      <c r="K1173" s="3">
        <f>IF([1]Result_notebook_retravaill!I1173&gt;[1]Result_notebook_retravaill!G1173,0,IF([1]Result_notebook_retravaill!I1173+[1]Result_notebook_retravaill!J1173&gt;[1]Result_notebook_retravaill!G1173,[1]Result_notebook_retravaill!G1173-[1]Result_notebook_retravaill!I1173,[1]Result_notebook_retravaill!J1173))</f>
        <v>3.9579964387912554</v>
      </c>
      <c r="L1173" s="3">
        <f>IF([1]Result_notebook_retravaill!I1173&gt;[1]Result_notebook_retravaill!G1173,0,IF([1]Result_notebook_retravaill!I1173+[1]Result_notebook_retravaill!J1173&gt;[1]Result_notebook_retravaill!G1173,0,[1]Result_notebook_retravaill!M1173))</f>
        <v>217843.07674230612</v>
      </c>
    </row>
    <row r="1174" spans="1:12">
      <c r="A1174">
        <f>[1]Result_notebook_retravaill!A1174</f>
        <v>2038</v>
      </c>
      <c r="B1174" t="str">
        <f>[1]Result_notebook_retravaill!B1174</f>
        <v>Cobalt</v>
      </c>
      <c r="C1174" t="str">
        <f>[1]Result_notebook_retravaill!C1174</f>
        <v>Canada Net-zero</v>
      </c>
      <c r="D1174" t="str">
        <f>[1]Result_notebook_retravaill!D1174</f>
        <v>Production potential</v>
      </c>
      <c r="E1174" t="str">
        <f>[1]Result_notebook_retravaill!E1174</f>
        <v>Current shares</v>
      </c>
      <c r="F1174" t="str">
        <f>[1]Result_notebook_retravaill!F1174</f>
        <v>Expansion Extractive</v>
      </c>
      <c r="G1174">
        <f>[1]Result_notebook_retravaill!G1174</f>
        <v>217957.7461959504</v>
      </c>
      <c r="H1174" s="3">
        <f>IF([1]Result_notebook_retravaill!I1174&gt;[1]Result_notebook_retravaill!G1174,[1]Result_notebook_retravaill!I1174/[1]Result_notebook_retravaill!N1174,[1]Result_notebook_retravaill!H1174)</f>
        <v>23517.33411697366</v>
      </c>
      <c r="I1174" s="3">
        <f>[1]Result_notebook_retravaill!K1174</f>
        <v>471841.1799647318</v>
      </c>
      <c r="J1174" s="3">
        <f>MIN(G1174,[1]Result_notebook_retravaill!I1174)</f>
        <v>9975.625784210768</v>
      </c>
      <c r="K1174" s="3">
        <f>IF([1]Result_notebook_retravaill!I1174&gt;[1]Result_notebook_retravaill!G1174,0,IF([1]Result_notebook_retravaill!I1174+[1]Result_notebook_retravaill!J1174&gt;[1]Result_notebook_retravaill!G1174,[1]Result_notebook_retravaill!G1174-[1]Result_notebook_retravaill!I1174,[1]Result_notebook_retravaill!J1174))</f>
        <v>356.63419419480852</v>
      </c>
      <c r="L1174" s="3">
        <f>IF([1]Result_notebook_retravaill!I1174&gt;[1]Result_notebook_retravaill!G1174,0,IF([1]Result_notebook_retravaill!I1174+[1]Result_notebook_retravaill!J1174&gt;[1]Result_notebook_retravaill!G1174,0,[1]Result_notebook_retravaill!M1174))</f>
        <v>207625.48621754479</v>
      </c>
    </row>
    <row r="1175" spans="1:12">
      <c r="A1175">
        <f>[1]Result_notebook_retravaill!A1175</f>
        <v>2038</v>
      </c>
      <c r="B1175" t="str">
        <f>[1]Result_notebook_retravaill!B1175</f>
        <v>Cobalt</v>
      </c>
      <c r="C1175" t="str">
        <f>[1]Result_notebook_retravaill!C1175</f>
        <v>Canada Net-zero</v>
      </c>
      <c r="D1175" t="str">
        <f>[1]Result_notebook_retravaill!D1175</f>
        <v>Production potential</v>
      </c>
      <c r="E1175" t="str">
        <f>[1]Result_notebook_retravaill!E1175</f>
        <v>Current shares</v>
      </c>
      <c r="F1175" t="str">
        <f>[1]Result_notebook_retravaill!F1175</f>
        <v>Expansion Extractive+Circularity</v>
      </c>
      <c r="G1175">
        <f>[1]Result_notebook_retravaill!G1175</f>
        <v>217957.7461959504</v>
      </c>
      <c r="H1175" s="3">
        <f>IF([1]Result_notebook_retravaill!I1175&gt;[1]Result_notebook_retravaill!G1175,[1]Result_notebook_retravaill!I1175/[1]Result_notebook_retravaill!N1175,[1]Result_notebook_retravaill!H1175)</f>
        <v>23517.33411697366</v>
      </c>
      <c r="I1175" s="3">
        <f>[1]Result_notebook_retravaill!K1175</f>
        <v>471841.1799647318</v>
      </c>
      <c r="J1175" s="3">
        <f>MIN(G1175,[1]Result_notebook_retravaill!I1175)</f>
        <v>9975.625784210768</v>
      </c>
      <c r="K1175" s="3">
        <f>IF([1]Result_notebook_retravaill!I1175&gt;[1]Result_notebook_retravaill!G1175,0,IF([1]Result_notebook_retravaill!I1175+[1]Result_notebook_retravaill!J1175&gt;[1]Result_notebook_retravaill!G1175,[1]Result_notebook_retravaill!G1175-[1]Result_notebook_retravaill!I1175,[1]Result_notebook_retravaill!J1175))</f>
        <v>356.63419419480852</v>
      </c>
      <c r="L1175" s="3">
        <f>IF([1]Result_notebook_retravaill!I1175&gt;[1]Result_notebook_retravaill!G1175,0,IF([1]Result_notebook_retravaill!I1175+[1]Result_notebook_retravaill!J1175&gt;[1]Result_notebook_retravaill!G1175,0,[1]Result_notebook_retravaill!M1175))</f>
        <v>207625.48621754479</v>
      </c>
    </row>
    <row r="1176" spans="1:12">
      <c r="A1176">
        <f>[1]Result_notebook_retravaill!A1176</f>
        <v>2038</v>
      </c>
      <c r="B1176" t="str">
        <f>[1]Result_notebook_retravaill!B1176</f>
        <v>Cobalt</v>
      </c>
      <c r="C1176" t="str">
        <f>[1]Result_notebook_retravaill!C1176</f>
        <v>Canada Net-zero</v>
      </c>
      <c r="D1176" t="str">
        <f>[1]Result_notebook_retravaill!D1176</f>
        <v>Production potential</v>
      </c>
      <c r="E1176" t="str">
        <f>[1]Result_notebook_retravaill!E1176</f>
        <v>100% CAN</v>
      </c>
      <c r="F1176" t="str">
        <f>[1]Result_notebook_retravaill!F1176</f>
        <v>Integrated</v>
      </c>
      <c r="G1176">
        <f>[1]Result_notebook_retravaill!G1176</f>
        <v>217957.7461959504</v>
      </c>
      <c r="H1176" s="3">
        <f>IF([1]Result_notebook_retravaill!I1176&gt;[1]Result_notebook_retravaill!G1176,[1]Result_notebook_retravaill!I1176/[1]Result_notebook_retravaill!N1176,[1]Result_notebook_retravaill!H1176)</f>
        <v>23517.33411697366</v>
      </c>
      <c r="I1176" s="3">
        <f>[1]Result_notebook_retravaill!K1176</f>
        <v>471841.1799647318</v>
      </c>
      <c r="J1176" s="3">
        <f>MIN(G1176,[1]Result_notebook_retravaill!I1176)</f>
        <v>10332.259978405589</v>
      </c>
      <c r="K1176" s="3">
        <f>IF([1]Result_notebook_retravaill!I1176&gt;[1]Result_notebook_retravaill!G1176,0,IF([1]Result_notebook_retravaill!I1176+[1]Result_notebook_retravaill!J1176&gt;[1]Result_notebook_retravaill!G1176,[1]Result_notebook_retravaill!G1176-[1]Result_notebook_retravaill!I1176,[1]Result_notebook_retravaill!J1176))</f>
        <v>0</v>
      </c>
      <c r="L1176" s="3">
        <f>IF([1]Result_notebook_retravaill!I1176&gt;[1]Result_notebook_retravaill!G1176,0,IF([1]Result_notebook_retravaill!I1176+[1]Result_notebook_retravaill!J1176&gt;[1]Result_notebook_retravaill!G1176,0,[1]Result_notebook_retravaill!M1176))</f>
        <v>207625.48621754479</v>
      </c>
    </row>
    <row r="1177" spans="1:12">
      <c r="A1177">
        <f>[1]Result_notebook_retravaill!A1177</f>
        <v>2038</v>
      </c>
      <c r="B1177" t="str">
        <f>[1]Result_notebook_retravaill!B1177</f>
        <v>Cobalt</v>
      </c>
      <c r="C1177" t="str">
        <f>[1]Result_notebook_retravaill!C1177</f>
        <v>Current Measures</v>
      </c>
      <c r="D1177" t="str">
        <f>[1]Result_notebook_retravaill!D1177</f>
        <v>Existing production</v>
      </c>
      <c r="E1177" t="str">
        <f>[1]Result_notebook_retravaill!E1177</f>
        <v>Current shares</v>
      </c>
      <c r="F1177" t="str">
        <f>[1]Result_notebook_retravaill!F1177</f>
        <v>NIMBY</v>
      </c>
      <c r="G1177">
        <f>[1]Result_notebook_retravaill!G1177</f>
        <v>81581.249659793117</v>
      </c>
      <c r="H1177" s="3">
        <f>IF([1]Result_notebook_retravaill!I1177&gt;[1]Result_notebook_retravaill!G1177,[1]Result_notebook_retravaill!I1177/[1]Result_notebook_retravaill!N1177,[1]Result_notebook_retravaill!H1177)</f>
        <v>0</v>
      </c>
      <c r="I1177" s="3">
        <f>[1]Result_notebook_retravaill!K1177</f>
        <v>185411.93104498429</v>
      </c>
      <c r="J1177" s="3">
        <f>MIN(G1177,[1]Result_notebook_retravaill!I1177)</f>
        <v>0</v>
      </c>
      <c r="K1177" s="3">
        <f>IF([1]Result_notebook_retravaill!I1177&gt;[1]Result_notebook_retravaill!G1177,0,IF([1]Result_notebook_retravaill!I1177+[1]Result_notebook_retravaill!J1177&gt;[1]Result_notebook_retravaill!G1177,[1]Result_notebook_retravaill!G1177-[1]Result_notebook_retravaill!I1177,[1]Result_notebook_retravaill!J1177))</f>
        <v>0</v>
      </c>
      <c r="L1177" s="3">
        <f>IF([1]Result_notebook_retravaill!I1177&gt;[1]Result_notebook_retravaill!G1177,0,IF([1]Result_notebook_retravaill!I1177+[1]Result_notebook_retravaill!J1177&gt;[1]Result_notebook_retravaill!G1177,0,[1]Result_notebook_retravaill!M1177))</f>
        <v>81581.249659793117</v>
      </c>
    </row>
    <row r="1178" spans="1:12">
      <c r="A1178">
        <f>[1]Result_notebook_retravaill!A1178</f>
        <v>2038</v>
      </c>
      <c r="B1178" t="str">
        <f>[1]Result_notebook_retravaill!B1178</f>
        <v>Cobalt</v>
      </c>
      <c r="C1178" t="str">
        <f>[1]Result_notebook_retravaill!C1178</f>
        <v>Current Measures</v>
      </c>
      <c r="D1178" t="str">
        <f>[1]Result_notebook_retravaill!D1178</f>
        <v>Existing production</v>
      </c>
      <c r="E1178" t="str">
        <f>[1]Result_notebook_retravaill!E1178</f>
        <v>Current shares</v>
      </c>
      <c r="F1178" t="str">
        <f>[1]Result_notebook_retravaill!F1178</f>
        <v>Status Quo</v>
      </c>
      <c r="G1178">
        <f>[1]Result_notebook_retravaill!G1178</f>
        <v>81581.249659793117</v>
      </c>
      <c r="H1178" s="3">
        <f>IF([1]Result_notebook_retravaill!I1178&gt;[1]Result_notebook_retravaill!G1178,[1]Result_notebook_retravaill!I1178/[1]Result_notebook_retravaill!N1178,[1]Result_notebook_retravaill!H1178)</f>
        <v>261</v>
      </c>
      <c r="I1178" s="3">
        <f>[1]Result_notebook_retravaill!K1178</f>
        <v>185150.93104498429</v>
      </c>
      <c r="J1178" s="3">
        <f>MIN(G1178,[1]Result_notebook_retravaill!I1178)</f>
        <v>110.71145720551</v>
      </c>
      <c r="K1178" s="3">
        <f>IF([1]Result_notebook_retravaill!I1178&gt;[1]Result_notebook_retravaill!G1178,0,IF([1]Result_notebook_retravaill!I1178+[1]Result_notebook_retravaill!J1178&gt;[1]Result_notebook_retravaill!G1178,[1]Result_notebook_retravaill!G1178-[1]Result_notebook_retravaill!I1178,[1]Result_notebook_retravaill!J1178))</f>
        <v>3.9579964387912554</v>
      </c>
      <c r="L1178" s="3">
        <f>IF([1]Result_notebook_retravaill!I1178&gt;[1]Result_notebook_retravaill!G1178,0,IF([1]Result_notebook_retravaill!I1178+[1]Result_notebook_retravaill!J1178&gt;[1]Result_notebook_retravaill!G1178,0,[1]Result_notebook_retravaill!M1178))</f>
        <v>81466.580206148807</v>
      </c>
    </row>
    <row r="1179" spans="1:12">
      <c r="A1179">
        <f>[1]Result_notebook_retravaill!A1179</f>
        <v>2038</v>
      </c>
      <c r="B1179" t="str">
        <f>[1]Result_notebook_retravaill!B1179</f>
        <v>Cobalt</v>
      </c>
      <c r="C1179" t="str">
        <f>[1]Result_notebook_retravaill!C1179</f>
        <v>Current Measures</v>
      </c>
      <c r="D1179" t="str">
        <f>[1]Result_notebook_retravaill!D1179</f>
        <v>Production potential</v>
      </c>
      <c r="E1179" t="str">
        <f>[1]Result_notebook_retravaill!E1179</f>
        <v>Current shares</v>
      </c>
      <c r="F1179" t="str">
        <f>[1]Result_notebook_retravaill!F1179</f>
        <v>Expansion Extractive</v>
      </c>
      <c r="G1179">
        <f>[1]Result_notebook_retravaill!G1179</f>
        <v>81581.249659793117</v>
      </c>
      <c r="H1179" s="3">
        <f>IF([1]Result_notebook_retravaill!I1179&gt;[1]Result_notebook_retravaill!G1179,[1]Result_notebook_retravaill!I1179/[1]Result_notebook_retravaill!N1179,[1]Result_notebook_retravaill!H1179)</f>
        <v>23517.33411697366</v>
      </c>
      <c r="I1179" s="3">
        <f>[1]Result_notebook_retravaill!K1179</f>
        <v>161894.59692801069</v>
      </c>
      <c r="J1179" s="3">
        <f>MIN(G1179,[1]Result_notebook_retravaill!I1179)</f>
        <v>9975.625784210768</v>
      </c>
      <c r="K1179" s="3">
        <f>IF([1]Result_notebook_retravaill!I1179&gt;[1]Result_notebook_retravaill!G1179,0,IF([1]Result_notebook_retravaill!I1179+[1]Result_notebook_retravaill!J1179&gt;[1]Result_notebook_retravaill!G1179,[1]Result_notebook_retravaill!G1179-[1]Result_notebook_retravaill!I1179,[1]Result_notebook_retravaill!J1179))</f>
        <v>356.63419419480852</v>
      </c>
      <c r="L1179" s="3">
        <f>IF([1]Result_notebook_retravaill!I1179&gt;[1]Result_notebook_retravaill!G1179,0,IF([1]Result_notebook_retravaill!I1179+[1]Result_notebook_retravaill!J1179&gt;[1]Result_notebook_retravaill!G1179,0,[1]Result_notebook_retravaill!M1179))</f>
        <v>71248.989681387538</v>
      </c>
    </row>
    <row r="1180" spans="1:12">
      <c r="A1180">
        <f>[1]Result_notebook_retravaill!A1180</f>
        <v>2038</v>
      </c>
      <c r="B1180" t="str">
        <f>[1]Result_notebook_retravaill!B1180</f>
        <v>Cobalt</v>
      </c>
      <c r="C1180" t="str">
        <f>[1]Result_notebook_retravaill!C1180</f>
        <v>Current Measures</v>
      </c>
      <c r="D1180" t="str">
        <f>[1]Result_notebook_retravaill!D1180</f>
        <v>Production potential</v>
      </c>
      <c r="E1180" t="str">
        <f>[1]Result_notebook_retravaill!E1180</f>
        <v>Current shares</v>
      </c>
      <c r="F1180" t="str">
        <f>[1]Result_notebook_retravaill!F1180</f>
        <v>Expansion Extractive+Circularity</v>
      </c>
      <c r="G1180">
        <f>[1]Result_notebook_retravaill!G1180</f>
        <v>81581.249659793117</v>
      </c>
      <c r="H1180" s="3">
        <f>IF([1]Result_notebook_retravaill!I1180&gt;[1]Result_notebook_retravaill!G1180,[1]Result_notebook_retravaill!I1180/[1]Result_notebook_retravaill!N1180,[1]Result_notebook_retravaill!H1180)</f>
        <v>23517.33411697366</v>
      </c>
      <c r="I1180" s="3">
        <f>[1]Result_notebook_retravaill!K1180</f>
        <v>161894.59692801069</v>
      </c>
      <c r="J1180" s="3">
        <f>MIN(G1180,[1]Result_notebook_retravaill!I1180)</f>
        <v>9975.625784210768</v>
      </c>
      <c r="K1180" s="3">
        <f>IF([1]Result_notebook_retravaill!I1180&gt;[1]Result_notebook_retravaill!G1180,0,IF([1]Result_notebook_retravaill!I1180+[1]Result_notebook_retravaill!J1180&gt;[1]Result_notebook_retravaill!G1180,[1]Result_notebook_retravaill!G1180-[1]Result_notebook_retravaill!I1180,[1]Result_notebook_retravaill!J1180))</f>
        <v>356.63419419480852</v>
      </c>
      <c r="L1180" s="3">
        <f>IF([1]Result_notebook_retravaill!I1180&gt;[1]Result_notebook_retravaill!G1180,0,IF([1]Result_notebook_retravaill!I1180+[1]Result_notebook_retravaill!J1180&gt;[1]Result_notebook_retravaill!G1180,0,[1]Result_notebook_retravaill!M1180))</f>
        <v>71248.989681387538</v>
      </c>
    </row>
    <row r="1181" spans="1:12">
      <c r="A1181">
        <f>[1]Result_notebook_retravaill!A1181</f>
        <v>2038</v>
      </c>
      <c r="B1181" t="str">
        <f>[1]Result_notebook_retravaill!B1181</f>
        <v>Cobalt</v>
      </c>
      <c r="C1181" t="str">
        <f>[1]Result_notebook_retravaill!C1181</f>
        <v>Current Measures</v>
      </c>
      <c r="D1181" t="str">
        <f>[1]Result_notebook_retravaill!D1181</f>
        <v>Production potential</v>
      </c>
      <c r="E1181" t="str">
        <f>[1]Result_notebook_retravaill!E1181</f>
        <v>100% CAN</v>
      </c>
      <c r="F1181" t="str">
        <f>[1]Result_notebook_retravaill!F1181</f>
        <v>Integrated</v>
      </c>
      <c r="G1181">
        <f>[1]Result_notebook_retravaill!G1181</f>
        <v>81581.249659793117</v>
      </c>
      <c r="H1181" s="3">
        <f>IF([1]Result_notebook_retravaill!I1181&gt;[1]Result_notebook_retravaill!G1181,[1]Result_notebook_retravaill!I1181/[1]Result_notebook_retravaill!N1181,[1]Result_notebook_retravaill!H1181)</f>
        <v>23517.33411697366</v>
      </c>
      <c r="I1181" s="3">
        <f>[1]Result_notebook_retravaill!K1181</f>
        <v>161894.59692801069</v>
      </c>
      <c r="J1181" s="3">
        <f>MIN(G1181,[1]Result_notebook_retravaill!I1181)</f>
        <v>10332.259978405589</v>
      </c>
      <c r="K1181" s="3">
        <f>IF([1]Result_notebook_retravaill!I1181&gt;[1]Result_notebook_retravaill!G1181,0,IF([1]Result_notebook_retravaill!I1181+[1]Result_notebook_retravaill!J1181&gt;[1]Result_notebook_retravaill!G1181,[1]Result_notebook_retravaill!G1181-[1]Result_notebook_retravaill!I1181,[1]Result_notebook_retravaill!J1181))</f>
        <v>0</v>
      </c>
      <c r="L1181" s="3">
        <f>IF([1]Result_notebook_retravaill!I1181&gt;[1]Result_notebook_retravaill!G1181,0,IF([1]Result_notebook_retravaill!I1181+[1]Result_notebook_retravaill!J1181&gt;[1]Result_notebook_retravaill!G1181,0,[1]Result_notebook_retravaill!M1181))</f>
        <v>71248.989681387524</v>
      </c>
    </row>
    <row r="1182" spans="1:12">
      <c r="A1182">
        <f>[1]Result_notebook_retravaill!A1182</f>
        <v>2038</v>
      </c>
      <c r="B1182" t="str">
        <f>[1]Result_notebook_retravaill!B1182</f>
        <v>Cobalt</v>
      </c>
      <c r="C1182" t="str">
        <f>[1]Result_notebook_retravaill!C1182</f>
        <v>Global Net-zero</v>
      </c>
      <c r="D1182" t="str">
        <f>[1]Result_notebook_retravaill!D1182</f>
        <v>Existing production</v>
      </c>
      <c r="E1182" t="str">
        <f>[1]Result_notebook_retravaill!E1182</f>
        <v>Current shares</v>
      </c>
      <c r="F1182" t="str">
        <f>[1]Result_notebook_retravaill!F1182</f>
        <v>NIMBY</v>
      </c>
      <c r="G1182">
        <f>[1]Result_notebook_retravaill!G1182</f>
        <v>207519.60886178669</v>
      </c>
      <c r="H1182" s="3">
        <f>IF([1]Result_notebook_retravaill!I1182&gt;[1]Result_notebook_retravaill!G1182,[1]Result_notebook_retravaill!I1182/[1]Result_notebook_retravaill!N1182,[1]Result_notebook_retravaill!H1182)</f>
        <v>0</v>
      </c>
      <c r="I1182" s="3">
        <f>[1]Result_notebook_retravaill!K1182</f>
        <v>471635.47468587878</v>
      </c>
      <c r="J1182" s="3">
        <f>MIN(G1182,[1]Result_notebook_retravaill!I1182)</f>
        <v>0</v>
      </c>
      <c r="K1182" s="3">
        <f>IF([1]Result_notebook_retravaill!I1182&gt;[1]Result_notebook_retravaill!G1182,0,IF([1]Result_notebook_retravaill!I1182+[1]Result_notebook_retravaill!J1182&gt;[1]Result_notebook_retravaill!G1182,[1]Result_notebook_retravaill!G1182-[1]Result_notebook_retravaill!I1182,[1]Result_notebook_retravaill!J1182))</f>
        <v>0</v>
      </c>
      <c r="L1182" s="3">
        <f>IF([1]Result_notebook_retravaill!I1182&gt;[1]Result_notebook_retravaill!G1182,0,IF([1]Result_notebook_retravaill!I1182+[1]Result_notebook_retravaill!J1182&gt;[1]Result_notebook_retravaill!G1182,0,[1]Result_notebook_retravaill!M1182))</f>
        <v>207519.60886178669</v>
      </c>
    </row>
    <row r="1183" spans="1:12">
      <c r="A1183">
        <f>[1]Result_notebook_retravaill!A1183</f>
        <v>2038</v>
      </c>
      <c r="B1183" t="str">
        <f>[1]Result_notebook_retravaill!B1183</f>
        <v>Cobalt</v>
      </c>
      <c r="C1183" t="str">
        <f>[1]Result_notebook_retravaill!C1183</f>
        <v>Global Net-zero</v>
      </c>
      <c r="D1183" t="str">
        <f>[1]Result_notebook_retravaill!D1183</f>
        <v>Existing production</v>
      </c>
      <c r="E1183" t="str">
        <f>[1]Result_notebook_retravaill!E1183</f>
        <v>Current shares</v>
      </c>
      <c r="F1183" t="str">
        <f>[1]Result_notebook_retravaill!F1183</f>
        <v>Status Quo</v>
      </c>
      <c r="G1183">
        <f>[1]Result_notebook_retravaill!G1183</f>
        <v>207519.60886178669</v>
      </c>
      <c r="H1183" s="3">
        <f>IF([1]Result_notebook_retravaill!I1183&gt;[1]Result_notebook_retravaill!G1183,[1]Result_notebook_retravaill!I1183/[1]Result_notebook_retravaill!N1183,[1]Result_notebook_retravaill!H1183)</f>
        <v>261</v>
      </c>
      <c r="I1183" s="3">
        <f>[1]Result_notebook_retravaill!K1183</f>
        <v>471374.47468587878</v>
      </c>
      <c r="J1183" s="3">
        <f>MIN(G1183,[1]Result_notebook_retravaill!I1183)</f>
        <v>110.71145720551</v>
      </c>
      <c r="K1183" s="3">
        <f>IF([1]Result_notebook_retravaill!I1183&gt;[1]Result_notebook_retravaill!G1183,0,IF([1]Result_notebook_retravaill!I1183+[1]Result_notebook_retravaill!J1183&gt;[1]Result_notebook_retravaill!G1183,[1]Result_notebook_retravaill!G1183-[1]Result_notebook_retravaill!I1183,[1]Result_notebook_retravaill!J1183))</f>
        <v>3.9579964387912554</v>
      </c>
      <c r="L1183" s="3">
        <f>IF([1]Result_notebook_retravaill!I1183&gt;[1]Result_notebook_retravaill!G1183,0,IF([1]Result_notebook_retravaill!I1183+[1]Result_notebook_retravaill!J1183&gt;[1]Result_notebook_retravaill!G1183,0,[1]Result_notebook_retravaill!M1183))</f>
        <v>207404.93940814241</v>
      </c>
    </row>
    <row r="1184" spans="1:12">
      <c r="A1184">
        <f>[1]Result_notebook_retravaill!A1184</f>
        <v>2038</v>
      </c>
      <c r="B1184" t="str">
        <f>[1]Result_notebook_retravaill!B1184</f>
        <v>Cobalt</v>
      </c>
      <c r="C1184" t="str">
        <f>[1]Result_notebook_retravaill!C1184</f>
        <v>Global Net-zero</v>
      </c>
      <c r="D1184" t="str">
        <f>[1]Result_notebook_retravaill!D1184</f>
        <v>Production potential</v>
      </c>
      <c r="E1184" t="str">
        <f>[1]Result_notebook_retravaill!E1184</f>
        <v>Current shares</v>
      </c>
      <c r="F1184" t="str">
        <f>[1]Result_notebook_retravaill!F1184</f>
        <v>Expansion Extractive</v>
      </c>
      <c r="G1184">
        <f>[1]Result_notebook_retravaill!G1184</f>
        <v>207519.60886178669</v>
      </c>
      <c r="H1184" s="3">
        <f>IF([1]Result_notebook_retravaill!I1184&gt;[1]Result_notebook_retravaill!G1184,[1]Result_notebook_retravaill!I1184/[1]Result_notebook_retravaill!N1184,[1]Result_notebook_retravaill!H1184)</f>
        <v>23517.33411697366</v>
      </c>
      <c r="I1184" s="3">
        <f>[1]Result_notebook_retravaill!K1184</f>
        <v>448118.14056890522</v>
      </c>
      <c r="J1184" s="3">
        <f>MIN(G1184,[1]Result_notebook_retravaill!I1184)</f>
        <v>9975.625784210768</v>
      </c>
      <c r="K1184" s="3">
        <f>IF([1]Result_notebook_retravaill!I1184&gt;[1]Result_notebook_retravaill!G1184,0,IF([1]Result_notebook_retravaill!I1184+[1]Result_notebook_retravaill!J1184&gt;[1]Result_notebook_retravaill!G1184,[1]Result_notebook_retravaill!G1184-[1]Result_notebook_retravaill!I1184,[1]Result_notebook_retravaill!J1184))</f>
        <v>356.63419419480852</v>
      </c>
      <c r="L1184" s="3">
        <f>IF([1]Result_notebook_retravaill!I1184&gt;[1]Result_notebook_retravaill!G1184,0,IF([1]Result_notebook_retravaill!I1184+[1]Result_notebook_retravaill!J1184&gt;[1]Result_notebook_retravaill!G1184,0,[1]Result_notebook_retravaill!M1184))</f>
        <v>197187.34888338108</v>
      </c>
    </row>
    <row r="1185" spans="1:12">
      <c r="A1185">
        <f>[1]Result_notebook_retravaill!A1185</f>
        <v>2038</v>
      </c>
      <c r="B1185" t="str">
        <f>[1]Result_notebook_retravaill!B1185</f>
        <v>Cobalt</v>
      </c>
      <c r="C1185" t="str">
        <f>[1]Result_notebook_retravaill!C1185</f>
        <v>Global Net-zero</v>
      </c>
      <c r="D1185" t="str">
        <f>[1]Result_notebook_retravaill!D1185</f>
        <v>Production potential</v>
      </c>
      <c r="E1185" t="str">
        <f>[1]Result_notebook_retravaill!E1185</f>
        <v>Current shares</v>
      </c>
      <c r="F1185" t="str">
        <f>[1]Result_notebook_retravaill!F1185</f>
        <v>Expansion Extractive+Circularity</v>
      </c>
      <c r="G1185">
        <f>[1]Result_notebook_retravaill!G1185</f>
        <v>207519.60886178669</v>
      </c>
      <c r="H1185" s="3">
        <f>IF([1]Result_notebook_retravaill!I1185&gt;[1]Result_notebook_retravaill!G1185,[1]Result_notebook_retravaill!I1185/[1]Result_notebook_retravaill!N1185,[1]Result_notebook_retravaill!H1185)</f>
        <v>23517.33411697366</v>
      </c>
      <c r="I1185" s="3">
        <f>[1]Result_notebook_retravaill!K1185</f>
        <v>448118.14056890522</v>
      </c>
      <c r="J1185" s="3">
        <f>MIN(G1185,[1]Result_notebook_retravaill!I1185)</f>
        <v>9975.625784210768</v>
      </c>
      <c r="K1185" s="3">
        <f>IF([1]Result_notebook_retravaill!I1185&gt;[1]Result_notebook_retravaill!G1185,0,IF([1]Result_notebook_retravaill!I1185+[1]Result_notebook_retravaill!J1185&gt;[1]Result_notebook_retravaill!G1185,[1]Result_notebook_retravaill!G1185-[1]Result_notebook_retravaill!I1185,[1]Result_notebook_retravaill!J1185))</f>
        <v>356.63419419480852</v>
      </c>
      <c r="L1185" s="3">
        <f>IF([1]Result_notebook_retravaill!I1185&gt;[1]Result_notebook_retravaill!G1185,0,IF([1]Result_notebook_retravaill!I1185+[1]Result_notebook_retravaill!J1185&gt;[1]Result_notebook_retravaill!G1185,0,[1]Result_notebook_retravaill!M1185))</f>
        <v>197187.34888338108</v>
      </c>
    </row>
    <row r="1186" spans="1:12">
      <c r="A1186">
        <f>[1]Result_notebook_retravaill!A1186</f>
        <v>2038</v>
      </c>
      <c r="B1186" t="str">
        <f>[1]Result_notebook_retravaill!B1186</f>
        <v>Cobalt</v>
      </c>
      <c r="C1186" t="str">
        <f>[1]Result_notebook_retravaill!C1186</f>
        <v>Global Net-zero</v>
      </c>
      <c r="D1186" t="str">
        <f>[1]Result_notebook_retravaill!D1186</f>
        <v>Production potential</v>
      </c>
      <c r="E1186" t="str">
        <f>[1]Result_notebook_retravaill!E1186</f>
        <v>100% CAN</v>
      </c>
      <c r="F1186" t="str">
        <f>[1]Result_notebook_retravaill!F1186</f>
        <v>Integrated</v>
      </c>
      <c r="G1186">
        <f>[1]Result_notebook_retravaill!G1186</f>
        <v>207519.60886178669</v>
      </c>
      <c r="H1186" s="3">
        <f>IF([1]Result_notebook_retravaill!I1186&gt;[1]Result_notebook_retravaill!G1186,[1]Result_notebook_retravaill!I1186/[1]Result_notebook_retravaill!N1186,[1]Result_notebook_retravaill!H1186)</f>
        <v>23517.33411697366</v>
      </c>
      <c r="I1186" s="3">
        <f>[1]Result_notebook_retravaill!K1186</f>
        <v>448118.14056890522</v>
      </c>
      <c r="J1186" s="3">
        <f>MIN(G1186,[1]Result_notebook_retravaill!I1186)</f>
        <v>10332.259978405589</v>
      </c>
      <c r="K1186" s="3">
        <f>IF([1]Result_notebook_retravaill!I1186&gt;[1]Result_notebook_retravaill!G1186,0,IF([1]Result_notebook_retravaill!I1186+[1]Result_notebook_retravaill!J1186&gt;[1]Result_notebook_retravaill!G1186,[1]Result_notebook_retravaill!G1186-[1]Result_notebook_retravaill!I1186,[1]Result_notebook_retravaill!J1186))</f>
        <v>0</v>
      </c>
      <c r="L1186" s="3">
        <f>IF([1]Result_notebook_retravaill!I1186&gt;[1]Result_notebook_retravaill!G1186,0,IF([1]Result_notebook_retravaill!I1186+[1]Result_notebook_retravaill!J1186&gt;[1]Result_notebook_retravaill!G1186,0,[1]Result_notebook_retravaill!M1186))</f>
        <v>197187.34888338111</v>
      </c>
    </row>
    <row r="1187" spans="1:12">
      <c r="A1187">
        <f>[1]Result_notebook_retravaill!A1187</f>
        <v>2038</v>
      </c>
      <c r="B1187" t="str">
        <f>[1]Result_notebook_retravaill!B1187</f>
        <v>Copper</v>
      </c>
      <c r="C1187" t="str">
        <f>[1]Result_notebook_retravaill!C1187</f>
        <v>Canada Net-zero</v>
      </c>
      <c r="D1187" t="str">
        <f>[1]Result_notebook_retravaill!D1187</f>
        <v>Existing production</v>
      </c>
      <c r="E1187" t="str">
        <f>[1]Result_notebook_retravaill!E1187</f>
        <v>Current shares</v>
      </c>
      <c r="F1187" t="str">
        <f>[1]Result_notebook_retravaill!F1187</f>
        <v>NIMBY</v>
      </c>
      <c r="G1187">
        <f>[1]Result_notebook_retravaill!G1187</f>
        <v>1525342.03872534</v>
      </c>
      <c r="H1187" s="3">
        <f>IF([1]Result_notebook_retravaill!I1187&gt;[1]Result_notebook_retravaill!G1187,[1]Result_notebook_retravaill!I1187/[1]Result_notebook_retravaill!N1187,[1]Result_notebook_retravaill!H1187)</f>
        <v>0</v>
      </c>
      <c r="I1187" s="3">
        <f>[1]Result_notebook_retravaill!K1187</f>
        <v>1837761.492440169</v>
      </c>
      <c r="J1187" s="3">
        <f>MIN(G1187,[1]Result_notebook_retravaill!I1187)</f>
        <v>0</v>
      </c>
      <c r="K1187" s="3">
        <f>IF([1]Result_notebook_retravaill!I1187&gt;[1]Result_notebook_retravaill!G1187,0,IF([1]Result_notebook_retravaill!I1187+[1]Result_notebook_retravaill!J1187&gt;[1]Result_notebook_retravaill!G1187,[1]Result_notebook_retravaill!G1187-[1]Result_notebook_retravaill!I1187,[1]Result_notebook_retravaill!J1187))</f>
        <v>0</v>
      </c>
      <c r="L1187" s="3">
        <f>IF([1]Result_notebook_retravaill!I1187&gt;[1]Result_notebook_retravaill!G1187,0,IF([1]Result_notebook_retravaill!I1187+[1]Result_notebook_retravaill!J1187&gt;[1]Result_notebook_retravaill!G1187,0,[1]Result_notebook_retravaill!M1187))</f>
        <v>1525342.03872534</v>
      </c>
    </row>
    <row r="1188" spans="1:12">
      <c r="A1188">
        <f>[1]Result_notebook_retravaill!A1188</f>
        <v>2038</v>
      </c>
      <c r="B1188" t="str">
        <f>[1]Result_notebook_retravaill!B1188</f>
        <v>Copper</v>
      </c>
      <c r="C1188" t="str">
        <f>[1]Result_notebook_retravaill!C1188</f>
        <v>Canada Net-zero</v>
      </c>
      <c r="D1188" t="str">
        <f>[1]Result_notebook_retravaill!D1188</f>
        <v>Existing production</v>
      </c>
      <c r="E1188" t="str">
        <f>[1]Result_notebook_retravaill!E1188</f>
        <v>Current shares</v>
      </c>
      <c r="F1188" t="str">
        <f>[1]Result_notebook_retravaill!F1188</f>
        <v>Status Quo</v>
      </c>
      <c r="G1188">
        <f>[1]Result_notebook_retravaill!G1188</f>
        <v>1525342.03872534</v>
      </c>
      <c r="H1188" s="3">
        <f>IF([1]Result_notebook_retravaill!I1188&gt;[1]Result_notebook_retravaill!G1188,[1]Result_notebook_retravaill!I1188/[1]Result_notebook_retravaill!N1188,[1]Result_notebook_retravaill!H1188)</f>
        <v>149633</v>
      </c>
      <c r="I1188" s="3">
        <f>[1]Result_notebook_retravaill!K1188</f>
        <v>1688128.492440169</v>
      </c>
      <c r="J1188" s="3">
        <f>MIN(G1188,[1]Result_notebook_retravaill!I1188)</f>
        <v>78648.404734026277</v>
      </c>
      <c r="K1188" s="3">
        <f>IF([1]Result_notebook_retravaill!I1188&gt;[1]Result_notebook_retravaill!G1188,0,IF([1]Result_notebook_retravaill!I1188+[1]Result_notebook_retravaill!J1188&gt;[1]Result_notebook_retravaill!G1188,[1]Result_notebook_retravaill!G1188-[1]Result_notebook_retravaill!I1188,[1]Result_notebook_retravaill!J1188))</f>
        <v>46257.107977838066</v>
      </c>
      <c r="L1188" s="3">
        <f>IF([1]Result_notebook_retravaill!I1188&gt;[1]Result_notebook_retravaill!G1188,0,IF([1]Result_notebook_retravaill!I1188+[1]Result_notebook_retravaill!J1188&gt;[1]Result_notebook_retravaill!G1188,0,[1]Result_notebook_retravaill!M1188))</f>
        <v>1400436.5260134761</v>
      </c>
    </row>
    <row r="1189" spans="1:12">
      <c r="A1189">
        <f>[1]Result_notebook_retravaill!A1189</f>
        <v>2038</v>
      </c>
      <c r="B1189" t="str">
        <f>[1]Result_notebook_retravaill!B1189</f>
        <v>Copper</v>
      </c>
      <c r="C1189" t="str">
        <f>[1]Result_notebook_retravaill!C1189</f>
        <v>Canada Net-zero</v>
      </c>
      <c r="D1189" t="str">
        <f>[1]Result_notebook_retravaill!D1189</f>
        <v>Production potential</v>
      </c>
      <c r="E1189" t="str">
        <f>[1]Result_notebook_retravaill!E1189</f>
        <v>Current shares</v>
      </c>
      <c r="F1189" t="str">
        <f>[1]Result_notebook_retravaill!F1189</f>
        <v>Expansion Extractive</v>
      </c>
      <c r="G1189">
        <f>[1]Result_notebook_retravaill!G1189</f>
        <v>1525342.03872534</v>
      </c>
      <c r="H1189" s="3">
        <f>IF([1]Result_notebook_retravaill!I1189&gt;[1]Result_notebook_retravaill!G1189,[1]Result_notebook_retravaill!I1189/[1]Result_notebook_retravaill!N1189,[1]Result_notebook_retravaill!H1189)</f>
        <v>1022879.179171539</v>
      </c>
      <c r="I1189" s="3">
        <f>[1]Result_notebook_retravaill!K1189</f>
        <v>814882.31326862948</v>
      </c>
      <c r="J1189" s="3">
        <f>MIN(G1189,[1]Result_notebook_retravaill!I1189)</f>
        <v>537634.18281723827</v>
      </c>
      <c r="K1189" s="3">
        <f>IF([1]Result_notebook_retravaill!I1189&gt;[1]Result_notebook_retravaill!G1189,0,IF([1]Result_notebook_retravaill!I1189+[1]Result_notebook_retravaill!J1189&gt;[1]Result_notebook_retravaill!G1189,[1]Result_notebook_retravaill!G1189-[1]Result_notebook_retravaill!I1189,[1]Result_notebook_retravaill!J1189))</f>
        <v>316209.87776239344</v>
      </c>
      <c r="L1189" s="3">
        <f>IF([1]Result_notebook_retravaill!I1189&gt;[1]Result_notebook_retravaill!G1189,0,IF([1]Result_notebook_retravaill!I1189+[1]Result_notebook_retravaill!J1189&gt;[1]Result_notebook_retravaill!G1189,0,[1]Result_notebook_retravaill!M1189))</f>
        <v>671497.97814570833</v>
      </c>
    </row>
    <row r="1190" spans="1:12">
      <c r="A1190">
        <f>[1]Result_notebook_retravaill!A1190</f>
        <v>2038</v>
      </c>
      <c r="B1190" t="str">
        <f>[1]Result_notebook_retravaill!B1190</f>
        <v>Copper</v>
      </c>
      <c r="C1190" t="str">
        <f>[1]Result_notebook_retravaill!C1190</f>
        <v>Canada Net-zero</v>
      </c>
      <c r="D1190" t="str">
        <f>[1]Result_notebook_retravaill!D1190</f>
        <v>Production potential</v>
      </c>
      <c r="E1190" t="str">
        <f>[1]Result_notebook_retravaill!E1190</f>
        <v>Current shares</v>
      </c>
      <c r="F1190" t="str">
        <f>[1]Result_notebook_retravaill!F1190</f>
        <v>Expansion Extractive+Circularity</v>
      </c>
      <c r="G1190">
        <f>[1]Result_notebook_retravaill!G1190</f>
        <v>1525342.03872534</v>
      </c>
      <c r="H1190" s="3">
        <f>IF([1]Result_notebook_retravaill!I1190&gt;[1]Result_notebook_retravaill!G1190,[1]Result_notebook_retravaill!I1190/[1]Result_notebook_retravaill!N1190,[1]Result_notebook_retravaill!H1190)</f>
        <v>1022879.179171539</v>
      </c>
      <c r="I1190" s="3">
        <f>[1]Result_notebook_retravaill!K1190</f>
        <v>814882.31326862948</v>
      </c>
      <c r="J1190" s="3">
        <f>MIN(G1190,[1]Result_notebook_retravaill!I1190)</f>
        <v>537634.18281723827</v>
      </c>
      <c r="K1190" s="3">
        <f>IF([1]Result_notebook_retravaill!I1190&gt;[1]Result_notebook_retravaill!G1190,0,IF([1]Result_notebook_retravaill!I1190+[1]Result_notebook_retravaill!J1190&gt;[1]Result_notebook_retravaill!G1190,[1]Result_notebook_retravaill!G1190-[1]Result_notebook_retravaill!I1190,[1]Result_notebook_retravaill!J1190))</f>
        <v>316209.87776239344</v>
      </c>
      <c r="L1190" s="3">
        <f>IF([1]Result_notebook_retravaill!I1190&gt;[1]Result_notebook_retravaill!G1190,0,IF([1]Result_notebook_retravaill!I1190+[1]Result_notebook_retravaill!J1190&gt;[1]Result_notebook_retravaill!G1190,0,[1]Result_notebook_retravaill!M1190))</f>
        <v>671497.97814570833</v>
      </c>
    </row>
    <row r="1191" spans="1:12">
      <c r="A1191">
        <f>[1]Result_notebook_retravaill!A1191</f>
        <v>2038</v>
      </c>
      <c r="B1191" t="str">
        <f>[1]Result_notebook_retravaill!B1191</f>
        <v>Copper</v>
      </c>
      <c r="C1191" t="str">
        <f>[1]Result_notebook_retravaill!C1191</f>
        <v>Canada Net-zero</v>
      </c>
      <c r="D1191" t="str">
        <f>[1]Result_notebook_retravaill!D1191</f>
        <v>Production potential</v>
      </c>
      <c r="E1191" t="str">
        <f>[1]Result_notebook_retravaill!E1191</f>
        <v>100% CAN</v>
      </c>
      <c r="F1191" t="str">
        <f>[1]Result_notebook_retravaill!F1191</f>
        <v>Integrated</v>
      </c>
      <c r="G1191">
        <f>[1]Result_notebook_retravaill!G1191</f>
        <v>1525342.03872534</v>
      </c>
      <c r="H1191" s="3">
        <f>IF([1]Result_notebook_retravaill!I1191&gt;[1]Result_notebook_retravaill!G1191,[1]Result_notebook_retravaill!I1191/[1]Result_notebook_retravaill!N1191,[1]Result_notebook_retravaill!H1191)</f>
        <v>1022879.179171539</v>
      </c>
      <c r="I1191" s="3">
        <f>[1]Result_notebook_retravaill!K1191</f>
        <v>814882.31326862948</v>
      </c>
      <c r="J1191" s="3">
        <f>MIN(G1191,[1]Result_notebook_retravaill!I1191)</f>
        <v>853844.06057963229</v>
      </c>
      <c r="K1191" s="3">
        <f>IF([1]Result_notebook_retravaill!I1191&gt;[1]Result_notebook_retravaill!G1191,0,IF([1]Result_notebook_retravaill!I1191+[1]Result_notebook_retravaill!J1191&gt;[1]Result_notebook_retravaill!G1191,[1]Result_notebook_retravaill!G1191-[1]Result_notebook_retravaill!I1191,[1]Result_notebook_retravaill!J1191))</f>
        <v>0</v>
      </c>
      <c r="L1191" s="3">
        <f>IF([1]Result_notebook_retravaill!I1191&gt;[1]Result_notebook_retravaill!G1191,0,IF([1]Result_notebook_retravaill!I1191+[1]Result_notebook_retravaill!J1191&gt;[1]Result_notebook_retravaill!G1191,0,[1]Result_notebook_retravaill!M1191))</f>
        <v>671497.97814570775</v>
      </c>
    </row>
    <row r="1192" spans="1:12">
      <c r="A1192">
        <f>[1]Result_notebook_retravaill!A1192</f>
        <v>2038</v>
      </c>
      <c r="B1192" t="str">
        <f>[1]Result_notebook_retravaill!B1192</f>
        <v>Copper</v>
      </c>
      <c r="C1192" t="str">
        <f>[1]Result_notebook_retravaill!C1192</f>
        <v>Current Measures</v>
      </c>
      <c r="D1192" t="str">
        <f>[1]Result_notebook_retravaill!D1192</f>
        <v>Existing production</v>
      </c>
      <c r="E1192" t="str">
        <f>[1]Result_notebook_retravaill!E1192</f>
        <v>Current shares</v>
      </c>
      <c r="F1192" t="str">
        <f>[1]Result_notebook_retravaill!F1192</f>
        <v>NIMBY</v>
      </c>
      <c r="G1192">
        <f>[1]Result_notebook_retravaill!G1192</f>
        <v>1157581.233594937</v>
      </c>
      <c r="H1192" s="3">
        <f>IF([1]Result_notebook_retravaill!I1192&gt;[1]Result_notebook_retravaill!G1192,[1]Result_notebook_retravaill!I1192/[1]Result_notebook_retravaill!N1192,[1]Result_notebook_retravaill!H1192)</f>
        <v>0</v>
      </c>
      <c r="I1192" s="3">
        <f>[1]Result_notebook_retravaill!K1192</f>
        <v>1394676.1850541411</v>
      </c>
      <c r="J1192" s="3">
        <f>MIN(G1192,[1]Result_notebook_retravaill!I1192)</f>
        <v>0</v>
      </c>
      <c r="K1192" s="3">
        <f>IF([1]Result_notebook_retravaill!I1192&gt;[1]Result_notebook_retravaill!G1192,0,IF([1]Result_notebook_retravaill!I1192+[1]Result_notebook_retravaill!J1192&gt;[1]Result_notebook_retravaill!G1192,[1]Result_notebook_retravaill!G1192-[1]Result_notebook_retravaill!I1192,[1]Result_notebook_retravaill!J1192))</f>
        <v>0</v>
      </c>
      <c r="L1192" s="3">
        <f>IF([1]Result_notebook_retravaill!I1192&gt;[1]Result_notebook_retravaill!G1192,0,IF([1]Result_notebook_retravaill!I1192+[1]Result_notebook_retravaill!J1192&gt;[1]Result_notebook_retravaill!G1192,0,[1]Result_notebook_retravaill!M1192))</f>
        <v>1157581.233594937</v>
      </c>
    </row>
    <row r="1193" spans="1:12">
      <c r="A1193">
        <f>[1]Result_notebook_retravaill!A1193</f>
        <v>2038</v>
      </c>
      <c r="B1193" t="str">
        <f>[1]Result_notebook_retravaill!B1193</f>
        <v>Copper</v>
      </c>
      <c r="C1193" t="str">
        <f>[1]Result_notebook_retravaill!C1193</f>
        <v>Current Measures</v>
      </c>
      <c r="D1193" t="str">
        <f>[1]Result_notebook_retravaill!D1193</f>
        <v>Existing production</v>
      </c>
      <c r="E1193" t="str">
        <f>[1]Result_notebook_retravaill!E1193</f>
        <v>Current shares</v>
      </c>
      <c r="F1193" t="str">
        <f>[1]Result_notebook_retravaill!F1193</f>
        <v>Status Quo</v>
      </c>
      <c r="G1193">
        <f>[1]Result_notebook_retravaill!G1193</f>
        <v>1157581.233594937</v>
      </c>
      <c r="H1193" s="3">
        <f>IF([1]Result_notebook_retravaill!I1193&gt;[1]Result_notebook_retravaill!G1193,[1]Result_notebook_retravaill!I1193/[1]Result_notebook_retravaill!N1193,[1]Result_notebook_retravaill!H1193)</f>
        <v>149633</v>
      </c>
      <c r="I1193" s="3">
        <f>[1]Result_notebook_retravaill!K1193</f>
        <v>1245043.1850541411</v>
      </c>
      <c r="J1193" s="3">
        <f>MIN(G1193,[1]Result_notebook_retravaill!I1193)</f>
        <v>78648.404734026277</v>
      </c>
      <c r="K1193" s="3">
        <f>IF([1]Result_notebook_retravaill!I1193&gt;[1]Result_notebook_retravaill!G1193,0,IF([1]Result_notebook_retravaill!I1193+[1]Result_notebook_retravaill!J1193&gt;[1]Result_notebook_retravaill!G1193,[1]Result_notebook_retravaill!G1193-[1]Result_notebook_retravaill!I1193,[1]Result_notebook_retravaill!J1193))</f>
        <v>46257.107977838066</v>
      </c>
      <c r="L1193" s="3">
        <f>IF([1]Result_notebook_retravaill!I1193&gt;[1]Result_notebook_retravaill!G1193,0,IF([1]Result_notebook_retravaill!I1193+[1]Result_notebook_retravaill!J1193&gt;[1]Result_notebook_retravaill!G1193,0,[1]Result_notebook_retravaill!M1193))</f>
        <v>1032675.7208830731</v>
      </c>
    </row>
    <row r="1194" spans="1:12">
      <c r="A1194">
        <f>[1]Result_notebook_retravaill!A1194</f>
        <v>2038</v>
      </c>
      <c r="B1194" t="str">
        <f>[1]Result_notebook_retravaill!B1194</f>
        <v>Copper</v>
      </c>
      <c r="C1194" t="str">
        <f>[1]Result_notebook_retravaill!C1194</f>
        <v>Current Measures</v>
      </c>
      <c r="D1194" t="str">
        <f>[1]Result_notebook_retravaill!D1194</f>
        <v>Production potential</v>
      </c>
      <c r="E1194" t="str">
        <f>[1]Result_notebook_retravaill!E1194</f>
        <v>Current shares</v>
      </c>
      <c r="F1194" t="str">
        <f>[1]Result_notebook_retravaill!F1194</f>
        <v>Expansion Extractive</v>
      </c>
      <c r="G1194">
        <f>[1]Result_notebook_retravaill!G1194</f>
        <v>1157581.233594937</v>
      </c>
      <c r="H1194" s="3">
        <f>IF([1]Result_notebook_retravaill!I1194&gt;[1]Result_notebook_retravaill!G1194,[1]Result_notebook_retravaill!I1194/[1]Result_notebook_retravaill!N1194,[1]Result_notebook_retravaill!H1194)</f>
        <v>1022879.179171539</v>
      </c>
      <c r="I1194" s="3">
        <f>[1]Result_notebook_retravaill!K1194</f>
        <v>371797.00588260178</v>
      </c>
      <c r="J1194" s="3">
        <f>MIN(G1194,[1]Result_notebook_retravaill!I1194)</f>
        <v>537634.18281723827</v>
      </c>
      <c r="K1194" s="3">
        <f>IF([1]Result_notebook_retravaill!I1194&gt;[1]Result_notebook_retravaill!G1194,0,IF([1]Result_notebook_retravaill!I1194+[1]Result_notebook_retravaill!J1194&gt;[1]Result_notebook_retravaill!G1194,[1]Result_notebook_retravaill!G1194-[1]Result_notebook_retravaill!I1194,[1]Result_notebook_retravaill!J1194))</f>
        <v>316209.87776239344</v>
      </c>
      <c r="L1194" s="3">
        <f>IF([1]Result_notebook_retravaill!I1194&gt;[1]Result_notebook_retravaill!G1194,0,IF([1]Result_notebook_retravaill!I1194+[1]Result_notebook_retravaill!J1194&gt;[1]Result_notebook_retravaill!G1194,0,[1]Result_notebook_retravaill!M1194))</f>
        <v>303737.17301530531</v>
      </c>
    </row>
    <row r="1195" spans="1:12">
      <c r="A1195">
        <f>[1]Result_notebook_retravaill!A1195</f>
        <v>2038</v>
      </c>
      <c r="B1195" t="str">
        <f>[1]Result_notebook_retravaill!B1195</f>
        <v>Copper</v>
      </c>
      <c r="C1195" t="str">
        <f>[1]Result_notebook_retravaill!C1195</f>
        <v>Current Measures</v>
      </c>
      <c r="D1195" t="str">
        <f>[1]Result_notebook_retravaill!D1195</f>
        <v>Production potential</v>
      </c>
      <c r="E1195" t="str">
        <f>[1]Result_notebook_retravaill!E1195</f>
        <v>Current shares</v>
      </c>
      <c r="F1195" t="str">
        <f>[1]Result_notebook_retravaill!F1195</f>
        <v>Expansion Extractive+Circularity</v>
      </c>
      <c r="G1195">
        <f>[1]Result_notebook_retravaill!G1195</f>
        <v>1157581.233594937</v>
      </c>
      <c r="H1195" s="3">
        <f>IF([1]Result_notebook_retravaill!I1195&gt;[1]Result_notebook_retravaill!G1195,[1]Result_notebook_retravaill!I1195/[1]Result_notebook_retravaill!N1195,[1]Result_notebook_retravaill!H1195)</f>
        <v>1022879.179171539</v>
      </c>
      <c r="I1195" s="3">
        <f>[1]Result_notebook_retravaill!K1195</f>
        <v>371797.00588260178</v>
      </c>
      <c r="J1195" s="3">
        <f>MIN(G1195,[1]Result_notebook_retravaill!I1195)</f>
        <v>537634.18281723827</v>
      </c>
      <c r="K1195" s="3">
        <f>IF([1]Result_notebook_retravaill!I1195&gt;[1]Result_notebook_retravaill!G1195,0,IF([1]Result_notebook_retravaill!I1195+[1]Result_notebook_retravaill!J1195&gt;[1]Result_notebook_retravaill!G1195,[1]Result_notebook_retravaill!G1195-[1]Result_notebook_retravaill!I1195,[1]Result_notebook_retravaill!J1195))</f>
        <v>316209.87776239344</v>
      </c>
      <c r="L1195" s="3">
        <f>IF([1]Result_notebook_retravaill!I1195&gt;[1]Result_notebook_retravaill!G1195,0,IF([1]Result_notebook_retravaill!I1195+[1]Result_notebook_retravaill!J1195&gt;[1]Result_notebook_retravaill!G1195,0,[1]Result_notebook_retravaill!M1195))</f>
        <v>303737.17301530531</v>
      </c>
    </row>
    <row r="1196" spans="1:12">
      <c r="A1196">
        <f>[1]Result_notebook_retravaill!A1196</f>
        <v>2038</v>
      </c>
      <c r="B1196" t="str">
        <f>[1]Result_notebook_retravaill!B1196</f>
        <v>Copper</v>
      </c>
      <c r="C1196" t="str">
        <f>[1]Result_notebook_retravaill!C1196</f>
        <v>Current Measures</v>
      </c>
      <c r="D1196" t="str">
        <f>[1]Result_notebook_retravaill!D1196</f>
        <v>Production potential</v>
      </c>
      <c r="E1196" t="str">
        <f>[1]Result_notebook_retravaill!E1196</f>
        <v>100% CAN</v>
      </c>
      <c r="F1196" t="str">
        <f>[1]Result_notebook_retravaill!F1196</f>
        <v>Integrated</v>
      </c>
      <c r="G1196">
        <f>[1]Result_notebook_retravaill!G1196</f>
        <v>1157581.233594937</v>
      </c>
      <c r="H1196" s="3">
        <f>IF([1]Result_notebook_retravaill!I1196&gt;[1]Result_notebook_retravaill!G1196,[1]Result_notebook_retravaill!I1196/[1]Result_notebook_retravaill!N1196,[1]Result_notebook_retravaill!H1196)</f>
        <v>1022879.179171539</v>
      </c>
      <c r="I1196" s="3">
        <f>[1]Result_notebook_retravaill!K1196</f>
        <v>371797.00588260178</v>
      </c>
      <c r="J1196" s="3">
        <f>MIN(G1196,[1]Result_notebook_retravaill!I1196)</f>
        <v>853844.06057963229</v>
      </c>
      <c r="K1196" s="3">
        <f>IF([1]Result_notebook_retravaill!I1196&gt;[1]Result_notebook_retravaill!G1196,0,IF([1]Result_notebook_retravaill!I1196+[1]Result_notebook_retravaill!J1196&gt;[1]Result_notebook_retravaill!G1196,[1]Result_notebook_retravaill!G1196-[1]Result_notebook_retravaill!I1196,[1]Result_notebook_retravaill!J1196))</f>
        <v>0</v>
      </c>
      <c r="L1196" s="3">
        <f>IF([1]Result_notebook_retravaill!I1196&gt;[1]Result_notebook_retravaill!G1196,0,IF([1]Result_notebook_retravaill!I1196+[1]Result_notebook_retravaill!J1196&gt;[1]Result_notebook_retravaill!G1196,0,[1]Result_notebook_retravaill!M1196))</f>
        <v>303737.17301530472</v>
      </c>
    </row>
    <row r="1197" spans="1:12">
      <c r="A1197">
        <f>[1]Result_notebook_retravaill!A1197</f>
        <v>2038</v>
      </c>
      <c r="B1197" t="str">
        <f>[1]Result_notebook_retravaill!B1197</f>
        <v>Copper</v>
      </c>
      <c r="C1197" t="str">
        <f>[1]Result_notebook_retravaill!C1197</f>
        <v>Global Net-zero</v>
      </c>
      <c r="D1197" t="str">
        <f>[1]Result_notebook_retravaill!D1197</f>
        <v>Existing production</v>
      </c>
      <c r="E1197" t="str">
        <f>[1]Result_notebook_retravaill!E1197</f>
        <v>Current shares</v>
      </c>
      <c r="F1197" t="str">
        <f>[1]Result_notebook_retravaill!F1197</f>
        <v>NIMBY</v>
      </c>
      <c r="G1197">
        <f>[1]Result_notebook_retravaill!G1197</f>
        <v>1440730.5458499959</v>
      </c>
      <c r="H1197" s="3">
        <f>IF([1]Result_notebook_retravaill!I1197&gt;[1]Result_notebook_retravaill!G1197,[1]Result_notebook_retravaill!I1197/[1]Result_notebook_retravaill!N1197,[1]Result_notebook_retravaill!H1197)</f>
        <v>0</v>
      </c>
      <c r="I1197" s="3">
        <f>[1]Result_notebook_retravaill!K1197</f>
        <v>1735819.934759031</v>
      </c>
      <c r="J1197" s="3">
        <f>MIN(G1197,[1]Result_notebook_retravaill!I1197)</f>
        <v>0</v>
      </c>
      <c r="K1197" s="3">
        <f>IF([1]Result_notebook_retravaill!I1197&gt;[1]Result_notebook_retravaill!G1197,0,IF([1]Result_notebook_retravaill!I1197+[1]Result_notebook_retravaill!J1197&gt;[1]Result_notebook_retravaill!G1197,[1]Result_notebook_retravaill!G1197-[1]Result_notebook_retravaill!I1197,[1]Result_notebook_retravaill!J1197))</f>
        <v>0</v>
      </c>
      <c r="L1197" s="3">
        <f>IF([1]Result_notebook_retravaill!I1197&gt;[1]Result_notebook_retravaill!G1197,0,IF([1]Result_notebook_retravaill!I1197+[1]Result_notebook_retravaill!J1197&gt;[1]Result_notebook_retravaill!G1197,0,[1]Result_notebook_retravaill!M1197))</f>
        <v>1440730.5458499959</v>
      </c>
    </row>
    <row r="1198" spans="1:12">
      <c r="A1198">
        <f>[1]Result_notebook_retravaill!A1198</f>
        <v>2038</v>
      </c>
      <c r="B1198" t="str">
        <f>[1]Result_notebook_retravaill!B1198</f>
        <v>Copper</v>
      </c>
      <c r="C1198" t="str">
        <f>[1]Result_notebook_retravaill!C1198</f>
        <v>Global Net-zero</v>
      </c>
      <c r="D1198" t="str">
        <f>[1]Result_notebook_retravaill!D1198</f>
        <v>Existing production</v>
      </c>
      <c r="E1198" t="str">
        <f>[1]Result_notebook_retravaill!E1198</f>
        <v>Current shares</v>
      </c>
      <c r="F1198" t="str">
        <f>[1]Result_notebook_retravaill!F1198</f>
        <v>Status Quo</v>
      </c>
      <c r="G1198">
        <f>[1]Result_notebook_retravaill!G1198</f>
        <v>1440730.5458499959</v>
      </c>
      <c r="H1198" s="3">
        <f>IF([1]Result_notebook_retravaill!I1198&gt;[1]Result_notebook_retravaill!G1198,[1]Result_notebook_retravaill!I1198/[1]Result_notebook_retravaill!N1198,[1]Result_notebook_retravaill!H1198)</f>
        <v>149633</v>
      </c>
      <c r="I1198" s="3">
        <f>[1]Result_notebook_retravaill!K1198</f>
        <v>1586186.934759031</v>
      </c>
      <c r="J1198" s="3">
        <f>MIN(G1198,[1]Result_notebook_retravaill!I1198)</f>
        <v>78648.404734026277</v>
      </c>
      <c r="K1198" s="3">
        <f>IF([1]Result_notebook_retravaill!I1198&gt;[1]Result_notebook_retravaill!G1198,0,IF([1]Result_notebook_retravaill!I1198+[1]Result_notebook_retravaill!J1198&gt;[1]Result_notebook_retravaill!G1198,[1]Result_notebook_retravaill!G1198-[1]Result_notebook_retravaill!I1198,[1]Result_notebook_retravaill!J1198))</f>
        <v>46257.107977838066</v>
      </c>
      <c r="L1198" s="3">
        <f>IF([1]Result_notebook_retravaill!I1198&gt;[1]Result_notebook_retravaill!G1198,0,IF([1]Result_notebook_retravaill!I1198+[1]Result_notebook_retravaill!J1198&gt;[1]Result_notebook_retravaill!G1198,0,[1]Result_notebook_retravaill!M1198))</f>
        <v>1315825.033138132</v>
      </c>
    </row>
    <row r="1199" spans="1:12">
      <c r="A1199">
        <f>[1]Result_notebook_retravaill!A1199</f>
        <v>2038</v>
      </c>
      <c r="B1199" t="str">
        <f>[1]Result_notebook_retravaill!B1199</f>
        <v>Copper</v>
      </c>
      <c r="C1199" t="str">
        <f>[1]Result_notebook_retravaill!C1199</f>
        <v>Global Net-zero</v>
      </c>
      <c r="D1199" t="str">
        <f>[1]Result_notebook_retravaill!D1199</f>
        <v>Production potential</v>
      </c>
      <c r="E1199" t="str">
        <f>[1]Result_notebook_retravaill!E1199</f>
        <v>Current shares</v>
      </c>
      <c r="F1199" t="str">
        <f>[1]Result_notebook_retravaill!F1199</f>
        <v>Expansion Extractive</v>
      </c>
      <c r="G1199">
        <f>[1]Result_notebook_retravaill!G1199</f>
        <v>1440730.5458499959</v>
      </c>
      <c r="H1199" s="3">
        <f>IF([1]Result_notebook_retravaill!I1199&gt;[1]Result_notebook_retravaill!G1199,[1]Result_notebook_retravaill!I1199/[1]Result_notebook_retravaill!N1199,[1]Result_notebook_retravaill!H1199)</f>
        <v>1022879.179171539</v>
      </c>
      <c r="I1199" s="3">
        <f>[1]Result_notebook_retravaill!K1199</f>
        <v>712940.75558749202</v>
      </c>
      <c r="J1199" s="3">
        <f>MIN(G1199,[1]Result_notebook_retravaill!I1199)</f>
        <v>537634.18281723827</v>
      </c>
      <c r="K1199" s="3">
        <f>IF([1]Result_notebook_retravaill!I1199&gt;[1]Result_notebook_retravaill!G1199,0,IF([1]Result_notebook_retravaill!I1199+[1]Result_notebook_retravaill!J1199&gt;[1]Result_notebook_retravaill!G1199,[1]Result_notebook_retravaill!G1199-[1]Result_notebook_retravaill!I1199,[1]Result_notebook_retravaill!J1199))</f>
        <v>316209.87776239344</v>
      </c>
      <c r="L1199" s="3">
        <f>IF([1]Result_notebook_retravaill!I1199&gt;[1]Result_notebook_retravaill!G1199,0,IF([1]Result_notebook_retravaill!I1199+[1]Result_notebook_retravaill!J1199&gt;[1]Result_notebook_retravaill!G1199,0,[1]Result_notebook_retravaill!M1199))</f>
        <v>586886.48527036421</v>
      </c>
    </row>
    <row r="1200" spans="1:12">
      <c r="A1200">
        <f>[1]Result_notebook_retravaill!A1200</f>
        <v>2038</v>
      </c>
      <c r="B1200" t="str">
        <f>[1]Result_notebook_retravaill!B1200</f>
        <v>Copper</v>
      </c>
      <c r="C1200" t="str">
        <f>[1]Result_notebook_retravaill!C1200</f>
        <v>Global Net-zero</v>
      </c>
      <c r="D1200" t="str">
        <f>[1]Result_notebook_retravaill!D1200</f>
        <v>Production potential</v>
      </c>
      <c r="E1200" t="str">
        <f>[1]Result_notebook_retravaill!E1200</f>
        <v>Current shares</v>
      </c>
      <c r="F1200" t="str">
        <f>[1]Result_notebook_retravaill!F1200</f>
        <v>Expansion Extractive+Circularity</v>
      </c>
      <c r="G1200">
        <f>[1]Result_notebook_retravaill!G1200</f>
        <v>1440730.5458499959</v>
      </c>
      <c r="H1200" s="3">
        <f>IF([1]Result_notebook_retravaill!I1200&gt;[1]Result_notebook_retravaill!G1200,[1]Result_notebook_retravaill!I1200/[1]Result_notebook_retravaill!N1200,[1]Result_notebook_retravaill!H1200)</f>
        <v>1022879.179171539</v>
      </c>
      <c r="I1200" s="3">
        <f>[1]Result_notebook_retravaill!K1200</f>
        <v>712940.75558749202</v>
      </c>
      <c r="J1200" s="3">
        <f>MIN(G1200,[1]Result_notebook_retravaill!I1200)</f>
        <v>537634.18281723827</v>
      </c>
      <c r="K1200" s="3">
        <f>IF([1]Result_notebook_retravaill!I1200&gt;[1]Result_notebook_retravaill!G1200,0,IF([1]Result_notebook_retravaill!I1200+[1]Result_notebook_retravaill!J1200&gt;[1]Result_notebook_retravaill!G1200,[1]Result_notebook_retravaill!G1200-[1]Result_notebook_retravaill!I1200,[1]Result_notebook_retravaill!J1200))</f>
        <v>316209.87776239344</v>
      </c>
      <c r="L1200" s="3">
        <f>IF([1]Result_notebook_retravaill!I1200&gt;[1]Result_notebook_retravaill!G1200,0,IF([1]Result_notebook_retravaill!I1200+[1]Result_notebook_retravaill!J1200&gt;[1]Result_notebook_retravaill!G1200,0,[1]Result_notebook_retravaill!M1200))</f>
        <v>586886.48527036421</v>
      </c>
    </row>
    <row r="1201" spans="1:12">
      <c r="A1201">
        <f>[1]Result_notebook_retravaill!A1201</f>
        <v>2038</v>
      </c>
      <c r="B1201" t="str">
        <f>[1]Result_notebook_retravaill!B1201</f>
        <v>Copper</v>
      </c>
      <c r="C1201" t="str">
        <f>[1]Result_notebook_retravaill!C1201</f>
        <v>Global Net-zero</v>
      </c>
      <c r="D1201" t="str">
        <f>[1]Result_notebook_retravaill!D1201</f>
        <v>Production potential</v>
      </c>
      <c r="E1201" t="str">
        <f>[1]Result_notebook_retravaill!E1201</f>
        <v>100% CAN</v>
      </c>
      <c r="F1201" t="str">
        <f>[1]Result_notebook_retravaill!F1201</f>
        <v>Integrated</v>
      </c>
      <c r="G1201">
        <f>[1]Result_notebook_retravaill!G1201</f>
        <v>1440730.5458499959</v>
      </c>
      <c r="H1201" s="3">
        <f>IF([1]Result_notebook_retravaill!I1201&gt;[1]Result_notebook_retravaill!G1201,[1]Result_notebook_retravaill!I1201/[1]Result_notebook_retravaill!N1201,[1]Result_notebook_retravaill!H1201)</f>
        <v>1022879.179171539</v>
      </c>
      <c r="I1201" s="3">
        <f>[1]Result_notebook_retravaill!K1201</f>
        <v>712940.75558749202</v>
      </c>
      <c r="J1201" s="3">
        <f>MIN(G1201,[1]Result_notebook_retravaill!I1201)</f>
        <v>853844.06057963229</v>
      </c>
      <c r="K1201" s="3">
        <f>IF([1]Result_notebook_retravaill!I1201&gt;[1]Result_notebook_retravaill!G1201,0,IF([1]Result_notebook_retravaill!I1201+[1]Result_notebook_retravaill!J1201&gt;[1]Result_notebook_retravaill!G1201,[1]Result_notebook_retravaill!G1201-[1]Result_notebook_retravaill!I1201,[1]Result_notebook_retravaill!J1201))</f>
        <v>0</v>
      </c>
      <c r="L1201" s="3">
        <f>IF([1]Result_notebook_retravaill!I1201&gt;[1]Result_notebook_retravaill!G1201,0,IF([1]Result_notebook_retravaill!I1201+[1]Result_notebook_retravaill!J1201&gt;[1]Result_notebook_retravaill!G1201,0,[1]Result_notebook_retravaill!M1201))</f>
        <v>586886.48527036363</v>
      </c>
    </row>
    <row r="1202" spans="1:12">
      <c r="A1202">
        <f>[1]Result_notebook_retravaill!A1202</f>
        <v>2038</v>
      </c>
      <c r="B1202" t="str">
        <f>[1]Result_notebook_retravaill!B1202</f>
        <v>Neodymium</v>
      </c>
      <c r="C1202" t="str">
        <f>[1]Result_notebook_retravaill!C1202</f>
        <v>Canada Net-zero</v>
      </c>
      <c r="D1202" t="str">
        <f>[1]Result_notebook_retravaill!D1202</f>
        <v>Existing production</v>
      </c>
      <c r="E1202" t="str">
        <f>[1]Result_notebook_retravaill!E1202</f>
        <v>Current shares</v>
      </c>
      <c r="F1202" t="str">
        <f>[1]Result_notebook_retravaill!F1202</f>
        <v>NIMBY</v>
      </c>
      <c r="G1202">
        <f>[1]Result_notebook_retravaill!G1202</f>
        <v>6459.3329184039349</v>
      </c>
      <c r="H1202" s="3">
        <f>IF([1]Result_notebook_retravaill!I1202&gt;[1]Result_notebook_retravaill!G1202,[1]Result_notebook_retravaill!I1202/[1]Result_notebook_retravaill!N1202,[1]Result_notebook_retravaill!H1202)</f>
        <v>0</v>
      </c>
      <c r="I1202" s="3">
        <f>[1]Result_notebook_retravaill!K1202</f>
        <v>10765.554864006561</v>
      </c>
      <c r="J1202" s="3">
        <f>MIN(G1202,[1]Result_notebook_retravaill!I1202)</f>
        <v>0</v>
      </c>
      <c r="K1202" s="3">
        <f>IF([1]Result_notebook_retravaill!I1202&gt;[1]Result_notebook_retravaill!G1202,0,IF([1]Result_notebook_retravaill!I1202+[1]Result_notebook_retravaill!J1202&gt;[1]Result_notebook_retravaill!G1202,[1]Result_notebook_retravaill!G1202-[1]Result_notebook_retravaill!I1202,[1]Result_notebook_retravaill!J1202))</f>
        <v>0</v>
      </c>
      <c r="L1202" s="3">
        <f>IF([1]Result_notebook_retravaill!I1202&gt;[1]Result_notebook_retravaill!G1202,0,IF([1]Result_notebook_retravaill!I1202+[1]Result_notebook_retravaill!J1202&gt;[1]Result_notebook_retravaill!G1202,0,[1]Result_notebook_retravaill!M1202))</f>
        <v>6459.3329184039349</v>
      </c>
    </row>
    <row r="1203" spans="1:12">
      <c r="A1203">
        <f>[1]Result_notebook_retravaill!A1203</f>
        <v>2038</v>
      </c>
      <c r="B1203" t="str">
        <f>[1]Result_notebook_retravaill!B1203</f>
        <v>Neodymium</v>
      </c>
      <c r="C1203" t="str">
        <f>[1]Result_notebook_retravaill!C1203</f>
        <v>Canada Net-zero</v>
      </c>
      <c r="D1203" t="str">
        <f>[1]Result_notebook_retravaill!D1203</f>
        <v>Existing production</v>
      </c>
      <c r="E1203" t="str">
        <f>[1]Result_notebook_retravaill!E1203</f>
        <v>Current shares</v>
      </c>
      <c r="F1203" t="str">
        <f>[1]Result_notebook_retravaill!F1203</f>
        <v>Status Quo</v>
      </c>
      <c r="G1203">
        <f>[1]Result_notebook_retravaill!G1203</f>
        <v>6459.3329184039349</v>
      </c>
      <c r="H1203" s="3">
        <f>IF([1]Result_notebook_retravaill!I1203&gt;[1]Result_notebook_retravaill!G1203,[1]Result_notebook_retravaill!I1203/[1]Result_notebook_retravaill!N1203,[1]Result_notebook_retravaill!H1203)</f>
        <v>0</v>
      </c>
      <c r="I1203" s="3">
        <f>[1]Result_notebook_retravaill!K1203</f>
        <v>10765.554864006561</v>
      </c>
      <c r="J1203" s="3">
        <f>MIN(G1203,[1]Result_notebook_retravaill!I1203)</f>
        <v>0</v>
      </c>
      <c r="K1203" s="3">
        <f>IF([1]Result_notebook_retravaill!I1203&gt;[1]Result_notebook_retravaill!G1203,0,IF([1]Result_notebook_retravaill!I1203+[1]Result_notebook_retravaill!J1203&gt;[1]Result_notebook_retravaill!G1203,[1]Result_notebook_retravaill!G1203-[1]Result_notebook_retravaill!I1203,[1]Result_notebook_retravaill!J1203))</f>
        <v>0</v>
      </c>
      <c r="L1203" s="3">
        <f>IF([1]Result_notebook_retravaill!I1203&gt;[1]Result_notebook_retravaill!G1203,0,IF([1]Result_notebook_retravaill!I1203+[1]Result_notebook_retravaill!J1203&gt;[1]Result_notebook_retravaill!G1203,0,[1]Result_notebook_retravaill!M1203))</f>
        <v>6459.3329184039349</v>
      </c>
    </row>
    <row r="1204" spans="1:12">
      <c r="A1204">
        <f>[1]Result_notebook_retravaill!A1204</f>
        <v>2038</v>
      </c>
      <c r="B1204" t="str">
        <f>[1]Result_notebook_retravaill!B1204</f>
        <v>Neodymium</v>
      </c>
      <c r="C1204" t="str">
        <f>[1]Result_notebook_retravaill!C1204</f>
        <v>Canada Net-zero</v>
      </c>
      <c r="D1204" t="str">
        <f>[1]Result_notebook_retravaill!D1204</f>
        <v>Production potential</v>
      </c>
      <c r="E1204" t="str">
        <f>[1]Result_notebook_retravaill!E1204</f>
        <v>Current shares</v>
      </c>
      <c r="F1204" t="str">
        <f>[1]Result_notebook_retravaill!F1204</f>
        <v>Expansion Extractive</v>
      </c>
      <c r="G1204">
        <f>[1]Result_notebook_retravaill!G1204</f>
        <v>6459.3329184039349</v>
      </c>
      <c r="H1204" s="3">
        <f>IF([1]Result_notebook_retravaill!I1204&gt;[1]Result_notebook_retravaill!G1204,[1]Result_notebook_retravaill!I1204/[1]Result_notebook_retravaill!N1204,[1]Result_notebook_retravaill!H1204)</f>
        <v>220.01865184508691</v>
      </c>
      <c r="I1204" s="3">
        <f>[1]Result_notebook_retravaill!K1204</f>
        <v>10545.536212161471</v>
      </c>
      <c r="J1204" s="3">
        <f>MIN(G1204,[1]Result_notebook_retravaill!I1204)</f>
        <v>131.6908250261543</v>
      </c>
      <c r="K1204" s="3">
        <f>IF([1]Result_notebook_retravaill!I1204&gt;[1]Result_notebook_retravaill!G1204,0,IF([1]Result_notebook_retravaill!I1204+[1]Result_notebook_retravaill!J1204&gt;[1]Result_notebook_retravaill!G1204,[1]Result_notebook_retravaill!G1204-[1]Result_notebook_retravaill!I1204,[1]Result_notebook_retravaill!J1204))</f>
        <v>88.327826818932607</v>
      </c>
      <c r="L1204" s="3">
        <f>IF([1]Result_notebook_retravaill!I1204&gt;[1]Result_notebook_retravaill!G1204,0,IF([1]Result_notebook_retravaill!I1204+[1]Result_notebook_retravaill!J1204&gt;[1]Result_notebook_retravaill!G1204,0,[1]Result_notebook_retravaill!M1204))</f>
        <v>6239.3142665588484</v>
      </c>
    </row>
    <row r="1205" spans="1:12">
      <c r="A1205">
        <f>[1]Result_notebook_retravaill!A1205</f>
        <v>2038</v>
      </c>
      <c r="B1205" t="str">
        <f>[1]Result_notebook_retravaill!B1205</f>
        <v>Neodymium</v>
      </c>
      <c r="C1205" t="str">
        <f>[1]Result_notebook_retravaill!C1205</f>
        <v>Canada Net-zero</v>
      </c>
      <c r="D1205" t="str">
        <f>[1]Result_notebook_retravaill!D1205</f>
        <v>Production potential</v>
      </c>
      <c r="E1205" t="str">
        <f>[1]Result_notebook_retravaill!E1205</f>
        <v>Current shares</v>
      </c>
      <c r="F1205" t="str">
        <f>[1]Result_notebook_retravaill!F1205</f>
        <v>Expansion Extractive+Circularity</v>
      </c>
      <c r="G1205">
        <f>[1]Result_notebook_retravaill!G1205</f>
        <v>6459.3329184039349</v>
      </c>
      <c r="H1205" s="3">
        <f>IF([1]Result_notebook_retravaill!I1205&gt;[1]Result_notebook_retravaill!G1205,[1]Result_notebook_retravaill!I1205/[1]Result_notebook_retravaill!N1205,[1]Result_notebook_retravaill!H1205)</f>
        <v>220.01865184508691</v>
      </c>
      <c r="I1205" s="3">
        <f>[1]Result_notebook_retravaill!K1205</f>
        <v>10545.536212161471</v>
      </c>
      <c r="J1205" s="3">
        <f>MIN(G1205,[1]Result_notebook_retravaill!I1205)</f>
        <v>131.6908250261543</v>
      </c>
      <c r="K1205" s="3">
        <f>IF([1]Result_notebook_retravaill!I1205&gt;[1]Result_notebook_retravaill!G1205,0,IF([1]Result_notebook_retravaill!I1205+[1]Result_notebook_retravaill!J1205&gt;[1]Result_notebook_retravaill!G1205,[1]Result_notebook_retravaill!G1205-[1]Result_notebook_retravaill!I1205,[1]Result_notebook_retravaill!J1205))</f>
        <v>88.327826818932607</v>
      </c>
      <c r="L1205" s="3">
        <f>IF([1]Result_notebook_retravaill!I1205&gt;[1]Result_notebook_retravaill!G1205,0,IF([1]Result_notebook_retravaill!I1205+[1]Result_notebook_retravaill!J1205&gt;[1]Result_notebook_retravaill!G1205,0,[1]Result_notebook_retravaill!M1205))</f>
        <v>6239.3142665588484</v>
      </c>
    </row>
    <row r="1206" spans="1:12">
      <c r="A1206">
        <f>[1]Result_notebook_retravaill!A1206</f>
        <v>2038</v>
      </c>
      <c r="B1206" t="str">
        <f>[1]Result_notebook_retravaill!B1206</f>
        <v>Neodymium</v>
      </c>
      <c r="C1206" t="str">
        <f>[1]Result_notebook_retravaill!C1206</f>
        <v>Canada Net-zero</v>
      </c>
      <c r="D1206" t="str">
        <f>[1]Result_notebook_retravaill!D1206</f>
        <v>Production potential</v>
      </c>
      <c r="E1206" t="str">
        <f>[1]Result_notebook_retravaill!E1206</f>
        <v>100% CAN</v>
      </c>
      <c r="F1206" t="str">
        <f>[1]Result_notebook_retravaill!F1206</f>
        <v>Integrated</v>
      </c>
      <c r="G1206">
        <f>[1]Result_notebook_retravaill!G1206</f>
        <v>6459.3329184039349</v>
      </c>
      <c r="H1206" s="3">
        <f>IF([1]Result_notebook_retravaill!I1206&gt;[1]Result_notebook_retravaill!G1206,[1]Result_notebook_retravaill!I1206/[1]Result_notebook_retravaill!N1206,[1]Result_notebook_retravaill!H1206)</f>
        <v>220.01865184508691</v>
      </c>
      <c r="I1206" s="3">
        <f>[1]Result_notebook_retravaill!K1206</f>
        <v>10545.536212161471</v>
      </c>
      <c r="J1206" s="3">
        <f>MIN(G1206,[1]Result_notebook_retravaill!I1206)</f>
        <v>131.6908250261543</v>
      </c>
      <c r="K1206" s="3">
        <f>IF([1]Result_notebook_retravaill!I1206&gt;[1]Result_notebook_retravaill!G1206,0,IF([1]Result_notebook_retravaill!I1206+[1]Result_notebook_retravaill!J1206&gt;[1]Result_notebook_retravaill!G1206,[1]Result_notebook_retravaill!G1206-[1]Result_notebook_retravaill!I1206,[1]Result_notebook_retravaill!J1206))</f>
        <v>88.327826818932607</v>
      </c>
      <c r="L1206" s="3">
        <f>IF([1]Result_notebook_retravaill!I1206&gt;[1]Result_notebook_retravaill!G1206,0,IF([1]Result_notebook_retravaill!I1206+[1]Result_notebook_retravaill!J1206&gt;[1]Result_notebook_retravaill!G1206,0,[1]Result_notebook_retravaill!M1206))</f>
        <v>6239.3142665588484</v>
      </c>
    </row>
    <row r="1207" spans="1:12">
      <c r="A1207">
        <f>[1]Result_notebook_retravaill!A1207</f>
        <v>2038</v>
      </c>
      <c r="B1207" t="str">
        <f>[1]Result_notebook_retravaill!B1207</f>
        <v>Neodymium</v>
      </c>
      <c r="C1207" t="str">
        <f>[1]Result_notebook_retravaill!C1207</f>
        <v>Current Measures</v>
      </c>
      <c r="D1207" t="str">
        <f>[1]Result_notebook_retravaill!D1207</f>
        <v>Existing production</v>
      </c>
      <c r="E1207" t="str">
        <f>[1]Result_notebook_retravaill!E1207</f>
        <v>Current shares</v>
      </c>
      <c r="F1207" t="str">
        <f>[1]Result_notebook_retravaill!F1207</f>
        <v>NIMBY</v>
      </c>
      <c r="G1207">
        <f>[1]Result_notebook_retravaill!G1207</f>
        <v>2100.0711128337948</v>
      </c>
      <c r="H1207" s="3">
        <f>IF([1]Result_notebook_retravaill!I1207&gt;[1]Result_notebook_retravaill!G1207,[1]Result_notebook_retravaill!I1207/[1]Result_notebook_retravaill!N1207,[1]Result_notebook_retravaill!H1207)</f>
        <v>0</v>
      </c>
      <c r="I1207" s="3">
        <f>[1]Result_notebook_retravaill!K1207</f>
        <v>3500.1185213896579</v>
      </c>
      <c r="J1207" s="3">
        <f>MIN(G1207,[1]Result_notebook_retravaill!I1207)</f>
        <v>0</v>
      </c>
      <c r="K1207" s="3">
        <f>IF([1]Result_notebook_retravaill!I1207&gt;[1]Result_notebook_retravaill!G1207,0,IF([1]Result_notebook_retravaill!I1207+[1]Result_notebook_retravaill!J1207&gt;[1]Result_notebook_retravaill!G1207,[1]Result_notebook_retravaill!G1207-[1]Result_notebook_retravaill!I1207,[1]Result_notebook_retravaill!J1207))</f>
        <v>0</v>
      </c>
      <c r="L1207" s="3">
        <f>IF([1]Result_notebook_retravaill!I1207&gt;[1]Result_notebook_retravaill!G1207,0,IF([1]Result_notebook_retravaill!I1207+[1]Result_notebook_retravaill!J1207&gt;[1]Result_notebook_retravaill!G1207,0,[1]Result_notebook_retravaill!M1207))</f>
        <v>2100.0711128337948</v>
      </c>
    </row>
    <row r="1208" spans="1:12">
      <c r="A1208">
        <f>[1]Result_notebook_retravaill!A1208</f>
        <v>2038</v>
      </c>
      <c r="B1208" t="str">
        <f>[1]Result_notebook_retravaill!B1208</f>
        <v>Neodymium</v>
      </c>
      <c r="C1208" t="str">
        <f>[1]Result_notebook_retravaill!C1208</f>
        <v>Current Measures</v>
      </c>
      <c r="D1208" t="str">
        <f>[1]Result_notebook_retravaill!D1208</f>
        <v>Existing production</v>
      </c>
      <c r="E1208" t="str">
        <f>[1]Result_notebook_retravaill!E1208</f>
        <v>Current shares</v>
      </c>
      <c r="F1208" t="str">
        <f>[1]Result_notebook_retravaill!F1208</f>
        <v>Status Quo</v>
      </c>
      <c r="G1208">
        <f>[1]Result_notebook_retravaill!G1208</f>
        <v>2100.0711128337948</v>
      </c>
      <c r="H1208" s="3">
        <f>IF([1]Result_notebook_retravaill!I1208&gt;[1]Result_notebook_retravaill!G1208,[1]Result_notebook_retravaill!I1208/[1]Result_notebook_retravaill!N1208,[1]Result_notebook_retravaill!H1208)</f>
        <v>0</v>
      </c>
      <c r="I1208" s="3">
        <f>[1]Result_notebook_retravaill!K1208</f>
        <v>3500.1185213896579</v>
      </c>
      <c r="J1208" s="3">
        <f>MIN(G1208,[1]Result_notebook_retravaill!I1208)</f>
        <v>0</v>
      </c>
      <c r="K1208" s="3">
        <f>IF([1]Result_notebook_retravaill!I1208&gt;[1]Result_notebook_retravaill!G1208,0,IF([1]Result_notebook_retravaill!I1208+[1]Result_notebook_retravaill!J1208&gt;[1]Result_notebook_retravaill!G1208,[1]Result_notebook_retravaill!G1208-[1]Result_notebook_retravaill!I1208,[1]Result_notebook_retravaill!J1208))</f>
        <v>0</v>
      </c>
      <c r="L1208" s="3">
        <f>IF([1]Result_notebook_retravaill!I1208&gt;[1]Result_notebook_retravaill!G1208,0,IF([1]Result_notebook_retravaill!I1208+[1]Result_notebook_retravaill!J1208&gt;[1]Result_notebook_retravaill!G1208,0,[1]Result_notebook_retravaill!M1208))</f>
        <v>2100.0711128337948</v>
      </c>
    </row>
    <row r="1209" spans="1:12">
      <c r="A1209">
        <f>[1]Result_notebook_retravaill!A1209</f>
        <v>2038</v>
      </c>
      <c r="B1209" t="str">
        <f>[1]Result_notebook_retravaill!B1209</f>
        <v>Neodymium</v>
      </c>
      <c r="C1209" t="str">
        <f>[1]Result_notebook_retravaill!C1209</f>
        <v>Current Measures</v>
      </c>
      <c r="D1209" t="str">
        <f>[1]Result_notebook_retravaill!D1209</f>
        <v>Production potential</v>
      </c>
      <c r="E1209" t="str">
        <f>[1]Result_notebook_retravaill!E1209</f>
        <v>Current shares</v>
      </c>
      <c r="F1209" t="str">
        <f>[1]Result_notebook_retravaill!F1209</f>
        <v>Expansion Extractive</v>
      </c>
      <c r="G1209">
        <f>[1]Result_notebook_retravaill!G1209</f>
        <v>2100.0711128337948</v>
      </c>
      <c r="H1209" s="3">
        <f>IF([1]Result_notebook_retravaill!I1209&gt;[1]Result_notebook_retravaill!G1209,[1]Result_notebook_retravaill!I1209/[1]Result_notebook_retravaill!N1209,[1]Result_notebook_retravaill!H1209)</f>
        <v>220.01865184508691</v>
      </c>
      <c r="I1209" s="3">
        <f>[1]Result_notebook_retravaill!K1209</f>
        <v>3280.099869544571</v>
      </c>
      <c r="J1209" s="3">
        <f>MIN(G1209,[1]Result_notebook_retravaill!I1209)</f>
        <v>131.6908250261543</v>
      </c>
      <c r="K1209" s="3">
        <f>IF([1]Result_notebook_retravaill!I1209&gt;[1]Result_notebook_retravaill!G1209,0,IF([1]Result_notebook_retravaill!I1209+[1]Result_notebook_retravaill!J1209&gt;[1]Result_notebook_retravaill!G1209,[1]Result_notebook_retravaill!G1209-[1]Result_notebook_retravaill!I1209,[1]Result_notebook_retravaill!J1209))</f>
        <v>88.327826818932607</v>
      </c>
      <c r="L1209" s="3">
        <f>IF([1]Result_notebook_retravaill!I1209&gt;[1]Result_notebook_retravaill!G1209,0,IF([1]Result_notebook_retravaill!I1209+[1]Result_notebook_retravaill!J1209&gt;[1]Result_notebook_retravaill!G1209,0,[1]Result_notebook_retravaill!M1209))</f>
        <v>1880.0524609887084</v>
      </c>
    </row>
    <row r="1210" spans="1:12">
      <c r="A1210">
        <f>[1]Result_notebook_retravaill!A1210</f>
        <v>2038</v>
      </c>
      <c r="B1210" t="str">
        <f>[1]Result_notebook_retravaill!B1210</f>
        <v>Neodymium</v>
      </c>
      <c r="C1210" t="str">
        <f>[1]Result_notebook_retravaill!C1210</f>
        <v>Current Measures</v>
      </c>
      <c r="D1210" t="str">
        <f>[1]Result_notebook_retravaill!D1210</f>
        <v>Production potential</v>
      </c>
      <c r="E1210" t="str">
        <f>[1]Result_notebook_retravaill!E1210</f>
        <v>Current shares</v>
      </c>
      <c r="F1210" t="str">
        <f>[1]Result_notebook_retravaill!F1210</f>
        <v>Expansion Extractive+Circularity</v>
      </c>
      <c r="G1210">
        <f>[1]Result_notebook_retravaill!G1210</f>
        <v>2100.0711128337948</v>
      </c>
      <c r="H1210" s="3">
        <f>IF([1]Result_notebook_retravaill!I1210&gt;[1]Result_notebook_retravaill!G1210,[1]Result_notebook_retravaill!I1210/[1]Result_notebook_retravaill!N1210,[1]Result_notebook_retravaill!H1210)</f>
        <v>220.01865184508691</v>
      </c>
      <c r="I1210" s="3">
        <f>[1]Result_notebook_retravaill!K1210</f>
        <v>3280.099869544571</v>
      </c>
      <c r="J1210" s="3">
        <f>MIN(G1210,[1]Result_notebook_retravaill!I1210)</f>
        <v>131.6908250261543</v>
      </c>
      <c r="K1210" s="3">
        <f>IF([1]Result_notebook_retravaill!I1210&gt;[1]Result_notebook_retravaill!G1210,0,IF([1]Result_notebook_retravaill!I1210+[1]Result_notebook_retravaill!J1210&gt;[1]Result_notebook_retravaill!G1210,[1]Result_notebook_retravaill!G1210-[1]Result_notebook_retravaill!I1210,[1]Result_notebook_retravaill!J1210))</f>
        <v>88.327826818932607</v>
      </c>
      <c r="L1210" s="3">
        <f>IF([1]Result_notebook_retravaill!I1210&gt;[1]Result_notebook_retravaill!G1210,0,IF([1]Result_notebook_retravaill!I1210+[1]Result_notebook_retravaill!J1210&gt;[1]Result_notebook_retravaill!G1210,0,[1]Result_notebook_retravaill!M1210))</f>
        <v>1880.0524609887084</v>
      </c>
    </row>
    <row r="1211" spans="1:12">
      <c r="A1211">
        <f>[1]Result_notebook_retravaill!A1211</f>
        <v>2038</v>
      </c>
      <c r="B1211" t="str">
        <f>[1]Result_notebook_retravaill!B1211</f>
        <v>Neodymium</v>
      </c>
      <c r="C1211" t="str">
        <f>[1]Result_notebook_retravaill!C1211</f>
        <v>Current Measures</v>
      </c>
      <c r="D1211" t="str">
        <f>[1]Result_notebook_retravaill!D1211</f>
        <v>Production potential</v>
      </c>
      <c r="E1211" t="str">
        <f>[1]Result_notebook_retravaill!E1211</f>
        <v>100% CAN</v>
      </c>
      <c r="F1211" t="str">
        <f>[1]Result_notebook_retravaill!F1211</f>
        <v>Integrated</v>
      </c>
      <c r="G1211">
        <f>[1]Result_notebook_retravaill!G1211</f>
        <v>2100.0711128337948</v>
      </c>
      <c r="H1211" s="3">
        <f>IF([1]Result_notebook_retravaill!I1211&gt;[1]Result_notebook_retravaill!G1211,[1]Result_notebook_retravaill!I1211/[1]Result_notebook_retravaill!N1211,[1]Result_notebook_retravaill!H1211)</f>
        <v>220.01865184508691</v>
      </c>
      <c r="I1211" s="3">
        <f>[1]Result_notebook_retravaill!K1211</f>
        <v>3280.099869544571</v>
      </c>
      <c r="J1211" s="3">
        <f>MIN(G1211,[1]Result_notebook_retravaill!I1211)</f>
        <v>131.6908250261543</v>
      </c>
      <c r="K1211" s="3">
        <f>IF([1]Result_notebook_retravaill!I1211&gt;[1]Result_notebook_retravaill!G1211,0,IF([1]Result_notebook_retravaill!I1211+[1]Result_notebook_retravaill!J1211&gt;[1]Result_notebook_retravaill!G1211,[1]Result_notebook_retravaill!G1211-[1]Result_notebook_retravaill!I1211,[1]Result_notebook_retravaill!J1211))</f>
        <v>88.327826818932607</v>
      </c>
      <c r="L1211" s="3">
        <f>IF([1]Result_notebook_retravaill!I1211&gt;[1]Result_notebook_retravaill!G1211,0,IF([1]Result_notebook_retravaill!I1211+[1]Result_notebook_retravaill!J1211&gt;[1]Result_notebook_retravaill!G1211,0,[1]Result_notebook_retravaill!M1211))</f>
        <v>1880.0524609887084</v>
      </c>
    </row>
    <row r="1212" spans="1:12">
      <c r="A1212">
        <f>[1]Result_notebook_retravaill!A1212</f>
        <v>2038</v>
      </c>
      <c r="B1212" t="str">
        <f>[1]Result_notebook_retravaill!B1212</f>
        <v>Neodymium</v>
      </c>
      <c r="C1212" t="str">
        <f>[1]Result_notebook_retravaill!C1212</f>
        <v>Global Net-zero</v>
      </c>
      <c r="D1212" t="str">
        <f>[1]Result_notebook_retravaill!D1212</f>
        <v>Existing production</v>
      </c>
      <c r="E1212" t="str">
        <f>[1]Result_notebook_retravaill!E1212</f>
        <v>Current shares</v>
      </c>
      <c r="F1212" t="str">
        <f>[1]Result_notebook_retravaill!F1212</f>
        <v>NIMBY</v>
      </c>
      <c r="G1212">
        <f>[1]Result_notebook_retravaill!G1212</f>
        <v>6193.6061432774541</v>
      </c>
      <c r="H1212" s="3">
        <f>IF([1]Result_notebook_retravaill!I1212&gt;[1]Result_notebook_retravaill!G1212,[1]Result_notebook_retravaill!I1212/[1]Result_notebook_retravaill!N1212,[1]Result_notebook_retravaill!H1212)</f>
        <v>0</v>
      </c>
      <c r="I1212" s="3">
        <f>[1]Result_notebook_retravaill!K1212</f>
        <v>10322.67690546242</v>
      </c>
      <c r="J1212" s="3">
        <f>MIN(G1212,[1]Result_notebook_retravaill!I1212)</f>
        <v>0</v>
      </c>
      <c r="K1212" s="3">
        <f>IF([1]Result_notebook_retravaill!I1212&gt;[1]Result_notebook_retravaill!G1212,0,IF([1]Result_notebook_retravaill!I1212+[1]Result_notebook_retravaill!J1212&gt;[1]Result_notebook_retravaill!G1212,[1]Result_notebook_retravaill!G1212-[1]Result_notebook_retravaill!I1212,[1]Result_notebook_retravaill!J1212))</f>
        <v>0</v>
      </c>
      <c r="L1212" s="3">
        <f>IF([1]Result_notebook_retravaill!I1212&gt;[1]Result_notebook_retravaill!G1212,0,IF([1]Result_notebook_retravaill!I1212+[1]Result_notebook_retravaill!J1212&gt;[1]Result_notebook_retravaill!G1212,0,[1]Result_notebook_retravaill!M1212))</f>
        <v>6193.6061432774541</v>
      </c>
    </row>
    <row r="1213" spans="1:12">
      <c r="A1213">
        <f>[1]Result_notebook_retravaill!A1213</f>
        <v>2038</v>
      </c>
      <c r="B1213" t="str">
        <f>[1]Result_notebook_retravaill!B1213</f>
        <v>Neodymium</v>
      </c>
      <c r="C1213" t="str">
        <f>[1]Result_notebook_retravaill!C1213</f>
        <v>Global Net-zero</v>
      </c>
      <c r="D1213" t="str">
        <f>[1]Result_notebook_retravaill!D1213</f>
        <v>Existing production</v>
      </c>
      <c r="E1213" t="str">
        <f>[1]Result_notebook_retravaill!E1213</f>
        <v>Current shares</v>
      </c>
      <c r="F1213" t="str">
        <f>[1]Result_notebook_retravaill!F1213</f>
        <v>Status Quo</v>
      </c>
      <c r="G1213">
        <f>[1]Result_notebook_retravaill!G1213</f>
        <v>6193.6061432774541</v>
      </c>
      <c r="H1213" s="3">
        <f>IF([1]Result_notebook_retravaill!I1213&gt;[1]Result_notebook_retravaill!G1213,[1]Result_notebook_retravaill!I1213/[1]Result_notebook_retravaill!N1213,[1]Result_notebook_retravaill!H1213)</f>
        <v>0</v>
      </c>
      <c r="I1213" s="3">
        <f>[1]Result_notebook_retravaill!K1213</f>
        <v>10322.67690546242</v>
      </c>
      <c r="J1213" s="3">
        <f>MIN(G1213,[1]Result_notebook_retravaill!I1213)</f>
        <v>0</v>
      </c>
      <c r="K1213" s="3">
        <f>IF([1]Result_notebook_retravaill!I1213&gt;[1]Result_notebook_retravaill!G1213,0,IF([1]Result_notebook_retravaill!I1213+[1]Result_notebook_retravaill!J1213&gt;[1]Result_notebook_retravaill!G1213,[1]Result_notebook_retravaill!G1213-[1]Result_notebook_retravaill!I1213,[1]Result_notebook_retravaill!J1213))</f>
        <v>0</v>
      </c>
      <c r="L1213" s="3">
        <f>IF([1]Result_notebook_retravaill!I1213&gt;[1]Result_notebook_retravaill!G1213,0,IF([1]Result_notebook_retravaill!I1213+[1]Result_notebook_retravaill!J1213&gt;[1]Result_notebook_retravaill!G1213,0,[1]Result_notebook_retravaill!M1213))</f>
        <v>6193.6061432774541</v>
      </c>
    </row>
    <row r="1214" spans="1:12">
      <c r="A1214">
        <f>[1]Result_notebook_retravaill!A1214</f>
        <v>2038</v>
      </c>
      <c r="B1214" t="str">
        <f>[1]Result_notebook_retravaill!B1214</f>
        <v>Neodymium</v>
      </c>
      <c r="C1214" t="str">
        <f>[1]Result_notebook_retravaill!C1214</f>
        <v>Global Net-zero</v>
      </c>
      <c r="D1214" t="str">
        <f>[1]Result_notebook_retravaill!D1214</f>
        <v>Production potential</v>
      </c>
      <c r="E1214" t="str">
        <f>[1]Result_notebook_retravaill!E1214</f>
        <v>Current shares</v>
      </c>
      <c r="F1214" t="str">
        <f>[1]Result_notebook_retravaill!F1214</f>
        <v>Expansion Extractive</v>
      </c>
      <c r="G1214">
        <f>[1]Result_notebook_retravaill!G1214</f>
        <v>6193.6061432774541</v>
      </c>
      <c r="H1214" s="3">
        <f>IF([1]Result_notebook_retravaill!I1214&gt;[1]Result_notebook_retravaill!G1214,[1]Result_notebook_retravaill!I1214/[1]Result_notebook_retravaill!N1214,[1]Result_notebook_retravaill!H1214)</f>
        <v>220.01865184508691</v>
      </c>
      <c r="I1214" s="3">
        <f>[1]Result_notebook_retravaill!K1214</f>
        <v>10102.658253617339</v>
      </c>
      <c r="J1214" s="3">
        <f>MIN(G1214,[1]Result_notebook_retravaill!I1214)</f>
        <v>131.6908250261543</v>
      </c>
      <c r="K1214" s="3">
        <f>IF([1]Result_notebook_retravaill!I1214&gt;[1]Result_notebook_retravaill!G1214,0,IF([1]Result_notebook_retravaill!I1214+[1]Result_notebook_retravaill!J1214&gt;[1]Result_notebook_retravaill!G1214,[1]Result_notebook_retravaill!G1214-[1]Result_notebook_retravaill!I1214,[1]Result_notebook_retravaill!J1214))</f>
        <v>88.327826818932607</v>
      </c>
      <c r="L1214" s="3">
        <f>IF([1]Result_notebook_retravaill!I1214&gt;[1]Result_notebook_retravaill!G1214,0,IF([1]Result_notebook_retravaill!I1214+[1]Result_notebook_retravaill!J1214&gt;[1]Result_notebook_retravaill!G1214,0,[1]Result_notebook_retravaill!M1214))</f>
        <v>5973.5874914323676</v>
      </c>
    </row>
    <row r="1215" spans="1:12">
      <c r="A1215">
        <f>[1]Result_notebook_retravaill!A1215</f>
        <v>2038</v>
      </c>
      <c r="B1215" t="str">
        <f>[1]Result_notebook_retravaill!B1215</f>
        <v>Neodymium</v>
      </c>
      <c r="C1215" t="str">
        <f>[1]Result_notebook_retravaill!C1215</f>
        <v>Global Net-zero</v>
      </c>
      <c r="D1215" t="str">
        <f>[1]Result_notebook_retravaill!D1215</f>
        <v>Production potential</v>
      </c>
      <c r="E1215" t="str">
        <f>[1]Result_notebook_retravaill!E1215</f>
        <v>Current shares</v>
      </c>
      <c r="F1215" t="str">
        <f>[1]Result_notebook_retravaill!F1215</f>
        <v>Expansion Extractive+Circularity</v>
      </c>
      <c r="G1215">
        <f>[1]Result_notebook_retravaill!G1215</f>
        <v>6193.6061432774541</v>
      </c>
      <c r="H1215" s="3">
        <f>IF([1]Result_notebook_retravaill!I1215&gt;[1]Result_notebook_retravaill!G1215,[1]Result_notebook_retravaill!I1215/[1]Result_notebook_retravaill!N1215,[1]Result_notebook_retravaill!H1215)</f>
        <v>220.01865184508691</v>
      </c>
      <c r="I1215" s="3">
        <f>[1]Result_notebook_retravaill!K1215</f>
        <v>10102.658253617339</v>
      </c>
      <c r="J1215" s="3">
        <f>MIN(G1215,[1]Result_notebook_retravaill!I1215)</f>
        <v>131.6908250261543</v>
      </c>
      <c r="K1215" s="3">
        <f>IF([1]Result_notebook_retravaill!I1215&gt;[1]Result_notebook_retravaill!G1215,0,IF([1]Result_notebook_retravaill!I1215+[1]Result_notebook_retravaill!J1215&gt;[1]Result_notebook_retravaill!G1215,[1]Result_notebook_retravaill!G1215-[1]Result_notebook_retravaill!I1215,[1]Result_notebook_retravaill!J1215))</f>
        <v>88.327826818932607</v>
      </c>
      <c r="L1215" s="3">
        <f>IF([1]Result_notebook_retravaill!I1215&gt;[1]Result_notebook_retravaill!G1215,0,IF([1]Result_notebook_retravaill!I1215+[1]Result_notebook_retravaill!J1215&gt;[1]Result_notebook_retravaill!G1215,0,[1]Result_notebook_retravaill!M1215))</f>
        <v>5973.5874914323676</v>
      </c>
    </row>
    <row r="1216" spans="1:12">
      <c r="A1216">
        <f>[1]Result_notebook_retravaill!A1216</f>
        <v>2038</v>
      </c>
      <c r="B1216" t="str">
        <f>[1]Result_notebook_retravaill!B1216</f>
        <v>Neodymium</v>
      </c>
      <c r="C1216" t="str">
        <f>[1]Result_notebook_retravaill!C1216</f>
        <v>Global Net-zero</v>
      </c>
      <c r="D1216" t="str">
        <f>[1]Result_notebook_retravaill!D1216</f>
        <v>Production potential</v>
      </c>
      <c r="E1216" t="str">
        <f>[1]Result_notebook_retravaill!E1216</f>
        <v>100% CAN</v>
      </c>
      <c r="F1216" t="str">
        <f>[1]Result_notebook_retravaill!F1216</f>
        <v>Integrated</v>
      </c>
      <c r="G1216">
        <f>[1]Result_notebook_retravaill!G1216</f>
        <v>6193.6061432774541</v>
      </c>
      <c r="H1216" s="3">
        <f>IF([1]Result_notebook_retravaill!I1216&gt;[1]Result_notebook_retravaill!G1216,[1]Result_notebook_retravaill!I1216/[1]Result_notebook_retravaill!N1216,[1]Result_notebook_retravaill!H1216)</f>
        <v>220.01865184508691</v>
      </c>
      <c r="I1216" s="3">
        <f>[1]Result_notebook_retravaill!K1216</f>
        <v>10102.658253617339</v>
      </c>
      <c r="J1216" s="3">
        <f>MIN(G1216,[1]Result_notebook_retravaill!I1216)</f>
        <v>131.6908250261543</v>
      </c>
      <c r="K1216" s="3">
        <f>IF([1]Result_notebook_retravaill!I1216&gt;[1]Result_notebook_retravaill!G1216,0,IF([1]Result_notebook_retravaill!I1216+[1]Result_notebook_retravaill!J1216&gt;[1]Result_notebook_retravaill!G1216,[1]Result_notebook_retravaill!G1216-[1]Result_notebook_retravaill!I1216,[1]Result_notebook_retravaill!J1216))</f>
        <v>88.327826818932607</v>
      </c>
      <c r="L1216" s="3">
        <f>IF([1]Result_notebook_retravaill!I1216&gt;[1]Result_notebook_retravaill!G1216,0,IF([1]Result_notebook_retravaill!I1216+[1]Result_notebook_retravaill!J1216&gt;[1]Result_notebook_retravaill!G1216,0,[1]Result_notebook_retravaill!M1216))</f>
        <v>5973.5874914323676</v>
      </c>
    </row>
    <row r="1217" spans="1:12">
      <c r="A1217">
        <f>[1]Result_notebook_retravaill!A1217</f>
        <v>2038</v>
      </c>
      <c r="B1217" t="str">
        <f>[1]Result_notebook_retravaill!B1217</f>
        <v>Nickel</v>
      </c>
      <c r="C1217" t="str">
        <f>[1]Result_notebook_retravaill!C1217</f>
        <v>Canada Net-zero</v>
      </c>
      <c r="D1217" t="str">
        <f>[1]Result_notebook_retravaill!D1217</f>
        <v>Existing production</v>
      </c>
      <c r="E1217" t="str">
        <f>[1]Result_notebook_retravaill!E1217</f>
        <v>Current shares</v>
      </c>
      <c r="F1217" t="str">
        <f>[1]Result_notebook_retravaill!F1217</f>
        <v>NIMBY</v>
      </c>
      <c r="G1217">
        <f>[1]Result_notebook_retravaill!G1217</f>
        <v>187518.08361798589</v>
      </c>
      <c r="H1217" s="3">
        <f>IF([1]Result_notebook_retravaill!I1217&gt;[1]Result_notebook_retravaill!G1217,[1]Result_notebook_retravaill!I1217/[1]Result_notebook_retravaill!N1217,[1]Result_notebook_retravaill!H1217)</f>
        <v>0</v>
      </c>
      <c r="I1217" s="3">
        <f>[1]Result_notebook_retravaill!K1217</f>
        <v>237364.66280757709</v>
      </c>
      <c r="J1217" s="3">
        <f>MIN(G1217,[1]Result_notebook_retravaill!I1217)</f>
        <v>0</v>
      </c>
      <c r="K1217" s="3">
        <f>IF([1]Result_notebook_retravaill!I1217&gt;[1]Result_notebook_retravaill!G1217,0,IF([1]Result_notebook_retravaill!I1217+[1]Result_notebook_retravaill!J1217&gt;[1]Result_notebook_retravaill!G1217,[1]Result_notebook_retravaill!G1217-[1]Result_notebook_retravaill!I1217,[1]Result_notebook_retravaill!J1217))</f>
        <v>0</v>
      </c>
      <c r="L1217" s="3">
        <f>IF([1]Result_notebook_retravaill!I1217&gt;[1]Result_notebook_retravaill!G1217,0,IF([1]Result_notebook_retravaill!I1217+[1]Result_notebook_retravaill!J1217&gt;[1]Result_notebook_retravaill!G1217,0,[1]Result_notebook_retravaill!M1217))</f>
        <v>187518.08361798589</v>
      </c>
    </row>
    <row r="1218" spans="1:12">
      <c r="A1218">
        <f>[1]Result_notebook_retravaill!A1218</f>
        <v>2038</v>
      </c>
      <c r="B1218" t="str">
        <f>[1]Result_notebook_retravaill!B1218</f>
        <v>Nickel</v>
      </c>
      <c r="C1218" t="str">
        <f>[1]Result_notebook_retravaill!C1218</f>
        <v>Canada Net-zero</v>
      </c>
      <c r="D1218" t="str">
        <f>[1]Result_notebook_retravaill!D1218</f>
        <v>Existing production</v>
      </c>
      <c r="E1218" t="str">
        <f>[1]Result_notebook_retravaill!E1218</f>
        <v>Current shares</v>
      </c>
      <c r="F1218" t="str">
        <f>[1]Result_notebook_retravaill!F1218</f>
        <v>Status Quo</v>
      </c>
      <c r="G1218">
        <f>[1]Result_notebook_retravaill!G1218</f>
        <v>187518.08361798589</v>
      </c>
      <c r="H1218" s="3">
        <f>IF([1]Result_notebook_retravaill!I1218&gt;[1]Result_notebook_retravaill!G1218,[1]Result_notebook_retravaill!I1218/[1]Result_notebook_retravaill!N1218,[1]Result_notebook_retravaill!H1218)</f>
        <v>40840</v>
      </c>
      <c r="I1218" s="3">
        <f>[1]Result_notebook_retravaill!K1218</f>
        <v>196524.66280757709</v>
      </c>
      <c r="J1218" s="3">
        <f>MIN(G1218,[1]Result_notebook_retravaill!I1218)</f>
        <v>22906.340951526421</v>
      </c>
      <c r="K1218" s="3">
        <f>IF([1]Result_notebook_retravaill!I1218&gt;[1]Result_notebook_retravaill!G1218,0,IF([1]Result_notebook_retravaill!I1218+[1]Result_notebook_retravaill!J1218&gt;[1]Result_notebook_retravaill!G1218,[1]Result_notebook_retravaill!G1218-[1]Result_notebook_retravaill!I1218,[1]Result_notebook_retravaill!J1218))</f>
        <v>5647.7810806641901</v>
      </c>
      <c r="L1218" s="3">
        <f>IF([1]Result_notebook_retravaill!I1218&gt;[1]Result_notebook_retravaill!G1218,0,IF([1]Result_notebook_retravaill!I1218+[1]Result_notebook_retravaill!J1218&gt;[1]Result_notebook_retravaill!G1218,0,[1]Result_notebook_retravaill!M1218))</f>
        <v>158963.9615857953</v>
      </c>
    </row>
    <row r="1219" spans="1:12">
      <c r="A1219">
        <f>[1]Result_notebook_retravaill!A1219</f>
        <v>2038</v>
      </c>
      <c r="B1219" t="str">
        <f>[1]Result_notebook_retravaill!B1219</f>
        <v>Nickel</v>
      </c>
      <c r="C1219" t="str">
        <f>[1]Result_notebook_retravaill!C1219</f>
        <v>Canada Net-zero</v>
      </c>
      <c r="D1219" t="str">
        <f>[1]Result_notebook_retravaill!D1219</f>
        <v>Production potential</v>
      </c>
      <c r="E1219" t="str">
        <f>[1]Result_notebook_retravaill!E1219</f>
        <v>Current shares</v>
      </c>
      <c r="F1219" t="str">
        <f>[1]Result_notebook_retravaill!F1219</f>
        <v>Expansion Extractive</v>
      </c>
      <c r="G1219">
        <f>[1]Result_notebook_retravaill!G1219</f>
        <v>187518.08361798589</v>
      </c>
      <c r="H1219" s="3">
        <f>IF([1]Result_notebook_retravaill!I1219&gt;[1]Result_notebook_retravaill!G1219,[1]Result_notebook_retravaill!I1219/[1]Result_notebook_retravaill!N1219,[1]Result_notebook_retravaill!H1219)</f>
        <v>258091.26037832</v>
      </c>
      <c r="I1219" s="3">
        <f>[1]Result_notebook_retravaill!K1219</f>
        <v>0</v>
      </c>
      <c r="J1219" s="3">
        <f>MIN(G1219,[1]Result_notebook_retravaill!I1219)</f>
        <v>144758.23718988689</v>
      </c>
      <c r="K1219" s="3">
        <f>IF([1]Result_notebook_retravaill!I1219&gt;[1]Result_notebook_retravaill!G1219,0,IF([1]Result_notebook_retravaill!I1219+[1]Result_notebook_retravaill!J1219&gt;[1]Result_notebook_retravaill!G1219,[1]Result_notebook_retravaill!G1219-[1]Result_notebook_retravaill!I1219,[1]Result_notebook_retravaill!J1219))</f>
        <v>35691.550868008082</v>
      </c>
      <c r="L1219" s="3">
        <f>IF([1]Result_notebook_retravaill!I1219&gt;[1]Result_notebook_retravaill!G1219,0,IF([1]Result_notebook_retravaill!I1219+[1]Result_notebook_retravaill!J1219&gt;[1]Result_notebook_retravaill!G1219,0,[1]Result_notebook_retravaill!M1219))</f>
        <v>7068.295560090919</v>
      </c>
    </row>
    <row r="1220" spans="1:12">
      <c r="A1220">
        <f>[1]Result_notebook_retravaill!A1220</f>
        <v>2038</v>
      </c>
      <c r="B1220" t="str">
        <f>[1]Result_notebook_retravaill!B1220</f>
        <v>Nickel</v>
      </c>
      <c r="C1220" t="str">
        <f>[1]Result_notebook_retravaill!C1220</f>
        <v>Canada Net-zero</v>
      </c>
      <c r="D1220" t="str">
        <f>[1]Result_notebook_retravaill!D1220</f>
        <v>Production potential</v>
      </c>
      <c r="E1220" t="str">
        <f>[1]Result_notebook_retravaill!E1220</f>
        <v>Current shares</v>
      </c>
      <c r="F1220" t="str">
        <f>[1]Result_notebook_retravaill!F1220</f>
        <v>Expansion Extractive+Circularity</v>
      </c>
      <c r="G1220">
        <f>[1]Result_notebook_retravaill!G1220</f>
        <v>187518.08361798589</v>
      </c>
      <c r="H1220" s="3">
        <f>IF([1]Result_notebook_retravaill!I1220&gt;[1]Result_notebook_retravaill!G1220,[1]Result_notebook_retravaill!I1220/[1]Result_notebook_retravaill!N1220,[1]Result_notebook_retravaill!H1220)</f>
        <v>258091.26037832</v>
      </c>
      <c r="I1220" s="3">
        <f>[1]Result_notebook_retravaill!K1220</f>
        <v>0</v>
      </c>
      <c r="J1220" s="3">
        <f>MIN(G1220,[1]Result_notebook_retravaill!I1220)</f>
        <v>144758.23718988689</v>
      </c>
      <c r="K1220" s="3">
        <f>IF([1]Result_notebook_retravaill!I1220&gt;[1]Result_notebook_retravaill!G1220,0,IF([1]Result_notebook_retravaill!I1220+[1]Result_notebook_retravaill!J1220&gt;[1]Result_notebook_retravaill!G1220,[1]Result_notebook_retravaill!G1220-[1]Result_notebook_retravaill!I1220,[1]Result_notebook_retravaill!J1220))</f>
        <v>35691.550868008082</v>
      </c>
      <c r="L1220" s="3">
        <f>IF([1]Result_notebook_retravaill!I1220&gt;[1]Result_notebook_retravaill!G1220,0,IF([1]Result_notebook_retravaill!I1220+[1]Result_notebook_retravaill!J1220&gt;[1]Result_notebook_retravaill!G1220,0,[1]Result_notebook_retravaill!M1220))</f>
        <v>7068.295560090919</v>
      </c>
    </row>
    <row r="1221" spans="1:12">
      <c r="A1221">
        <f>[1]Result_notebook_retravaill!A1221</f>
        <v>2038</v>
      </c>
      <c r="B1221" t="str">
        <f>[1]Result_notebook_retravaill!B1221</f>
        <v>Nickel</v>
      </c>
      <c r="C1221" t="str">
        <f>[1]Result_notebook_retravaill!C1221</f>
        <v>Canada Net-zero</v>
      </c>
      <c r="D1221" t="str">
        <f>[1]Result_notebook_retravaill!D1221</f>
        <v>Production potential</v>
      </c>
      <c r="E1221" t="str">
        <f>[1]Result_notebook_retravaill!E1221</f>
        <v>100% CAN</v>
      </c>
      <c r="F1221" t="str">
        <f>[1]Result_notebook_retravaill!F1221</f>
        <v>Integrated</v>
      </c>
      <c r="G1221">
        <f>[1]Result_notebook_retravaill!G1221</f>
        <v>187518.08361798589</v>
      </c>
      <c r="H1221" s="3">
        <f>IF([1]Result_notebook_retravaill!I1221&gt;[1]Result_notebook_retravaill!G1221,[1]Result_notebook_retravaill!I1221/[1]Result_notebook_retravaill!N1221,[1]Result_notebook_retravaill!H1221)</f>
        <v>290717.45763230964</v>
      </c>
      <c r="I1221" s="3">
        <f>[1]Result_notebook_retravaill!K1221</f>
        <v>0</v>
      </c>
      <c r="J1221" s="3">
        <f>MIN(G1221,[1]Result_notebook_retravaill!I1221)</f>
        <v>187518.08361798589</v>
      </c>
      <c r="K1221" s="3">
        <f>IF([1]Result_notebook_retravaill!I1221&gt;[1]Result_notebook_retravaill!G1221,0,IF([1]Result_notebook_retravaill!I1221+[1]Result_notebook_retravaill!J1221&gt;[1]Result_notebook_retravaill!G1221,[1]Result_notebook_retravaill!G1221-[1]Result_notebook_retravaill!I1221,[1]Result_notebook_retravaill!J1221))</f>
        <v>0</v>
      </c>
      <c r="L1221" s="3">
        <f>IF([1]Result_notebook_retravaill!I1221&gt;[1]Result_notebook_retravaill!G1221,0,IF([1]Result_notebook_retravaill!I1221+[1]Result_notebook_retravaill!J1221&gt;[1]Result_notebook_retravaill!G1221,0,[1]Result_notebook_retravaill!M1221))</f>
        <v>0</v>
      </c>
    </row>
    <row r="1222" spans="1:12">
      <c r="A1222">
        <f>[1]Result_notebook_retravaill!A1222</f>
        <v>2038</v>
      </c>
      <c r="B1222" t="str">
        <f>[1]Result_notebook_retravaill!B1222</f>
        <v>Nickel</v>
      </c>
      <c r="C1222" t="str">
        <f>[1]Result_notebook_retravaill!C1222</f>
        <v>Current Measures</v>
      </c>
      <c r="D1222" t="str">
        <f>[1]Result_notebook_retravaill!D1222</f>
        <v>Existing production</v>
      </c>
      <c r="E1222" t="str">
        <f>[1]Result_notebook_retravaill!E1222</f>
        <v>Current shares</v>
      </c>
      <c r="F1222" t="str">
        <f>[1]Result_notebook_retravaill!F1222</f>
        <v>NIMBY</v>
      </c>
      <c r="G1222">
        <f>[1]Result_notebook_retravaill!G1222</f>
        <v>73173.599088158604</v>
      </c>
      <c r="H1222" s="3">
        <f>IF([1]Result_notebook_retravaill!I1222&gt;[1]Result_notebook_retravaill!G1222,[1]Result_notebook_retravaill!I1222/[1]Result_notebook_retravaill!N1222,[1]Result_notebook_retravaill!H1222)</f>
        <v>0</v>
      </c>
      <c r="I1222" s="3">
        <f>[1]Result_notebook_retravaill!K1222</f>
        <v>92624.808972352665</v>
      </c>
      <c r="J1222" s="3">
        <f>MIN(G1222,[1]Result_notebook_retravaill!I1222)</f>
        <v>0</v>
      </c>
      <c r="K1222" s="3">
        <f>IF([1]Result_notebook_retravaill!I1222&gt;[1]Result_notebook_retravaill!G1222,0,IF([1]Result_notebook_retravaill!I1222+[1]Result_notebook_retravaill!J1222&gt;[1]Result_notebook_retravaill!G1222,[1]Result_notebook_retravaill!G1222-[1]Result_notebook_retravaill!I1222,[1]Result_notebook_retravaill!J1222))</f>
        <v>0</v>
      </c>
      <c r="L1222" s="3">
        <f>IF([1]Result_notebook_retravaill!I1222&gt;[1]Result_notebook_retravaill!G1222,0,IF([1]Result_notebook_retravaill!I1222+[1]Result_notebook_retravaill!J1222&gt;[1]Result_notebook_retravaill!G1222,0,[1]Result_notebook_retravaill!M1222))</f>
        <v>73173.599088158604</v>
      </c>
    </row>
    <row r="1223" spans="1:12">
      <c r="A1223">
        <f>[1]Result_notebook_retravaill!A1223</f>
        <v>2038</v>
      </c>
      <c r="B1223" t="str">
        <f>[1]Result_notebook_retravaill!B1223</f>
        <v>Nickel</v>
      </c>
      <c r="C1223" t="str">
        <f>[1]Result_notebook_retravaill!C1223</f>
        <v>Current Measures</v>
      </c>
      <c r="D1223" t="str">
        <f>[1]Result_notebook_retravaill!D1223</f>
        <v>Existing production</v>
      </c>
      <c r="E1223" t="str">
        <f>[1]Result_notebook_retravaill!E1223</f>
        <v>Current shares</v>
      </c>
      <c r="F1223" t="str">
        <f>[1]Result_notebook_retravaill!F1223</f>
        <v>Status Quo</v>
      </c>
      <c r="G1223">
        <f>[1]Result_notebook_retravaill!G1223</f>
        <v>73173.599088158604</v>
      </c>
      <c r="H1223" s="3">
        <f>IF([1]Result_notebook_retravaill!I1223&gt;[1]Result_notebook_retravaill!G1223,[1]Result_notebook_retravaill!I1223/[1]Result_notebook_retravaill!N1223,[1]Result_notebook_retravaill!H1223)</f>
        <v>40840</v>
      </c>
      <c r="I1223" s="3">
        <f>[1]Result_notebook_retravaill!K1223</f>
        <v>51784.808972352657</v>
      </c>
      <c r="J1223" s="3">
        <f>MIN(G1223,[1]Result_notebook_retravaill!I1223)</f>
        <v>22906.340951526421</v>
      </c>
      <c r="K1223" s="3">
        <f>IF([1]Result_notebook_retravaill!I1223&gt;[1]Result_notebook_retravaill!G1223,0,IF([1]Result_notebook_retravaill!I1223+[1]Result_notebook_retravaill!J1223&gt;[1]Result_notebook_retravaill!G1223,[1]Result_notebook_retravaill!G1223-[1]Result_notebook_retravaill!I1223,[1]Result_notebook_retravaill!J1223))</f>
        <v>5647.7810806641901</v>
      </c>
      <c r="L1223" s="3">
        <f>IF([1]Result_notebook_retravaill!I1223&gt;[1]Result_notebook_retravaill!G1223,0,IF([1]Result_notebook_retravaill!I1223+[1]Result_notebook_retravaill!J1223&gt;[1]Result_notebook_retravaill!G1223,0,[1]Result_notebook_retravaill!M1223))</f>
        <v>44619.477055967989</v>
      </c>
    </row>
    <row r="1224" spans="1:12">
      <c r="A1224">
        <f>[1]Result_notebook_retravaill!A1224</f>
        <v>2038</v>
      </c>
      <c r="B1224" t="str">
        <f>[1]Result_notebook_retravaill!B1224</f>
        <v>Nickel</v>
      </c>
      <c r="C1224" t="str">
        <f>[1]Result_notebook_retravaill!C1224</f>
        <v>Current Measures</v>
      </c>
      <c r="D1224" t="str">
        <f>[1]Result_notebook_retravaill!D1224</f>
        <v>Production potential</v>
      </c>
      <c r="E1224" t="str">
        <f>[1]Result_notebook_retravaill!E1224</f>
        <v>Current shares</v>
      </c>
      <c r="F1224" t="str">
        <f>[1]Result_notebook_retravaill!F1224</f>
        <v>Expansion Extractive</v>
      </c>
      <c r="G1224">
        <f>[1]Result_notebook_retravaill!G1224</f>
        <v>73173.599088158604</v>
      </c>
      <c r="H1224" s="3">
        <f>IF([1]Result_notebook_retravaill!I1224&gt;[1]Result_notebook_retravaill!G1224,[1]Result_notebook_retravaill!I1224/[1]Result_notebook_retravaill!N1224,[1]Result_notebook_retravaill!H1224)</f>
        <v>207042.83606304353</v>
      </c>
      <c r="I1224" s="3">
        <f>[1]Result_notebook_retravaill!K1224</f>
        <v>0</v>
      </c>
      <c r="J1224" s="3">
        <f>MIN(G1224,[1]Result_notebook_retravaill!I1224)</f>
        <v>73173.599088158604</v>
      </c>
      <c r="K1224" s="3">
        <f>IF([1]Result_notebook_retravaill!I1224&gt;[1]Result_notebook_retravaill!G1224,0,IF([1]Result_notebook_retravaill!I1224+[1]Result_notebook_retravaill!J1224&gt;[1]Result_notebook_retravaill!G1224,[1]Result_notebook_retravaill!G1224-[1]Result_notebook_retravaill!I1224,[1]Result_notebook_retravaill!J1224))</f>
        <v>0</v>
      </c>
      <c r="L1224" s="3">
        <f>IF([1]Result_notebook_retravaill!I1224&gt;[1]Result_notebook_retravaill!G1224,0,IF([1]Result_notebook_retravaill!I1224+[1]Result_notebook_retravaill!J1224&gt;[1]Result_notebook_retravaill!G1224,0,[1]Result_notebook_retravaill!M1224))</f>
        <v>0</v>
      </c>
    </row>
    <row r="1225" spans="1:12">
      <c r="A1225">
        <f>[1]Result_notebook_retravaill!A1225</f>
        <v>2038</v>
      </c>
      <c r="B1225" t="str">
        <f>[1]Result_notebook_retravaill!B1225</f>
        <v>Nickel</v>
      </c>
      <c r="C1225" t="str">
        <f>[1]Result_notebook_retravaill!C1225</f>
        <v>Current Measures</v>
      </c>
      <c r="D1225" t="str">
        <f>[1]Result_notebook_retravaill!D1225</f>
        <v>Production potential</v>
      </c>
      <c r="E1225" t="str">
        <f>[1]Result_notebook_retravaill!E1225</f>
        <v>Current shares</v>
      </c>
      <c r="F1225" t="str">
        <f>[1]Result_notebook_retravaill!F1225</f>
        <v>Expansion Extractive+Circularity</v>
      </c>
      <c r="G1225">
        <f>[1]Result_notebook_retravaill!G1225</f>
        <v>73173.599088158604</v>
      </c>
      <c r="H1225" s="3">
        <f>IF([1]Result_notebook_retravaill!I1225&gt;[1]Result_notebook_retravaill!G1225,[1]Result_notebook_retravaill!I1225/[1]Result_notebook_retravaill!N1225,[1]Result_notebook_retravaill!H1225)</f>
        <v>207042.83606304353</v>
      </c>
      <c r="I1225" s="3">
        <f>[1]Result_notebook_retravaill!K1225</f>
        <v>0</v>
      </c>
      <c r="J1225" s="3">
        <f>MIN(G1225,[1]Result_notebook_retravaill!I1225)</f>
        <v>73173.599088158604</v>
      </c>
      <c r="K1225" s="3">
        <f>IF([1]Result_notebook_retravaill!I1225&gt;[1]Result_notebook_retravaill!G1225,0,IF([1]Result_notebook_retravaill!I1225+[1]Result_notebook_retravaill!J1225&gt;[1]Result_notebook_retravaill!G1225,[1]Result_notebook_retravaill!G1225-[1]Result_notebook_retravaill!I1225,[1]Result_notebook_retravaill!J1225))</f>
        <v>0</v>
      </c>
      <c r="L1225" s="3">
        <f>IF([1]Result_notebook_retravaill!I1225&gt;[1]Result_notebook_retravaill!G1225,0,IF([1]Result_notebook_retravaill!I1225+[1]Result_notebook_retravaill!J1225&gt;[1]Result_notebook_retravaill!G1225,0,[1]Result_notebook_retravaill!M1225))</f>
        <v>0</v>
      </c>
    </row>
    <row r="1226" spans="1:12">
      <c r="A1226">
        <f>[1]Result_notebook_retravaill!A1226</f>
        <v>2038</v>
      </c>
      <c r="B1226" t="str">
        <f>[1]Result_notebook_retravaill!B1226</f>
        <v>Nickel</v>
      </c>
      <c r="C1226" t="str">
        <f>[1]Result_notebook_retravaill!C1226</f>
        <v>Current Measures</v>
      </c>
      <c r="D1226" t="str">
        <f>[1]Result_notebook_retravaill!D1226</f>
        <v>Production potential</v>
      </c>
      <c r="E1226" t="str">
        <f>[1]Result_notebook_retravaill!E1226</f>
        <v>100% CAN</v>
      </c>
      <c r="F1226" t="str">
        <f>[1]Result_notebook_retravaill!F1226</f>
        <v>Integrated</v>
      </c>
      <c r="G1226">
        <f>[1]Result_notebook_retravaill!G1226</f>
        <v>73173.599088158604</v>
      </c>
      <c r="H1226" s="3">
        <f>IF([1]Result_notebook_retravaill!I1226&gt;[1]Result_notebook_retravaill!G1226,[1]Result_notebook_retravaill!I1226/[1]Result_notebook_retravaill!N1226,[1]Result_notebook_retravaill!H1226)</f>
        <v>290717.45763230964</v>
      </c>
      <c r="I1226" s="3">
        <f>[1]Result_notebook_retravaill!K1226</f>
        <v>0</v>
      </c>
      <c r="J1226" s="3">
        <f>MIN(G1226,[1]Result_notebook_retravaill!I1226)</f>
        <v>73173.599088158604</v>
      </c>
      <c r="K1226" s="3">
        <f>IF([1]Result_notebook_retravaill!I1226&gt;[1]Result_notebook_retravaill!G1226,0,IF([1]Result_notebook_retravaill!I1226+[1]Result_notebook_retravaill!J1226&gt;[1]Result_notebook_retravaill!G1226,[1]Result_notebook_retravaill!G1226-[1]Result_notebook_retravaill!I1226,[1]Result_notebook_retravaill!J1226))</f>
        <v>0</v>
      </c>
      <c r="L1226" s="3">
        <f>IF([1]Result_notebook_retravaill!I1226&gt;[1]Result_notebook_retravaill!G1226,0,IF([1]Result_notebook_retravaill!I1226+[1]Result_notebook_retravaill!J1226&gt;[1]Result_notebook_retravaill!G1226,0,[1]Result_notebook_retravaill!M1226))</f>
        <v>0</v>
      </c>
    </row>
    <row r="1227" spans="1:12">
      <c r="A1227">
        <f>[1]Result_notebook_retravaill!A1227</f>
        <v>2038</v>
      </c>
      <c r="B1227" t="str">
        <f>[1]Result_notebook_retravaill!B1227</f>
        <v>Nickel</v>
      </c>
      <c r="C1227" t="str">
        <f>[1]Result_notebook_retravaill!C1227</f>
        <v>Global Net-zero</v>
      </c>
      <c r="D1227" t="str">
        <f>[1]Result_notebook_retravaill!D1227</f>
        <v>Existing production</v>
      </c>
      <c r="E1227" t="str">
        <f>[1]Result_notebook_retravaill!E1227</f>
        <v>Current shares</v>
      </c>
      <c r="F1227" t="str">
        <f>[1]Result_notebook_retravaill!F1227</f>
        <v>NIMBY</v>
      </c>
      <c r="G1227">
        <f>[1]Result_notebook_retravaill!G1227</f>
        <v>180012.93508836121</v>
      </c>
      <c r="H1227" s="3">
        <f>IF([1]Result_notebook_retravaill!I1227&gt;[1]Result_notebook_retravaill!G1227,[1]Result_notebook_retravaill!I1227/[1]Result_notebook_retravaill!N1227,[1]Result_notebook_retravaill!H1227)</f>
        <v>0</v>
      </c>
      <c r="I1227" s="3">
        <f>[1]Result_notebook_retravaill!K1227</f>
        <v>227864.47479539391</v>
      </c>
      <c r="J1227" s="3">
        <f>MIN(G1227,[1]Result_notebook_retravaill!I1227)</f>
        <v>0</v>
      </c>
      <c r="K1227" s="3">
        <f>IF([1]Result_notebook_retravaill!I1227&gt;[1]Result_notebook_retravaill!G1227,0,IF([1]Result_notebook_retravaill!I1227+[1]Result_notebook_retravaill!J1227&gt;[1]Result_notebook_retravaill!G1227,[1]Result_notebook_retravaill!G1227-[1]Result_notebook_retravaill!I1227,[1]Result_notebook_retravaill!J1227))</f>
        <v>0</v>
      </c>
      <c r="L1227" s="3">
        <f>IF([1]Result_notebook_retravaill!I1227&gt;[1]Result_notebook_retravaill!G1227,0,IF([1]Result_notebook_retravaill!I1227+[1]Result_notebook_retravaill!J1227&gt;[1]Result_notebook_retravaill!G1227,0,[1]Result_notebook_retravaill!M1227))</f>
        <v>180012.93508836121</v>
      </c>
    </row>
    <row r="1228" spans="1:12">
      <c r="A1228">
        <f>[1]Result_notebook_retravaill!A1228</f>
        <v>2038</v>
      </c>
      <c r="B1228" t="str">
        <f>[1]Result_notebook_retravaill!B1228</f>
        <v>Nickel</v>
      </c>
      <c r="C1228" t="str">
        <f>[1]Result_notebook_retravaill!C1228</f>
        <v>Global Net-zero</v>
      </c>
      <c r="D1228" t="str">
        <f>[1]Result_notebook_retravaill!D1228</f>
        <v>Existing production</v>
      </c>
      <c r="E1228" t="str">
        <f>[1]Result_notebook_retravaill!E1228</f>
        <v>Current shares</v>
      </c>
      <c r="F1228" t="str">
        <f>[1]Result_notebook_retravaill!F1228</f>
        <v>Status Quo</v>
      </c>
      <c r="G1228">
        <f>[1]Result_notebook_retravaill!G1228</f>
        <v>180012.93508836121</v>
      </c>
      <c r="H1228" s="3">
        <f>IF([1]Result_notebook_retravaill!I1228&gt;[1]Result_notebook_retravaill!G1228,[1]Result_notebook_retravaill!I1228/[1]Result_notebook_retravaill!N1228,[1]Result_notebook_retravaill!H1228)</f>
        <v>40840</v>
      </c>
      <c r="I1228" s="3">
        <f>[1]Result_notebook_retravaill!K1228</f>
        <v>187024.47479539391</v>
      </c>
      <c r="J1228" s="3">
        <f>MIN(G1228,[1]Result_notebook_retravaill!I1228)</f>
        <v>22906.340951526421</v>
      </c>
      <c r="K1228" s="3">
        <f>IF([1]Result_notebook_retravaill!I1228&gt;[1]Result_notebook_retravaill!G1228,0,IF([1]Result_notebook_retravaill!I1228+[1]Result_notebook_retravaill!J1228&gt;[1]Result_notebook_retravaill!G1228,[1]Result_notebook_retravaill!G1228-[1]Result_notebook_retravaill!I1228,[1]Result_notebook_retravaill!J1228))</f>
        <v>5647.7810806641901</v>
      </c>
      <c r="L1228" s="3">
        <f>IF([1]Result_notebook_retravaill!I1228&gt;[1]Result_notebook_retravaill!G1228,0,IF([1]Result_notebook_retravaill!I1228+[1]Result_notebook_retravaill!J1228&gt;[1]Result_notebook_retravaill!G1228,0,[1]Result_notebook_retravaill!M1228))</f>
        <v>151458.81305617062</v>
      </c>
    </row>
    <row r="1229" spans="1:12">
      <c r="A1229">
        <f>[1]Result_notebook_retravaill!A1229</f>
        <v>2038</v>
      </c>
      <c r="B1229" t="str">
        <f>[1]Result_notebook_retravaill!B1229</f>
        <v>Nickel</v>
      </c>
      <c r="C1229" t="str">
        <f>[1]Result_notebook_retravaill!C1229</f>
        <v>Global Net-zero</v>
      </c>
      <c r="D1229" t="str">
        <f>[1]Result_notebook_retravaill!D1229</f>
        <v>Production potential</v>
      </c>
      <c r="E1229" t="str">
        <f>[1]Result_notebook_retravaill!E1229</f>
        <v>Current shares</v>
      </c>
      <c r="F1229" t="str">
        <f>[1]Result_notebook_retravaill!F1229</f>
        <v>Expansion Extractive</v>
      </c>
      <c r="G1229">
        <f>[1]Result_notebook_retravaill!G1229</f>
        <v>180012.93508836121</v>
      </c>
      <c r="H1229" s="3">
        <f>IF([1]Result_notebook_retravaill!I1229&gt;[1]Result_notebook_retravaill!G1229,[1]Result_notebook_retravaill!I1229/[1]Result_notebook_retravaill!N1229,[1]Result_notebook_retravaill!H1229)</f>
        <v>258091.26037832</v>
      </c>
      <c r="I1229" s="3">
        <f>[1]Result_notebook_retravaill!K1229</f>
        <v>0</v>
      </c>
      <c r="J1229" s="3">
        <f>MIN(G1229,[1]Result_notebook_retravaill!I1229)</f>
        <v>144758.23718988689</v>
      </c>
      <c r="K1229" s="3">
        <f>IF([1]Result_notebook_retravaill!I1229&gt;[1]Result_notebook_retravaill!G1229,0,IF([1]Result_notebook_retravaill!I1229+[1]Result_notebook_retravaill!J1229&gt;[1]Result_notebook_retravaill!G1229,[1]Result_notebook_retravaill!G1229-[1]Result_notebook_retravaill!I1229,[1]Result_notebook_retravaill!J1229))</f>
        <v>35254.697898474318</v>
      </c>
      <c r="L1229" s="3">
        <f>IF([1]Result_notebook_retravaill!I1229&gt;[1]Result_notebook_retravaill!G1229,0,IF([1]Result_notebook_retravaill!I1229+[1]Result_notebook_retravaill!J1229&gt;[1]Result_notebook_retravaill!G1229,0,[1]Result_notebook_retravaill!M1229))</f>
        <v>0</v>
      </c>
    </row>
    <row r="1230" spans="1:12">
      <c r="A1230">
        <f>[1]Result_notebook_retravaill!A1230</f>
        <v>2038</v>
      </c>
      <c r="B1230" t="str">
        <f>[1]Result_notebook_retravaill!B1230</f>
        <v>Nickel</v>
      </c>
      <c r="C1230" t="str">
        <f>[1]Result_notebook_retravaill!C1230</f>
        <v>Global Net-zero</v>
      </c>
      <c r="D1230" t="str">
        <f>[1]Result_notebook_retravaill!D1230</f>
        <v>Production potential</v>
      </c>
      <c r="E1230" t="str">
        <f>[1]Result_notebook_retravaill!E1230</f>
        <v>Current shares</v>
      </c>
      <c r="F1230" t="str">
        <f>[1]Result_notebook_retravaill!F1230</f>
        <v>Expansion Extractive+Circularity</v>
      </c>
      <c r="G1230">
        <f>[1]Result_notebook_retravaill!G1230</f>
        <v>180012.93508836121</v>
      </c>
      <c r="H1230" s="3">
        <f>IF([1]Result_notebook_retravaill!I1230&gt;[1]Result_notebook_retravaill!G1230,[1]Result_notebook_retravaill!I1230/[1]Result_notebook_retravaill!N1230,[1]Result_notebook_retravaill!H1230)</f>
        <v>258091.26037832</v>
      </c>
      <c r="I1230" s="3">
        <f>[1]Result_notebook_retravaill!K1230</f>
        <v>0</v>
      </c>
      <c r="J1230" s="3">
        <f>MIN(G1230,[1]Result_notebook_retravaill!I1230)</f>
        <v>144758.23718988689</v>
      </c>
      <c r="K1230" s="3">
        <f>IF([1]Result_notebook_retravaill!I1230&gt;[1]Result_notebook_retravaill!G1230,0,IF([1]Result_notebook_retravaill!I1230+[1]Result_notebook_retravaill!J1230&gt;[1]Result_notebook_retravaill!G1230,[1]Result_notebook_retravaill!G1230-[1]Result_notebook_retravaill!I1230,[1]Result_notebook_retravaill!J1230))</f>
        <v>35254.697898474318</v>
      </c>
      <c r="L1230" s="3">
        <f>IF([1]Result_notebook_retravaill!I1230&gt;[1]Result_notebook_retravaill!G1230,0,IF([1]Result_notebook_retravaill!I1230+[1]Result_notebook_retravaill!J1230&gt;[1]Result_notebook_retravaill!G1230,0,[1]Result_notebook_retravaill!M1230))</f>
        <v>0</v>
      </c>
    </row>
    <row r="1231" spans="1:12">
      <c r="A1231">
        <f>[1]Result_notebook_retravaill!A1231</f>
        <v>2038</v>
      </c>
      <c r="B1231" t="str">
        <f>[1]Result_notebook_retravaill!B1231</f>
        <v>Nickel</v>
      </c>
      <c r="C1231" t="str">
        <f>[1]Result_notebook_retravaill!C1231</f>
        <v>Global Net-zero</v>
      </c>
      <c r="D1231" t="str">
        <f>[1]Result_notebook_retravaill!D1231</f>
        <v>Production potential</v>
      </c>
      <c r="E1231" t="str">
        <f>[1]Result_notebook_retravaill!E1231</f>
        <v>100% CAN</v>
      </c>
      <c r="F1231" t="str">
        <f>[1]Result_notebook_retravaill!F1231</f>
        <v>Integrated</v>
      </c>
      <c r="G1231">
        <f>[1]Result_notebook_retravaill!G1231</f>
        <v>180012.93508836121</v>
      </c>
      <c r="H1231" s="3">
        <f>IF([1]Result_notebook_retravaill!I1231&gt;[1]Result_notebook_retravaill!G1231,[1]Result_notebook_retravaill!I1231/[1]Result_notebook_retravaill!N1231,[1]Result_notebook_retravaill!H1231)</f>
        <v>290717.45763230964</v>
      </c>
      <c r="I1231" s="3">
        <f>[1]Result_notebook_retravaill!K1231</f>
        <v>0</v>
      </c>
      <c r="J1231" s="3">
        <f>MIN(G1231,[1]Result_notebook_retravaill!I1231)</f>
        <v>180012.93508836121</v>
      </c>
      <c r="K1231" s="3">
        <f>IF([1]Result_notebook_retravaill!I1231&gt;[1]Result_notebook_retravaill!G1231,0,IF([1]Result_notebook_retravaill!I1231+[1]Result_notebook_retravaill!J1231&gt;[1]Result_notebook_retravaill!G1231,[1]Result_notebook_retravaill!G1231-[1]Result_notebook_retravaill!I1231,[1]Result_notebook_retravaill!J1231))</f>
        <v>0</v>
      </c>
      <c r="L1231" s="3">
        <f>IF([1]Result_notebook_retravaill!I1231&gt;[1]Result_notebook_retravaill!G1231,0,IF([1]Result_notebook_retravaill!I1231+[1]Result_notebook_retravaill!J1231&gt;[1]Result_notebook_retravaill!G1231,0,[1]Result_notebook_retravaill!M1231))</f>
        <v>0</v>
      </c>
    </row>
    <row r="1232" spans="1:12">
      <c r="A1232">
        <f>[1]Result_notebook_retravaill!A1232</f>
        <v>2038</v>
      </c>
      <c r="B1232" t="str">
        <f>[1]Result_notebook_retravaill!B1232</f>
        <v>Graphite</v>
      </c>
      <c r="C1232" t="str">
        <f>[1]Result_notebook_retravaill!C1232</f>
        <v>Canada Net-zero</v>
      </c>
      <c r="D1232" t="str">
        <f>[1]Result_notebook_retravaill!D1232</f>
        <v>Existing production</v>
      </c>
      <c r="E1232" t="str">
        <f>[1]Result_notebook_retravaill!E1232</f>
        <v>Current shares</v>
      </c>
      <c r="F1232" t="str">
        <f>[1]Result_notebook_retravaill!F1232</f>
        <v>NIMBY</v>
      </c>
      <c r="G1232">
        <f>[1]Result_notebook_retravaill!G1232</f>
        <v>3217.8690369252022</v>
      </c>
      <c r="H1232" s="3">
        <f>IF([1]Result_notebook_retravaill!I1232&gt;[1]Result_notebook_retravaill!G1232,[1]Result_notebook_retravaill!I1232/[1]Result_notebook_retravaill!N1232,[1]Result_notebook_retravaill!H1232)</f>
        <v>0</v>
      </c>
      <c r="I1232" s="3">
        <f>[1]Result_notebook_retravaill!K1232</f>
        <v>3217.8690369252022</v>
      </c>
      <c r="J1232" s="3">
        <f>MIN(G1232,[1]Result_notebook_retravaill!I1232)</f>
        <v>0</v>
      </c>
      <c r="K1232" s="3">
        <f>IF([1]Result_notebook_retravaill!I1232&gt;[1]Result_notebook_retravaill!G1232,0,IF([1]Result_notebook_retravaill!I1232+[1]Result_notebook_retravaill!J1232&gt;[1]Result_notebook_retravaill!G1232,[1]Result_notebook_retravaill!G1232-[1]Result_notebook_retravaill!I1232,[1]Result_notebook_retravaill!J1232))</f>
        <v>0</v>
      </c>
      <c r="L1232" s="3">
        <f>IF([1]Result_notebook_retravaill!I1232&gt;[1]Result_notebook_retravaill!G1232,0,IF([1]Result_notebook_retravaill!I1232+[1]Result_notebook_retravaill!J1232&gt;[1]Result_notebook_retravaill!G1232,0,[1]Result_notebook_retravaill!M1232))</f>
        <v>3217.8690369252022</v>
      </c>
    </row>
    <row r="1233" spans="1:12">
      <c r="A1233">
        <f>[1]Result_notebook_retravaill!A1233</f>
        <v>2038</v>
      </c>
      <c r="B1233" t="str">
        <f>[1]Result_notebook_retravaill!B1233</f>
        <v>Graphite</v>
      </c>
      <c r="C1233" t="str">
        <f>[1]Result_notebook_retravaill!C1233</f>
        <v>Canada Net-zero</v>
      </c>
      <c r="D1233" t="str">
        <f>[1]Result_notebook_retravaill!D1233</f>
        <v>Existing production</v>
      </c>
      <c r="E1233" t="str">
        <f>[1]Result_notebook_retravaill!E1233</f>
        <v>Current shares</v>
      </c>
      <c r="F1233" t="str">
        <f>[1]Result_notebook_retravaill!F1233</f>
        <v>Status Quo</v>
      </c>
      <c r="G1233">
        <f>[1]Result_notebook_retravaill!G1233</f>
        <v>3217.8690369252022</v>
      </c>
      <c r="H1233" s="3">
        <f>IF([1]Result_notebook_retravaill!I1233&gt;[1]Result_notebook_retravaill!G1233,[1]Result_notebook_retravaill!I1233/[1]Result_notebook_retravaill!N1233,[1]Result_notebook_retravaill!H1233)</f>
        <v>0</v>
      </c>
      <c r="I1233" s="3">
        <f>[1]Result_notebook_retravaill!K1233</f>
        <v>3217.8690369252022</v>
      </c>
      <c r="J1233" s="3">
        <f>MIN(G1233,[1]Result_notebook_retravaill!I1233)</f>
        <v>0</v>
      </c>
      <c r="K1233" s="3">
        <f>IF([1]Result_notebook_retravaill!I1233&gt;[1]Result_notebook_retravaill!G1233,0,IF([1]Result_notebook_retravaill!I1233+[1]Result_notebook_retravaill!J1233&gt;[1]Result_notebook_retravaill!G1233,[1]Result_notebook_retravaill!G1233-[1]Result_notebook_retravaill!I1233,[1]Result_notebook_retravaill!J1233))</f>
        <v>0</v>
      </c>
      <c r="L1233" s="3">
        <f>IF([1]Result_notebook_retravaill!I1233&gt;[1]Result_notebook_retravaill!G1233,0,IF([1]Result_notebook_retravaill!I1233+[1]Result_notebook_retravaill!J1233&gt;[1]Result_notebook_retravaill!G1233,0,[1]Result_notebook_retravaill!M1233))</f>
        <v>3217.8690369252022</v>
      </c>
    </row>
    <row r="1234" spans="1:12">
      <c r="A1234">
        <f>[1]Result_notebook_retravaill!A1234</f>
        <v>2038</v>
      </c>
      <c r="B1234" t="str">
        <f>[1]Result_notebook_retravaill!B1234</f>
        <v>Graphite</v>
      </c>
      <c r="C1234" t="str">
        <f>[1]Result_notebook_retravaill!C1234</f>
        <v>Canada Net-zero</v>
      </c>
      <c r="D1234" t="str">
        <f>[1]Result_notebook_retravaill!D1234</f>
        <v>Production potential</v>
      </c>
      <c r="E1234" t="str">
        <f>[1]Result_notebook_retravaill!E1234</f>
        <v>Current shares</v>
      </c>
      <c r="F1234" t="str">
        <f>[1]Result_notebook_retravaill!F1234</f>
        <v>Expansion Extractive</v>
      </c>
      <c r="G1234">
        <f>[1]Result_notebook_retravaill!G1234</f>
        <v>3217.8690369252022</v>
      </c>
      <c r="H1234" s="3">
        <f>IF([1]Result_notebook_retravaill!I1234&gt;[1]Result_notebook_retravaill!G1234,[1]Result_notebook_retravaill!I1234/[1]Result_notebook_retravaill!N1234,[1]Result_notebook_retravaill!H1234)</f>
        <v>151540.58568370005</v>
      </c>
      <c r="I1234" s="3">
        <f>[1]Result_notebook_retravaill!K1234</f>
        <v>0</v>
      </c>
      <c r="J1234" s="3">
        <f>MIN(G1234,[1]Result_notebook_retravaill!I1234)</f>
        <v>3217.8690369252022</v>
      </c>
      <c r="K1234" s="3">
        <f>IF([1]Result_notebook_retravaill!I1234&gt;[1]Result_notebook_retravaill!G1234,0,IF([1]Result_notebook_retravaill!I1234+[1]Result_notebook_retravaill!J1234&gt;[1]Result_notebook_retravaill!G1234,[1]Result_notebook_retravaill!G1234-[1]Result_notebook_retravaill!I1234,[1]Result_notebook_retravaill!J1234))</f>
        <v>0</v>
      </c>
      <c r="L1234" s="3">
        <f>IF([1]Result_notebook_retravaill!I1234&gt;[1]Result_notebook_retravaill!G1234,0,IF([1]Result_notebook_retravaill!I1234+[1]Result_notebook_retravaill!J1234&gt;[1]Result_notebook_retravaill!G1234,0,[1]Result_notebook_retravaill!M1234))</f>
        <v>0</v>
      </c>
    </row>
    <row r="1235" spans="1:12">
      <c r="A1235">
        <f>[1]Result_notebook_retravaill!A1235</f>
        <v>2038</v>
      </c>
      <c r="B1235" t="str">
        <f>[1]Result_notebook_retravaill!B1235</f>
        <v>Graphite</v>
      </c>
      <c r="C1235" t="str">
        <f>[1]Result_notebook_retravaill!C1235</f>
        <v>Canada Net-zero</v>
      </c>
      <c r="D1235" t="str">
        <f>[1]Result_notebook_retravaill!D1235</f>
        <v>Production potential</v>
      </c>
      <c r="E1235" t="str">
        <f>[1]Result_notebook_retravaill!E1235</f>
        <v>Current shares</v>
      </c>
      <c r="F1235" t="str">
        <f>[1]Result_notebook_retravaill!F1235</f>
        <v>Expansion Extractive+Circularity</v>
      </c>
      <c r="G1235">
        <f>[1]Result_notebook_retravaill!G1235</f>
        <v>3217.8690369252022</v>
      </c>
      <c r="H1235" s="3">
        <f>IF([1]Result_notebook_retravaill!I1235&gt;[1]Result_notebook_retravaill!G1235,[1]Result_notebook_retravaill!I1235/[1]Result_notebook_retravaill!N1235,[1]Result_notebook_retravaill!H1235)</f>
        <v>151540.58568370005</v>
      </c>
      <c r="I1235" s="3">
        <f>[1]Result_notebook_retravaill!K1235</f>
        <v>0</v>
      </c>
      <c r="J1235" s="3">
        <f>MIN(G1235,[1]Result_notebook_retravaill!I1235)</f>
        <v>3217.8690369252022</v>
      </c>
      <c r="K1235" s="3">
        <f>IF([1]Result_notebook_retravaill!I1235&gt;[1]Result_notebook_retravaill!G1235,0,IF([1]Result_notebook_retravaill!I1235+[1]Result_notebook_retravaill!J1235&gt;[1]Result_notebook_retravaill!G1235,[1]Result_notebook_retravaill!G1235-[1]Result_notebook_retravaill!I1235,[1]Result_notebook_retravaill!J1235))</f>
        <v>0</v>
      </c>
      <c r="L1235" s="3">
        <f>IF([1]Result_notebook_retravaill!I1235&gt;[1]Result_notebook_retravaill!G1235,0,IF([1]Result_notebook_retravaill!I1235+[1]Result_notebook_retravaill!J1235&gt;[1]Result_notebook_retravaill!G1235,0,[1]Result_notebook_retravaill!M1235))</f>
        <v>0</v>
      </c>
    </row>
    <row r="1236" spans="1:12">
      <c r="A1236">
        <f>[1]Result_notebook_retravaill!A1236</f>
        <v>2038</v>
      </c>
      <c r="B1236" t="str">
        <f>[1]Result_notebook_retravaill!B1236</f>
        <v>Graphite</v>
      </c>
      <c r="C1236" t="str">
        <f>[1]Result_notebook_retravaill!C1236</f>
        <v>Canada Net-zero</v>
      </c>
      <c r="D1236" t="str">
        <f>[1]Result_notebook_retravaill!D1236</f>
        <v>Production potential</v>
      </c>
      <c r="E1236" t="str">
        <f>[1]Result_notebook_retravaill!E1236</f>
        <v>100% CAN</v>
      </c>
      <c r="F1236" t="str">
        <f>[1]Result_notebook_retravaill!F1236</f>
        <v>Integrated</v>
      </c>
      <c r="G1236">
        <f>[1]Result_notebook_retravaill!G1236</f>
        <v>3217.8690369252022</v>
      </c>
      <c r="H1236" s="3">
        <f>IF([1]Result_notebook_retravaill!I1236&gt;[1]Result_notebook_retravaill!G1236,[1]Result_notebook_retravaill!I1236/[1]Result_notebook_retravaill!N1236,[1]Result_notebook_retravaill!H1236)</f>
        <v>151540.58568370005</v>
      </c>
      <c r="I1236" s="3">
        <f>[1]Result_notebook_retravaill!K1236</f>
        <v>0</v>
      </c>
      <c r="J1236" s="3">
        <f>MIN(G1236,[1]Result_notebook_retravaill!I1236)</f>
        <v>3217.8690369252022</v>
      </c>
      <c r="K1236" s="3">
        <f>IF([1]Result_notebook_retravaill!I1236&gt;[1]Result_notebook_retravaill!G1236,0,IF([1]Result_notebook_retravaill!I1236+[1]Result_notebook_retravaill!J1236&gt;[1]Result_notebook_retravaill!G1236,[1]Result_notebook_retravaill!G1236-[1]Result_notebook_retravaill!I1236,[1]Result_notebook_retravaill!J1236))</f>
        <v>0</v>
      </c>
      <c r="L1236" s="3">
        <f>IF([1]Result_notebook_retravaill!I1236&gt;[1]Result_notebook_retravaill!G1236,0,IF([1]Result_notebook_retravaill!I1236+[1]Result_notebook_retravaill!J1236&gt;[1]Result_notebook_retravaill!G1236,0,[1]Result_notebook_retravaill!M1236))</f>
        <v>0</v>
      </c>
    </row>
    <row r="1237" spans="1:12">
      <c r="A1237">
        <f>[1]Result_notebook_retravaill!A1237</f>
        <v>2038</v>
      </c>
      <c r="B1237" t="str">
        <f>[1]Result_notebook_retravaill!B1237</f>
        <v>Graphite</v>
      </c>
      <c r="C1237" t="str">
        <f>[1]Result_notebook_retravaill!C1237</f>
        <v>Current Measures</v>
      </c>
      <c r="D1237" t="str">
        <f>[1]Result_notebook_retravaill!D1237</f>
        <v>Existing production</v>
      </c>
      <c r="E1237" t="str">
        <f>[1]Result_notebook_retravaill!E1237</f>
        <v>Current shares</v>
      </c>
      <c r="F1237" t="str">
        <f>[1]Result_notebook_retravaill!F1237</f>
        <v>NIMBY</v>
      </c>
      <c r="G1237">
        <f>[1]Result_notebook_retravaill!G1237</f>
        <v>1181.563288191096</v>
      </c>
      <c r="H1237" s="3">
        <f>IF([1]Result_notebook_retravaill!I1237&gt;[1]Result_notebook_retravaill!G1237,[1]Result_notebook_retravaill!I1237/[1]Result_notebook_retravaill!N1237,[1]Result_notebook_retravaill!H1237)</f>
        <v>0</v>
      </c>
      <c r="I1237" s="3">
        <f>[1]Result_notebook_retravaill!K1237</f>
        <v>1181.563288191096</v>
      </c>
      <c r="J1237" s="3">
        <f>MIN(G1237,[1]Result_notebook_retravaill!I1237)</f>
        <v>0</v>
      </c>
      <c r="K1237" s="3">
        <f>IF([1]Result_notebook_retravaill!I1237&gt;[1]Result_notebook_retravaill!G1237,0,IF([1]Result_notebook_retravaill!I1237+[1]Result_notebook_retravaill!J1237&gt;[1]Result_notebook_retravaill!G1237,[1]Result_notebook_retravaill!G1237-[1]Result_notebook_retravaill!I1237,[1]Result_notebook_retravaill!J1237))</f>
        <v>0</v>
      </c>
      <c r="L1237" s="3">
        <f>IF([1]Result_notebook_retravaill!I1237&gt;[1]Result_notebook_retravaill!G1237,0,IF([1]Result_notebook_retravaill!I1237+[1]Result_notebook_retravaill!J1237&gt;[1]Result_notebook_retravaill!G1237,0,[1]Result_notebook_retravaill!M1237))</f>
        <v>1181.563288191096</v>
      </c>
    </row>
    <row r="1238" spans="1:12">
      <c r="A1238">
        <f>[1]Result_notebook_retravaill!A1238</f>
        <v>2038</v>
      </c>
      <c r="B1238" t="str">
        <f>[1]Result_notebook_retravaill!B1238</f>
        <v>Graphite</v>
      </c>
      <c r="C1238" t="str">
        <f>[1]Result_notebook_retravaill!C1238</f>
        <v>Current Measures</v>
      </c>
      <c r="D1238" t="str">
        <f>[1]Result_notebook_retravaill!D1238</f>
        <v>Existing production</v>
      </c>
      <c r="E1238" t="str">
        <f>[1]Result_notebook_retravaill!E1238</f>
        <v>Current shares</v>
      </c>
      <c r="F1238" t="str">
        <f>[1]Result_notebook_retravaill!F1238</f>
        <v>Status Quo</v>
      </c>
      <c r="G1238">
        <f>[1]Result_notebook_retravaill!G1238</f>
        <v>1181.563288191096</v>
      </c>
      <c r="H1238" s="3">
        <f>IF([1]Result_notebook_retravaill!I1238&gt;[1]Result_notebook_retravaill!G1238,[1]Result_notebook_retravaill!I1238/[1]Result_notebook_retravaill!N1238,[1]Result_notebook_retravaill!H1238)</f>
        <v>0</v>
      </c>
      <c r="I1238" s="3">
        <f>[1]Result_notebook_retravaill!K1238</f>
        <v>1181.563288191096</v>
      </c>
      <c r="J1238" s="3">
        <f>MIN(G1238,[1]Result_notebook_retravaill!I1238)</f>
        <v>0</v>
      </c>
      <c r="K1238" s="3">
        <f>IF([1]Result_notebook_retravaill!I1238&gt;[1]Result_notebook_retravaill!G1238,0,IF([1]Result_notebook_retravaill!I1238+[1]Result_notebook_retravaill!J1238&gt;[1]Result_notebook_retravaill!G1238,[1]Result_notebook_retravaill!G1238-[1]Result_notebook_retravaill!I1238,[1]Result_notebook_retravaill!J1238))</f>
        <v>0</v>
      </c>
      <c r="L1238" s="3">
        <f>IF([1]Result_notebook_retravaill!I1238&gt;[1]Result_notebook_retravaill!G1238,0,IF([1]Result_notebook_retravaill!I1238+[1]Result_notebook_retravaill!J1238&gt;[1]Result_notebook_retravaill!G1238,0,[1]Result_notebook_retravaill!M1238))</f>
        <v>1181.563288191096</v>
      </c>
    </row>
    <row r="1239" spans="1:12">
      <c r="A1239">
        <f>[1]Result_notebook_retravaill!A1239</f>
        <v>2038</v>
      </c>
      <c r="B1239" t="str">
        <f>[1]Result_notebook_retravaill!B1239</f>
        <v>Graphite</v>
      </c>
      <c r="C1239" t="str">
        <f>[1]Result_notebook_retravaill!C1239</f>
        <v>Current Measures</v>
      </c>
      <c r="D1239" t="str">
        <f>[1]Result_notebook_retravaill!D1239</f>
        <v>Production potential</v>
      </c>
      <c r="E1239" t="str">
        <f>[1]Result_notebook_retravaill!E1239</f>
        <v>Current shares</v>
      </c>
      <c r="F1239" t="str">
        <f>[1]Result_notebook_retravaill!F1239</f>
        <v>Expansion Extractive</v>
      </c>
      <c r="G1239">
        <f>[1]Result_notebook_retravaill!G1239</f>
        <v>1181.563288191096</v>
      </c>
      <c r="H1239" s="3">
        <f>IF([1]Result_notebook_retravaill!I1239&gt;[1]Result_notebook_retravaill!G1239,[1]Result_notebook_retravaill!I1239/[1]Result_notebook_retravaill!N1239,[1]Result_notebook_retravaill!H1239)</f>
        <v>151540.58568370005</v>
      </c>
      <c r="I1239" s="3">
        <f>[1]Result_notebook_retravaill!K1239</f>
        <v>0</v>
      </c>
      <c r="J1239" s="3">
        <f>MIN(G1239,[1]Result_notebook_retravaill!I1239)</f>
        <v>1181.563288191096</v>
      </c>
      <c r="K1239" s="3">
        <f>IF([1]Result_notebook_retravaill!I1239&gt;[1]Result_notebook_retravaill!G1239,0,IF([1]Result_notebook_retravaill!I1239+[1]Result_notebook_retravaill!J1239&gt;[1]Result_notebook_retravaill!G1239,[1]Result_notebook_retravaill!G1239-[1]Result_notebook_retravaill!I1239,[1]Result_notebook_retravaill!J1239))</f>
        <v>0</v>
      </c>
      <c r="L1239" s="3">
        <f>IF([1]Result_notebook_retravaill!I1239&gt;[1]Result_notebook_retravaill!G1239,0,IF([1]Result_notebook_retravaill!I1239+[1]Result_notebook_retravaill!J1239&gt;[1]Result_notebook_retravaill!G1239,0,[1]Result_notebook_retravaill!M1239))</f>
        <v>0</v>
      </c>
    </row>
    <row r="1240" spans="1:12">
      <c r="A1240">
        <f>[1]Result_notebook_retravaill!A1240</f>
        <v>2038</v>
      </c>
      <c r="B1240" t="str">
        <f>[1]Result_notebook_retravaill!B1240</f>
        <v>Graphite</v>
      </c>
      <c r="C1240" t="str">
        <f>[1]Result_notebook_retravaill!C1240</f>
        <v>Current Measures</v>
      </c>
      <c r="D1240" t="str">
        <f>[1]Result_notebook_retravaill!D1240</f>
        <v>Production potential</v>
      </c>
      <c r="E1240" t="str">
        <f>[1]Result_notebook_retravaill!E1240</f>
        <v>Current shares</v>
      </c>
      <c r="F1240" t="str">
        <f>[1]Result_notebook_retravaill!F1240</f>
        <v>Expansion Extractive+Circularity</v>
      </c>
      <c r="G1240">
        <f>[1]Result_notebook_retravaill!G1240</f>
        <v>1181.563288191096</v>
      </c>
      <c r="H1240" s="3">
        <f>IF([1]Result_notebook_retravaill!I1240&gt;[1]Result_notebook_retravaill!G1240,[1]Result_notebook_retravaill!I1240/[1]Result_notebook_retravaill!N1240,[1]Result_notebook_retravaill!H1240)</f>
        <v>151540.58568370005</v>
      </c>
      <c r="I1240" s="3">
        <f>[1]Result_notebook_retravaill!K1240</f>
        <v>0</v>
      </c>
      <c r="J1240" s="3">
        <f>MIN(G1240,[1]Result_notebook_retravaill!I1240)</f>
        <v>1181.563288191096</v>
      </c>
      <c r="K1240" s="3">
        <f>IF([1]Result_notebook_retravaill!I1240&gt;[1]Result_notebook_retravaill!G1240,0,IF([1]Result_notebook_retravaill!I1240+[1]Result_notebook_retravaill!J1240&gt;[1]Result_notebook_retravaill!G1240,[1]Result_notebook_retravaill!G1240-[1]Result_notebook_retravaill!I1240,[1]Result_notebook_retravaill!J1240))</f>
        <v>0</v>
      </c>
      <c r="L1240" s="3">
        <f>IF([1]Result_notebook_retravaill!I1240&gt;[1]Result_notebook_retravaill!G1240,0,IF([1]Result_notebook_retravaill!I1240+[1]Result_notebook_retravaill!J1240&gt;[1]Result_notebook_retravaill!G1240,0,[1]Result_notebook_retravaill!M1240))</f>
        <v>0</v>
      </c>
    </row>
    <row r="1241" spans="1:12">
      <c r="A1241">
        <f>[1]Result_notebook_retravaill!A1241</f>
        <v>2038</v>
      </c>
      <c r="B1241" t="str">
        <f>[1]Result_notebook_retravaill!B1241</f>
        <v>Graphite</v>
      </c>
      <c r="C1241" t="str">
        <f>[1]Result_notebook_retravaill!C1241</f>
        <v>Current Measures</v>
      </c>
      <c r="D1241" t="str">
        <f>[1]Result_notebook_retravaill!D1241</f>
        <v>Production potential</v>
      </c>
      <c r="E1241" t="str">
        <f>[1]Result_notebook_retravaill!E1241</f>
        <v>100% CAN</v>
      </c>
      <c r="F1241" t="str">
        <f>[1]Result_notebook_retravaill!F1241</f>
        <v>Integrated</v>
      </c>
      <c r="G1241">
        <f>[1]Result_notebook_retravaill!G1241</f>
        <v>1181.563288191096</v>
      </c>
      <c r="H1241" s="3">
        <f>IF([1]Result_notebook_retravaill!I1241&gt;[1]Result_notebook_retravaill!G1241,[1]Result_notebook_retravaill!I1241/[1]Result_notebook_retravaill!N1241,[1]Result_notebook_retravaill!H1241)</f>
        <v>151540.58568370005</v>
      </c>
      <c r="I1241" s="3">
        <f>[1]Result_notebook_retravaill!K1241</f>
        <v>0</v>
      </c>
      <c r="J1241" s="3">
        <f>MIN(G1241,[1]Result_notebook_retravaill!I1241)</f>
        <v>1181.563288191096</v>
      </c>
      <c r="K1241" s="3">
        <f>IF([1]Result_notebook_retravaill!I1241&gt;[1]Result_notebook_retravaill!G1241,0,IF([1]Result_notebook_retravaill!I1241+[1]Result_notebook_retravaill!J1241&gt;[1]Result_notebook_retravaill!G1241,[1]Result_notebook_retravaill!G1241-[1]Result_notebook_retravaill!I1241,[1]Result_notebook_retravaill!J1241))</f>
        <v>0</v>
      </c>
      <c r="L1241" s="3">
        <f>IF([1]Result_notebook_retravaill!I1241&gt;[1]Result_notebook_retravaill!G1241,0,IF([1]Result_notebook_retravaill!I1241+[1]Result_notebook_retravaill!J1241&gt;[1]Result_notebook_retravaill!G1241,0,[1]Result_notebook_retravaill!M1241))</f>
        <v>0</v>
      </c>
    </row>
    <row r="1242" spans="1:12">
      <c r="A1242">
        <f>[1]Result_notebook_retravaill!A1242</f>
        <v>2038</v>
      </c>
      <c r="B1242" t="str">
        <f>[1]Result_notebook_retravaill!B1242</f>
        <v>Graphite</v>
      </c>
      <c r="C1242" t="str">
        <f>[1]Result_notebook_retravaill!C1242</f>
        <v>Global Net-zero</v>
      </c>
      <c r="D1242" t="str">
        <f>[1]Result_notebook_retravaill!D1242</f>
        <v>Existing production</v>
      </c>
      <c r="E1242" t="str">
        <f>[1]Result_notebook_retravaill!E1242</f>
        <v>Current shares</v>
      </c>
      <c r="F1242" t="str">
        <f>[1]Result_notebook_retravaill!F1242</f>
        <v>NIMBY</v>
      </c>
      <c r="G1242">
        <f>[1]Result_notebook_retravaill!G1242</f>
        <v>3068.3631462626749</v>
      </c>
      <c r="H1242" s="3">
        <f>IF([1]Result_notebook_retravaill!I1242&gt;[1]Result_notebook_retravaill!G1242,[1]Result_notebook_retravaill!I1242/[1]Result_notebook_retravaill!N1242,[1]Result_notebook_retravaill!H1242)</f>
        <v>0</v>
      </c>
      <c r="I1242" s="3">
        <f>[1]Result_notebook_retravaill!K1242</f>
        <v>3068.3631462626749</v>
      </c>
      <c r="J1242" s="3">
        <f>MIN(G1242,[1]Result_notebook_retravaill!I1242)</f>
        <v>0</v>
      </c>
      <c r="K1242" s="3">
        <f>IF([1]Result_notebook_retravaill!I1242&gt;[1]Result_notebook_retravaill!G1242,0,IF([1]Result_notebook_retravaill!I1242+[1]Result_notebook_retravaill!J1242&gt;[1]Result_notebook_retravaill!G1242,[1]Result_notebook_retravaill!G1242-[1]Result_notebook_retravaill!I1242,[1]Result_notebook_retravaill!J1242))</f>
        <v>0</v>
      </c>
      <c r="L1242" s="3">
        <f>IF([1]Result_notebook_retravaill!I1242&gt;[1]Result_notebook_retravaill!G1242,0,IF([1]Result_notebook_retravaill!I1242+[1]Result_notebook_retravaill!J1242&gt;[1]Result_notebook_retravaill!G1242,0,[1]Result_notebook_retravaill!M1242))</f>
        <v>3068.3631462626749</v>
      </c>
    </row>
    <row r="1243" spans="1:12">
      <c r="A1243">
        <f>[1]Result_notebook_retravaill!A1243</f>
        <v>2038</v>
      </c>
      <c r="B1243" t="str">
        <f>[1]Result_notebook_retravaill!B1243</f>
        <v>Graphite</v>
      </c>
      <c r="C1243" t="str">
        <f>[1]Result_notebook_retravaill!C1243</f>
        <v>Global Net-zero</v>
      </c>
      <c r="D1243" t="str">
        <f>[1]Result_notebook_retravaill!D1243</f>
        <v>Existing production</v>
      </c>
      <c r="E1243" t="str">
        <f>[1]Result_notebook_retravaill!E1243</f>
        <v>Current shares</v>
      </c>
      <c r="F1243" t="str">
        <f>[1]Result_notebook_retravaill!F1243</f>
        <v>Status Quo</v>
      </c>
      <c r="G1243">
        <f>[1]Result_notebook_retravaill!G1243</f>
        <v>3068.3631462626749</v>
      </c>
      <c r="H1243" s="3">
        <f>IF([1]Result_notebook_retravaill!I1243&gt;[1]Result_notebook_retravaill!G1243,[1]Result_notebook_retravaill!I1243/[1]Result_notebook_retravaill!N1243,[1]Result_notebook_retravaill!H1243)</f>
        <v>0</v>
      </c>
      <c r="I1243" s="3">
        <f>[1]Result_notebook_retravaill!K1243</f>
        <v>3068.3631462626749</v>
      </c>
      <c r="J1243" s="3">
        <f>MIN(G1243,[1]Result_notebook_retravaill!I1243)</f>
        <v>0</v>
      </c>
      <c r="K1243" s="3">
        <f>IF([1]Result_notebook_retravaill!I1243&gt;[1]Result_notebook_retravaill!G1243,0,IF([1]Result_notebook_retravaill!I1243+[1]Result_notebook_retravaill!J1243&gt;[1]Result_notebook_retravaill!G1243,[1]Result_notebook_retravaill!G1243-[1]Result_notebook_retravaill!I1243,[1]Result_notebook_retravaill!J1243))</f>
        <v>0</v>
      </c>
      <c r="L1243" s="3">
        <f>IF([1]Result_notebook_retravaill!I1243&gt;[1]Result_notebook_retravaill!G1243,0,IF([1]Result_notebook_retravaill!I1243+[1]Result_notebook_retravaill!J1243&gt;[1]Result_notebook_retravaill!G1243,0,[1]Result_notebook_retravaill!M1243))</f>
        <v>3068.3631462626749</v>
      </c>
    </row>
    <row r="1244" spans="1:12">
      <c r="A1244">
        <f>[1]Result_notebook_retravaill!A1244</f>
        <v>2038</v>
      </c>
      <c r="B1244" t="str">
        <f>[1]Result_notebook_retravaill!B1244</f>
        <v>Graphite</v>
      </c>
      <c r="C1244" t="str">
        <f>[1]Result_notebook_retravaill!C1244</f>
        <v>Global Net-zero</v>
      </c>
      <c r="D1244" t="str">
        <f>[1]Result_notebook_retravaill!D1244</f>
        <v>Production potential</v>
      </c>
      <c r="E1244" t="str">
        <f>[1]Result_notebook_retravaill!E1244</f>
        <v>Current shares</v>
      </c>
      <c r="F1244" t="str">
        <f>[1]Result_notebook_retravaill!F1244</f>
        <v>Expansion Extractive</v>
      </c>
      <c r="G1244">
        <f>[1]Result_notebook_retravaill!G1244</f>
        <v>3068.3631462626749</v>
      </c>
      <c r="H1244" s="3">
        <f>IF([1]Result_notebook_retravaill!I1244&gt;[1]Result_notebook_retravaill!G1244,[1]Result_notebook_retravaill!I1244/[1]Result_notebook_retravaill!N1244,[1]Result_notebook_retravaill!H1244)</f>
        <v>151540.58568370005</v>
      </c>
      <c r="I1244" s="3">
        <f>[1]Result_notebook_retravaill!K1244</f>
        <v>0</v>
      </c>
      <c r="J1244" s="3">
        <f>MIN(G1244,[1]Result_notebook_retravaill!I1244)</f>
        <v>3068.3631462626749</v>
      </c>
      <c r="K1244" s="3">
        <f>IF([1]Result_notebook_retravaill!I1244&gt;[1]Result_notebook_retravaill!G1244,0,IF([1]Result_notebook_retravaill!I1244+[1]Result_notebook_retravaill!J1244&gt;[1]Result_notebook_retravaill!G1244,[1]Result_notebook_retravaill!G1244-[1]Result_notebook_retravaill!I1244,[1]Result_notebook_retravaill!J1244))</f>
        <v>0</v>
      </c>
      <c r="L1244" s="3">
        <f>IF([1]Result_notebook_retravaill!I1244&gt;[1]Result_notebook_retravaill!G1244,0,IF([1]Result_notebook_retravaill!I1244+[1]Result_notebook_retravaill!J1244&gt;[1]Result_notebook_retravaill!G1244,0,[1]Result_notebook_retravaill!M1244))</f>
        <v>0</v>
      </c>
    </row>
    <row r="1245" spans="1:12">
      <c r="A1245">
        <f>[1]Result_notebook_retravaill!A1245</f>
        <v>2038</v>
      </c>
      <c r="B1245" t="str">
        <f>[1]Result_notebook_retravaill!B1245</f>
        <v>Graphite</v>
      </c>
      <c r="C1245" t="str">
        <f>[1]Result_notebook_retravaill!C1245</f>
        <v>Global Net-zero</v>
      </c>
      <c r="D1245" t="str">
        <f>[1]Result_notebook_retravaill!D1245</f>
        <v>Production potential</v>
      </c>
      <c r="E1245" t="str">
        <f>[1]Result_notebook_retravaill!E1245</f>
        <v>Current shares</v>
      </c>
      <c r="F1245" t="str">
        <f>[1]Result_notebook_retravaill!F1245</f>
        <v>Expansion Extractive+Circularity</v>
      </c>
      <c r="G1245">
        <f>[1]Result_notebook_retravaill!G1245</f>
        <v>3068.3631462626749</v>
      </c>
      <c r="H1245" s="3">
        <f>IF([1]Result_notebook_retravaill!I1245&gt;[1]Result_notebook_retravaill!G1245,[1]Result_notebook_retravaill!I1245/[1]Result_notebook_retravaill!N1245,[1]Result_notebook_retravaill!H1245)</f>
        <v>151540.58568370005</v>
      </c>
      <c r="I1245" s="3">
        <f>[1]Result_notebook_retravaill!K1245</f>
        <v>0</v>
      </c>
      <c r="J1245" s="3">
        <f>MIN(G1245,[1]Result_notebook_retravaill!I1245)</f>
        <v>3068.3631462626749</v>
      </c>
      <c r="K1245" s="3">
        <f>IF([1]Result_notebook_retravaill!I1245&gt;[1]Result_notebook_retravaill!G1245,0,IF([1]Result_notebook_retravaill!I1245+[1]Result_notebook_retravaill!J1245&gt;[1]Result_notebook_retravaill!G1245,[1]Result_notebook_retravaill!G1245-[1]Result_notebook_retravaill!I1245,[1]Result_notebook_retravaill!J1245))</f>
        <v>0</v>
      </c>
      <c r="L1245" s="3">
        <f>IF([1]Result_notebook_retravaill!I1245&gt;[1]Result_notebook_retravaill!G1245,0,IF([1]Result_notebook_retravaill!I1245+[1]Result_notebook_retravaill!J1245&gt;[1]Result_notebook_retravaill!G1245,0,[1]Result_notebook_retravaill!M1245))</f>
        <v>0</v>
      </c>
    </row>
    <row r="1246" spans="1:12">
      <c r="A1246">
        <f>[1]Result_notebook_retravaill!A1246</f>
        <v>2038</v>
      </c>
      <c r="B1246" t="str">
        <f>[1]Result_notebook_retravaill!B1246</f>
        <v>Graphite</v>
      </c>
      <c r="C1246" t="str">
        <f>[1]Result_notebook_retravaill!C1246</f>
        <v>Global Net-zero</v>
      </c>
      <c r="D1246" t="str">
        <f>[1]Result_notebook_retravaill!D1246</f>
        <v>Production potential</v>
      </c>
      <c r="E1246" t="str">
        <f>[1]Result_notebook_retravaill!E1246</f>
        <v>100% CAN</v>
      </c>
      <c r="F1246" t="str">
        <f>[1]Result_notebook_retravaill!F1246</f>
        <v>Integrated</v>
      </c>
      <c r="G1246">
        <f>[1]Result_notebook_retravaill!G1246</f>
        <v>3068.3631462626749</v>
      </c>
      <c r="H1246" s="3">
        <f>IF([1]Result_notebook_retravaill!I1246&gt;[1]Result_notebook_retravaill!G1246,[1]Result_notebook_retravaill!I1246/[1]Result_notebook_retravaill!N1246,[1]Result_notebook_retravaill!H1246)</f>
        <v>151540.58568370005</v>
      </c>
      <c r="I1246" s="3">
        <f>[1]Result_notebook_retravaill!K1246</f>
        <v>0</v>
      </c>
      <c r="J1246" s="3">
        <f>MIN(G1246,[1]Result_notebook_retravaill!I1246)</f>
        <v>3068.3631462626749</v>
      </c>
      <c r="K1246" s="3">
        <f>IF([1]Result_notebook_retravaill!I1246&gt;[1]Result_notebook_retravaill!G1246,0,IF([1]Result_notebook_retravaill!I1246+[1]Result_notebook_retravaill!J1246&gt;[1]Result_notebook_retravaill!G1246,[1]Result_notebook_retravaill!G1246-[1]Result_notebook_retravaill!I1246,[1]Result_notebook_retravaill!J1246))</f>
        <v>0</v>
      </c>
      <c r="L1246" s="3">
        <f>IF([1]Result_notebook_retravaill!I1246&gt;[1]Result_notebook_retravaill!G1246,0,IF([1]Result_notebook_retravaill!I1246+[1]Result_notebook_retravaill!J1246&gt;[1]Result_notebook_retravaill!G1246,0,[1]Result_notebook_retravaill!M1246))</f>
        <v>0</v>
      </c>
    </row>
    <row r="1247" spans="1:12">
      <c r="A1247">
        <f>[1]Result_notebook_retravaill!A1247</f>
        <v>2038</v>
      </c>
      <c r="B1247" t="str">
        <f>[1]Result_notebook_retravaill!B1247</f>
        <v>Lithium</v>
      </c>
      <c r="C1247" t="str">
        <f>[1]Result_notebook_retravaill!C1247</f>
        <v>Canada Net-zero</v>
      </c>
      <c r="D1247" t="str">
        <f>[1]Result_notebook_retravaill!D1247</f>
        <v>Existing production</v>
      </c>
      <c r="E1247" t="str">
        <f>[1]Result_notebook_retravaill!E1247</f>
        <v>Current shares</v>
      </c>
      <c r="F1247" t="str">
        <f>[1]Result_notebook_retravaill!F1247</f>
        <v>NIMBY</v>
      </c>
      <c r="G1247">
        <f>[1]Result_notebook_retravaill!G1247</f>
        <v>78705.260511419096</v>
      </c>
      <c r="H1247" s="3">
        <f>IF([1]Result_notebook_retravaill!I1247&gt;[1]Result_notebook_retravaill!G1247,[1]Result_notebook_retravaill!I1247/[1]Result_notebook_retravaill!N1247,[1]Result_notebook_retravaill!H1247)</f>
        <v>0</v>
      </c>
      <c r="I1247" s="3">
        <f>[1]Result_notebook_retravaill!K1247</f>
        <v>112436.08644488439</v>
      </c>
      <c r="J1247" s="3">
        <f>MIN(G1247,[1]Result_notebook_retravaill!I1247)</f>
        <v>0</v>
      </c>
      <c r="K1247" s="3">
        <f>IF([1]Result_notebook_retravaill!I1247&gt;[1]Result_notebook_retravaill!G1247,0,IF([1]Result_notebook_retravaill!I1247+[1]Result_notebook_retravaill!J1247&gt;[1]Result_notebook_retravaill!G1247,[1]Result_notebook_retravaill!G1247-[1]Result_notebook_retravaill!I1247,[1]Result_notebook_retravaill!J1247))</f>
        <v>0</v>
      </c>
      <c r="L1247" s="3">
        <f>IF([1]Result_notebook_retravaill!I1247&gt;[1]Result_notebook_retravaill!G1247,0,IF([1]Result_notebook_retravaill!I1247+[1]Result_notebook_retravaill!J1247&gt;[1]Result_notebook_retravaill!G1247,0,[1]Result_notebook_retravaill!M1247))</f>
        <v>78705.260511419096</v>
      </c>
    </row>
    <row r="1248" spans="1:12">
      <c r="A1248">
        <f>[1]Result_notebook_retravaill!A1248</f>
        <v>2038</v>
      </c>
      <c r="B1248" t="str">
        <f>[1]Result_notebook_retravaill!B1248</f>
        <v>Lithium</v>
      </c>
      <c r="C1248" t="str">
        <f>[1]Result_notebook_retravaill!C1248</f>
        <v>Canada Net-zero</v>
      </c>
      <c r="D1248" t="str">
        <f>[1]Result_notebook_retravaill!D1248</f>
        <v>Existing production</v>
      </c>
      <c r="E1248" t="str">
        <f>[1]Result_notebook_retravaill!E1248</f>
        <v>Current shares</v>
      </c>
      <c r="F1248" t="str">
        <f>[1]Result_notebook_retravaill!F1248</f>
        <v>Status Quo</v>
      </c>
      <c r="G1248">
        <f>[1]Result_notebook_retravaill!G1248</f>
        <v>78705.260511419096</v>
      </c>
      <c r="H1248" s="3">
        <f>IF([1]Result_notebook_retravaill!I1248&gt;[1]Result_notebook_retravaill!G1248,[1]Result_notebook_retravaill!I1248/[1]Result_notebook_retravaill!N1248,[1]Result_notebook_retravaill!H1248)</f>
        <v>42575</v>
      </c>
      <c r="I1248" s="3">
        <f>[1]Result_notebook_retravaill!K1248</f>
        <v>69861.086444884422</v>
      </c>
      <c r="J1248" s="3">
        <f>MIN(G1248,[1]Result_notebook_retravaill!I1248)</f>
        <v>29767.182799229071</v>
      </c>
      <c r="K1248" s="3">
        <f>IF([1]Result_notebook_retravaill!I1248&gt;[1]Result_notebook_retravaill!G1248,0,IF([1]Result_notebook_retravaill!I1248+[1]Result_notebook_retravaill!J1248&gt;[1]Result_notebook_retravaill!G1248,[1]Result_notebook_retravaill!G1248-[1]Result_notebook_retravaill!I1248,[1]Result_notebook_retravaill!J1248))</f>
        <v>3762.97119197141</v>
      </c>
      <c r="L1248" s="3">
        <f>IF([1]Result_notebook_retravaill!I1248&gt;[1]Result_notebook_retravaill!G1248,0,IF([1]Result_notebook_retravaill!I1248+[1]Result_notebook_retravaill!J1248&gt;[1]Result_notebook_retravaill!G1248,0,[1]Result_notebook_retravaill!M1248))</f>
        <v>45175.106520218607</v>
      </c>
    </row>
    <row r="1249" spans="1:12">
      <c r="A1249">
        <f>[1]Result_notebook_retravaill!A1249</f>
        <v>2038</v>
      </c>
      <c r="B1249" t="str">
        <f>[1]Result_notebook_retravaill!B1249</f>
        <v>Lithium</v>
      </c>
      <c r="C1249" t="str">
        <f>[1]Result_notebook_retravaill!C1249</f>
        <v>Canada Net-zero</v>
      </c>
      <c r="D1249" t="str">
        <f>[1]Result_notebook_retravaill!D1249</f>
        <v>Production potential</v>
      </c>
      <c r="E1249" t="str">
        <f>[1]Result_notebook_retravaill!E1249</f>
        <v>Current shares</v>
      </c>
      <c r="F1249" t="str">
        <f>[1]Result_notebook_retravaill!F1249</f>
        <v>Expansion Extractive</v>
      </c>
      <c r="G1249">
        <f>[1]Result_notebook_retravaill!G1249</f>
        <v>78705.260511419096</v>
      </c>
      <c r="H1249" s="3">
        <f>IF([1]Result_notebook_retravaill!I1249&gt;[1]Result_notebook_retravaill!G1249,[1]Result_notebook_retravaill!I1249/[1]Result_notebook_retravaill!N1249,[1]Result_notebook_retravaill!H1249)</f>
        <v>307418.11108052242</v>
      </c>
      <c r="I1249" s="3">
        <f>[1]Result_notebook_retravaill!K1249</f>
        <v>0</v>
      </c>
      <c r="J1249" s="3">
        <f>MIN(G1249,[1]Result_notebook_retravaill!I1249)</f>
        <v>78705.260511419096</v>
      </c>
      <c r="K1249" s="3">
        <f>IF([1]Result_notebook_retravaill!I1249&gt;[1]Result_notebook_retravaill!G1249,0,IF([1]Result_notebook_retravaill!I1249+[1]Result_notebook_retravaill!J1249&gt;[1]Result_notebook_retravaill!G1249,[1]Result_notebook_retravaill!G1249-[1]Result_notebook_retravaill!I1249,[1]Result_notebook_retravaill!J1249))</f>
        <v>0</v>
      </c>
      <c r="L1249" s="3">
        <f>IF([1]Result_notebook_retravaill!I1249&gt;[1]Result_notebook_retravaill!G1249,0,IF([1]Result_notebook_retravaill!I1249+[1]Result_notebook_retravaill!J1249&gt;[1]Result_notebook_retravaill!G1249,0,[1]Result_notebook_retravaill!M1249))</f>
        <v>0</v>
      </c>
    </row>
    <row r="1250" spans="1:12">
      <c r="A1250">
        <f>[1]Result_notebook_retravaill!A1250</f>
        <v>2038</v>
      </c>
      <c r="B1250" t="str">
        <f>[1]Result_notebook_retravaill!B1250</f>
        <v>Lithium</v>
      </c>
      <c r="C1250" t="str">
        <f>[1]Result_notebook_retravaill!C1250</f>
        <v>Canada Net-zero</v>
      </c>
      <c r="D1250" t="str">
        <f>[1]Result_notebook_retravaill!D1250</f>
        <v>Production potential</v>
      </c>
      <c r="E1250" t="str">
        <f>[1]Result_notebook_retravaill!E1250</f>
        <v>Current shares</v>
      </c>
      <c r="F1250" t="str">
        <f>[1]Result_notebook_retravaill!F1250</f>
        <v>Expansion Extractive+Circularity</v>
      </c>
      <c r="G1250">
        <f>[1]Result_notebook_retravaill!G1250</f>
        <v>78705.260511419096</v>
      </c>
      <c r="H1250" s="3">
        <f>IF([1]Result_notebook_retravaill!I1250&gt;[1]Result_notebook_retravaill!G1250,[1]Result_notebook_retravaill!I1250/[1]Result_notebook_retravaill!N1250,[1]Result_notebook_retravaill!H1250)</f>
        <v>307418.11108052242</v>
      </c>
      <c r="I1250" s="3">
        <f>[1]Result_notebook_retravaill!K1250</f>
        <v>0</v>
      </c>
      <c r="J1250" s="3">
        <f>MIN(G1250,[1]Result_notebook_retravaill!I1250)</f>
        <v>78705.260511419096</v>
      </c>
      <c r="K1250" s="3">
        <f>IF([1]Result_notebook_retravaill!I1250&gt;[1]Result_notebook_retravaill!G1250,0,IF([1]Result_notebook_retravaill!I1250+[1]Result_notebook_retravaill!J1250&gt;[1]Result_notebook_retravaill!G1250,[1]Result_notebook_retravaill!G1250-[1]Result_notebook_retravaill!I1250,[1]Result_notebook_retravaill!J1250))</f>
        <v>0</v>
      </c>
      <c r="L1250" s="3">
        <f>IF([1]Result_notebook_retravaill!I1250&gt;[1]Result_notebook_retravaill!G1250,0,IF([1]Result_notebook_retravaill!I1250+[1]Result_notebook_retravaill!J1250&gt;[1]Result_notebook_retravaill!G1250,0,[1]Result_notebook_retravaill!M1250))</f>
        <v>0</v>
      </c>
    </row>
    <row r="1251" spans="1:12">
      <c r="A1251">
        <f>[1]Result_notebook_retravaill!A1251</f>
        <v>2038</v>
      </c>
      <c r="B1251" t="str">
        <f>[1]Result_notebook_retravaill!B1251</f>
        <v>Lithium</v>
      </c>
      <c r="C1251" t="str">
        <f>[1]Result_notebook_retravaill!C1251</f>
        <v>Canada Net-zero</v>
      </c>
      <c r="D1251" t="str">
        <f>[1]Result_notebook_retravaill!D1251</f>
        <v>Production potential</v>
      </c>
      <c r="E1251" t="str">
        <f>[1]Result_notebook_retravaill!E1251</f>
        <v>100% CAN</v>
      </c>
      <c r="F1251" t="str">
        <f>[1]Result_notebook_retravaill!F1251</f>
        <v>Integrated</v>
      </c>
      <c r="G1251">
        <f>[1]Result_notebook_retravaill!G1251</f>
        <v>78705.260511419096</v>
      </c>
      <c r="H1251" s="3">
        <f>IF([1]Result_notebook_retravaill!I1251&gt;[1]Result_notebook_retravaill!G1251,[1]Result_notebook_retravaill!I1251/[1]Result_notebook_retravaill!N1251,[1]Result_notebook_retravaill!H1251)</f>
        <v>307418.11108052242</v>
      </c>
      <c r="I1251" s="3">
        <f>[1]Result_notebook_retravaill!K1251</f>
        <v>0</v>
      </c>
      <c r="J1251" s="3">
        <f>MIN(G1251,[1]Result_notebook_retravaill!I1251)</f>
        <v>78705.260511419096</v>
      </c>
      <c r="K1251" s="3">
        <f>IF([1]Result_notebook_retravaill!I1251&gt;[1]Result_notebook_retravaill!G1251,0,IF([1]Result_notebook_retravaill!I1251+[1]Result_notebook_retravaill!J1251&gt;[1]Result_notebook_retravaill!G1251,[1]Result_notebook_retravaill!G1251-[1]Result_notebook_retravaill!I1251,[1]Result_notebook_retravaill!J1251))</f>
        <v>0</v>
      </c>
      <c r="L1251" s="3">
        <f>IF([1]Result_notebook_retravaill!I1251&gt;[1]Result_notebook_retravaill!G1251,0,IF([1]Result_notebook_retravaill!I1251+[1]Result_notebook_retravaill!J1251&gt;[1]Result_notebook_retravaill!G1251,0,[1]Result_notebook_retravaill!M1251))</f>
        <v>0</v>
      </c>
    </row>
    <row r="1252" spans="1:12">
      <c r="A1252">
        <f>[1]Result_notebook_retravaill!A1252</f>
        <v>2038</v>
      </c>
      <c r="B1252" t="str">
        <f>[1]Result_notebook_retravaill!B1252</f>
        <v>Lithium</v>
      </c>
      <c r="C1252" t="str">
        <f>[1]Result_notebook_retravaill!C1252</f>
        <v>Current Measures</v>
      </c>
      <c r="D1252" t="str">
        <f>[1]Result_notebook_retravaill!D1252</f>
        <v>Existing production</v>
      </c>
      <c r="E1252" t="str">
        <f>[1]Result_notebook_retravaill!E1252</f>
        <v>Current shares</v>
      </c>
      <c r="F1252" t="str">
        <f>[1]Result_notebook_retravaill!F1252</f>
        <v>NIMBY</v>
      </c>
      <c r="G1252">
        <f>[1]Result_notebook_retravaill!G1252</f>
        <v>28899.636790896191</v>
      </c>
      <c r="H1252" s="3">
        <f>IF([1]Result_notebook_retravaill!I1252&gt;[1]Result_notebook_retravaill!G1252,[1]Result_notebook_retravaill!I1252/[1]Result_notebook_retravaill!N1252,[1]Result_notebook_retravaill!H1252)</f>
        <v>0</v>
      </c>
      <c r="I1252" s="3">
        <f>[1]Result_notebook_retravaill!K1252</f>
        <v>41285.195415565991</v>
      </c>
      <c r="J1252" s="3">
        <f>MIN(G1252,[1]Result_notebook_retravaill!I1252)</f>
        <v>0</v>
      </c>
      <c r="K1252" s="3">
        <f>IF([1]Result_notebook_retravaill!I1252&gt;[1]Result_notebook_retravaill!G1252,0,IF([1]Result_notebook_retravaill!I1252+[1]Result_notebook_retravaill!J1252&gt;[1]Result_notebook_retravaill!G1252,[1]Result_notebook_retravaill!G1252-[1]Result_notebook_retravaill!I1252,[1]Result_notebook_retravaill!J1252))</f>
        <v>0</v>
      </c>
      <c r="L1252" s="3">
        <f>IF([1]Result_notebook_retravaill!I1252&gt;[1]Result_notebook_retravaill!G1252,0,IF([1]Result_notebook_retravaill!I1252+[1]Result_notebook_retravaill!J1252&gt;[1]Result_notebook_retravaill!G1252,0,[1]Result_notebook_retravaill!M1252))</f>
        <v>28899.636790896191</v>
      </c>
    </row>
    <row r="1253" spans="1:12">
      <c r="A1253">
        <f>[1]Result_notebook_retravaill!A1253</f>
        <v>2038</v>
      </c>
      <c r="B1253" t="str">
        <f>[1]Result_notebook_retravaill!B1253</f>
        <v>Lithium</v>
      </c>
      <c r="C1253" t="str">
        <f>[1]Result_notebook_retravaill!C1253</f>
        <v>Current Measures</v>
      </c>
      <c r="D1253" t="str">
        <f>[1]Result_notebook_retravaill!D1253</f>
        <v>Existing production</v>
      </c>
      <c r="E1253" t="str">
        <f>[1]Result_notebook_retravaill!E1253</f>
        <v>Current shares</v>
      </c>
      <c r="F1253" t="str">
        <f>[1]Result_notebook_retravaill!F1253</f>
        <v>Status Quo</v>
      </c>
      <c r="G1253">
        <f>[1]Result_notebook_retravaill!G1253</f>
        <v>28899.636790896191</v>
      </c>
      <c r="H1253" s="3">
        <f>IF([1]Result_notebook_retravaill!I1253&gt;[1]Result_notebook_retravaill!G1253,[1]Result_notebook_retravaill!I1253/[1]Result_notebook_retravaill!N1253,[1]Result_notebook_retravaill!H1253)</f>
        <v>37796.957568693921</v>
      </c>
      <c r="I1253" s="3">
        <f>[1]Result_notebook_retravaill!K1253</f>
        <v>0</v>
      </c>
      <c r="J1253" s="3">
        <f>MIN(G1253,[1]Result_notebook_retravaill!I1253)</f>
        <v>28899.636790896191</v>
      </c>
      <c r="K1253" s="3">
        <f>IF([1]Result_notebook_retravaill!I1253&gt;[1]Result_notebook_retravaill!G1253,0,IF([1]Result_notebook_retravaill!I1253+[1]Result_notebook_retravaill!J1253&gt;[1]Result_notebook_retravaill!G1253,[1]Result_notebook_retravaill!G1253-[1]Result_notebook_retravaill!I1253,[1]Result_notebook_retravaill!J1253))</f>
        <v>0</v>
      </c>
      <c r="L1253" s="3">
        <f>IF([1]Result_notebook_retravaill!I1253&gt;[1]Result_notebook_retravaill!G1253,0,IF([1]Result_notebook_retravaill!I1253+[1]Result_notebook_retravaill!J1253&gt;[1]Result_notebook_retravaill!G1253,0,[1]Result_notebook_retravaill!M1253))</f>
        <v>0</v>
      </c>
    </row>
    <row r="1254" spans="1:12">
      <c r="A1254">
        <f>[1]Result_notebook_retravaill!A1254</f>
        <v>2038</v>
      </c>
      <c r="B1254" t="str">
        <f>[1]Result_notebook_retravaill!B1254</f>
        <v>Lithium</v>
      </c>
      <c r="C1254" t="str">
        <f>[1]Result_notebook_retravaill!C1254</f>
        <v>Current Measures</v>
      </c>
      <c r="D1254" t="str">
        <f>[1]Result_notebook_retravaill!D1254</f>
        <v>Production potential</v>
      </c>
      <c r="E1254" t="str">
        <f>[1]Result_notebook_retravaill!E1254</f>
        <v>Current shares</v>
      </c>
      <c r="F1254" t="str">
        <f>[1]Result_notebook_retravaill!F1254</f>
        <v>Expansion Extractive</v>
      </c>
      <c r="G1254">
        <f>[1]Result_notebook_retravaill!G1254</f>
        <v>28899.636790896191</v>
      </c>
      <c r="H1254" s="3">
        <f>IF([1]Result_notebook_retravaill!I1254&gt;[1]Result_notebook_retravaill!G1254,[1]Result_notebook_retravaill!I1254/[1]Result_notebook_retravaill!N1254,[1]Result_notebook_retravaill!H1254)</f>
        <v>307418.11108052242</v>
      </c>
      <c r="I1254" s="3">
        <f>[1]Result_notebook_retravaill!K1254</f>
        <v>0</v>
      </c>
      <c r="J1254" s="3">
        <f>MIN(G1254,[1]Result_notebook_retravaill!I1254)</f>
        <v>28899.636790896191</v>
      </c>
      <c r="K1254" s="3">
        <f>IF([1]Result_notebook_retravaill!I1254&gt;[1]Result_notebook_retravaill!G1254,0,IF([1]Result_notebook_retravaill!I1254+[1]Result_notebook_retravaill!J1254&gt;[1]Result_notebook_retravaill!G1254,[1]Result_notebook_retravaill!G1254-[1]Result_notebook_retravaill!I1254,[1]Result_notebook_retravaill!J1254))</f>
        <v>0</v>
      </c>
      <c r="L1254" s="3">
        <f>IF([1]Result_notebook_retravaill!I1254&gt;[1]Result_notebook_retravaill!G1254,0,IF([1]Result_notebook_retravaill!I1254+[1]Result_notebook_retravaill!J1254&gt;[1]Result_notebook_retravaill!G1254,0,[1]Result_notebook_retravaill!M1254))</f>
        <v>0</v>
      </c>
    </row>
    <row r="1255" spans="1:12">
      <c r="A1255">
        <f>[1]Result_notebook_retravaill!A1255</f>
        <v>2038</v>
      </c>
      <c r="B1255" t="str">
        <f>[1]Result_notebook_retravaill!B1255</f>
        <v>Lithium</v>
      </c>
      <c r="C1255" t="str">
        <f>[1]Result_notebook_retravaill!C1255</f>
        <v>Current Measures</v>
      </c>
      <c r="D1255" t="str">
        <f>[1]Result_notebook_retravaill!D1255</f>
        <v>Production potential</v>
      </c>
      <c r="E1255" t="str">
        <f>[1]Result_notebook_retravaill!E1255</f>
        <v>Current shares</v>
      </c>
      <c r="F1255" t="str">
        <f>[1]Result_notebook_retravaill!F1255</f>
        <v>Expansion Extractive+Circularity</v>
      </c>
      <c r="G1255">
        <f>[1]Result_notebook_retravaill!G1255</f>
        <v>28899.636790896191</v>
      </c>
      <c r="H1255" s="3">
        <f>IF([1]Result_notebook_retravaill!I1255&gt;[1]Result_notebook_retravaill!G1255,[1]Result_notebook_retravaill!I1255/[1]Result_notebook_retravaill!N1255,[1]Result_notebook_retravaill!H1255)</f>
        <v>307418.11108052242</v>
      </c>
      <c r="I1255" s="3">
        <f>[1]Result_notebook_retravaill!K1255</f>
        <v>0</v>
      </c>
      <c r="J1255" s="3">
        <f>MIN(G1255,[1]Result_notebook_retravaill!I1255)</f>
        <v>28899.636790896191</v>
      </c>
      <c r="K1255" s="3">
        <f>IF([1]Result_notebook_retravaill!I1255&gt;[1]Result_notebook_retravaill!G1255,0,IF([1]Result_notebook_retravaill!I1255+[1]Result_notebook_retravaill!J1255&gt;[1]Result_notebook_retravaill!G1255,[1]Result_notebook_retravaill!G1255-[1]Result_notebook_retravaill!I1255,[1]Result_notebook_retravaill!J1255))</f>
        <v>0</v>
      </c>
      <c r="L1255" s="3">
        <f>IF([1]Result_notebook_retravaill!I1255&gt;[1]Result_notebook_retravaill!G1255,0,IF([1]Result_notebook_retravaill!I1255+[1]Result_notebook_retravaill!J1255&gt;[1]Result_notebook_retravaill!G1255,0,[1]Result_notebook_retravaill!M1255))</f>
        <v>0</v>
      </c>
    </row>
    <row r="1256" spans="1:12">
      <c r="A1256">
        <f>[1]Result_notebook_retravaill!A1256</f>
        <v>2038</v>
      </c>
      <c r="B1256" t="str">
        <f>[1]Result_notebook_retravaill!B1256</f>
        <v>Lithium</v>
      </c>
      <c r="C1256" t="str">
        <f>[1]Result_notebook_retravaill!C1256</f>
        <v>Current Measures</v>
      </c>
      <c r="D1256" t="str">
        <f>[1]Result_notebook_retravaill!D1256</f>
        <v>Production potential</v>
      </c>
      <c r="E1256" t="str">
        <f>[1]Result_notebook_retravaill!E1256</f>
        <v>100% CAN</v>
      </c>
      <c r="F1256" t="str">
        <f>[1]Result_notebook_retravaill!F1256</f>
        <v>Integrated</v>
      </c>
      <c r="G1256">
        <f>[1]Result_notebook_retravaill!G1256</f>
        <v>28899.636790896191</v>
      </c>
      <c r="H1256" s="3">
        <f>IF([1]Result_notebook_retravaill!I1256&gt;[1]Result_notebook_retravaill!G1256,[1]Result_notebook_retravaill!I1256/[1]Result_notebook_retravaill!N1256,[1]Result_notebook_retravaill!H1256)</f>
        <v>307418.11108052242</v>
      </c>
      <c r="I1256" s="3">
        <f>[1]Result_notebook_retravaill!K1256</f>
        <v>0</v>
      </c>
      <c r="J1256" s="3">
        <f>MIN(G1256,[1]Result_notebook_retravaill!I1256)</f>
        <v>28899.636790896191</v>
      </c>
      <c r="K1256" s="3">
        <f>IF([1]Result_notebook_retravaill!I1256&gt;[1]Result_notebook_retravaill!G1256,0,IF([1]Result_notebook_retravaill!I1256+[1]Result_notebook_retravaill!J1256&gt;[1]Result_notebook_retravaill!G1256,[1]Result_notebook_retravaill!G1256-[1]Result_notebook_retravaill!I1256,[1]Result_notebook_retravaill!J1256))</f>
        <v>0</v>
      </c>
      <c r="L1256" s="3">
        <f>IF([1]Result_notebook_retravaill!I1256&gt;[1]Result_notebook_retravaill!G1256,0,IF([1]Result_notebook_retravaill!I1256+[1]Result_notebook_retravaill!J1256&gt;[1]Result_notebook_retravaill!G1256,0,[1]Result_notebook_retravaill!M1256))</f>
        <v>0</v>
      </c>
    </row>
    <row r="1257" spans="1:12">
      <c r="A1257">
        <f>[1]Result_notebook_retravaill!A1257</f>
        <v>2038</v>
      </c>
      <c r="B1257" t="str">
        <f>[1]Result_notebook_retravaill!B1257</f>
        <v>Lithium</v>
      </c>
      <c r="C1257" t="str">
        <f>[1]Result_notebook_retravaill!C1257</f>
        <v>Global Net-zero</v>
      </c>
      <c r="D1257" t="str">
        <f>[1]Result_notebook_retravaill!D1257</f>
        <v>Existing production</v>
      </c>
      <c r="E1257" t="str">
        <f>[1]Result_notebook_retravaill!E1257</f>
        <v>Current shares</v>
      </c>
      <c r="F1257" t="str">
        <f>[1]Result_notebook_retravaill!F1257</f>
        <v>NIMBY</v>
      </c>
      <c r="G1257">
        <f>[1]Result_notebook_retravaill!G1257</f>
        <v>75048.523727678054</v>
      </c>
      <c r="H1257" s="3">
        <f>IF([1]Result_notebook_retravaill!I1257&gt;[1]Result_notebook_retravaill!G1257,[1]Result_notebook_retravaill!I1257/[1]Result_notebook_retravaill!N1257,[1]Result_notebook_retravaill!H1257)</f>
        <v>0</v>
      </c>
      <c r="I1257" s="3">
        <f>[1]Result_notebook_retravaill!K1257</f>
        <v>107212.1767538258</v>
      </c>
      <c r="J1257" s="3">
        <f>MIN(G1257,[1]Result_notebook_retravaill!I1257)</f>
        <v>0</v>
      </c>
      <c r="K1257" s="3">
        <f>IF([1]Result_notebook_retravaill!I1257&gt;[1]Result_notebook_retravaill!G1257,0,IF([1]Result_notebook_retravaill!I1257+[1]Result_notebook_retravaill!J1257&gt;[1]Result_notebook_retravaill!G1257,[1]Result_notebook_retravaill!G1257-[1]Result_notebook_retravaill!I1257,[1]Result_notebook_retravaill!J1257))</f>
        <v>0</v>
      </c>
      <c r="L1257" s="3">
        <f>IF([1]Result_notebook_retravaill!I1257&gt;[1]Result_notebook_retravaill!G1257,0,IF([1]Result_notebook_retravaill!I1257+[1]Result_notebook_retravaill!J1257&gt;[1]Result_notebook_retravaill!G1257,0,[1]Result_notebook_retravaill!M1257))</f>
        <v>75048.523727678054</v>
      </c>
    </row>
    <row r="1258" spans="1:12">
      <c r="A1258">
        <f>[1]Result_notebook_retravaill!A1258</f>
        <v>2038</v>
      </c>
      <c r="B1258" t="str">
        <f>[1]Result_notebook_retravaill!B1258</f>
        <v>Lithium</v>
      </c>
      <c r="C1258" t="str">
        <f>[1]Result_notebook_retravaill!C1258</f>
        <v>Global Net-zero</v>
      </c>
      <c r="D1258" t="str">
        <f>[1]Result_notebook_retravaill!D1258</f>
        <v>Existing production</v>
      </c>
      <c r="E1258" t="str">
        <f>[1]Result_notebook_retravaill!E1258</f>
        <v>Current shares</v>
      </c>
      <c r="F1258" t="str">
        <f>[1]Result_notebook_retravaill!F1258</f>
        <v>Status Quo</v>
      </c>
      <c r="G1258">
        <f>[1]Result_notebook_retravaill!G1258</f>
        <v>75048.523727678054</v>
      </c>
      <c r="H1258" s="3">
        <f>IF([1]Result_notebook_retravaill!I1258&gt;[1]Result_notebook_retravaill!G1258,[1]Result_notebook_retravaill!I1258/[1]Result_notebook_retravaill!N1258,[1]Result_notebook_retravaill!H1258)</f>
        <v>42575</v>
      </c>
      <c r="I1258" s="3">
        <f>[1]Result_notebook_retravaill!K1258</f>
        <v>64637.176753825799</v>
      </c>
      <c r="J1258" s="3">
        <f>MIN(G1258,[1]Result_notebook_retravaill!I1258)</f>
        <v>29767.182799229071</v>
      </c>
      <c r="K1258" s="3">
        <f>IF([1]Result_notebook_retravaill!I1258&gt;[1]Result_notebook_retravaill!G1258,0,IF([1]Result_notebook_retravaill!I1258+[1]Result_notebook_retravaill!J1258&gt;[1]Result_notebook_retravaill!G1258,[1]Result_notebook_retravaill!G1258-[1]Result_notebook_retravaill!I1258,[1]Result_notebook_retravaill!J1258))</f>
        <v>3762.97119197141</v>
      </c>
      <c r="L1258" s="3">
        <f>IF([1]Result_notebook_retravaill!I1258&gt;[1]Result_notebook_retravaill!G1258,0,IF([1]Result_notebook_retravaill!I1258+[1]Result_notebook_retravaill!J1258&gt;[1]Result_notebook_retravaill!G1258,0,[1]Result_notebook_retravaill!M1258))</f>
        <v>41518.369736477573</v>
      </c>
    </row>
    <row r="1259" spans="1:12">
      <c r="A1259">
        <f>[1]Result_notebook_retravaill!A1259</f>
        <v>2038</v>
      </c>
      <c r="B1259" t="str">
        <f>[1]Result_notebook_retravaill!B1259</f>
        <v>Lithium</v>
      </c>
      <c r="C1259" t="str">
        <f>[1]Result_notebook_retravaill!C1259</f>
        <v>Global Net-zero</v>
      </c>
      <c r="D1259" t="str">
        <f>[1]Result_notebook_retravaill!D1259</f>
        <v>Production potential</v>
      </c>
      <c r="E1259" t="str">
        <f>[1]Result_notebook_retravaill!E1259</f>
        <v>Current shares</v>
      </c>
      <c r="F1259" t="str">
        <f>[1]Result_notebook_retravaill!F1259</f>
        <v>Expansion Extractive</v>
      </c>
      <c r="G1259">
        <f>[1]Result_notebook_retravaill!G1259</f>
        <v>75048.523727678054</v>
      </c>
      <c r="H1259" s="3">
        <f>IF([1]Result_notebook_retravaill!I1259&gt;[1]Result_notebook_retravaill!G1259,[1]Result_notebook_retravaill!I1259/[1]Result_notebook_retravaill!N1259,[1]Result_notebook_retravaill!H1259)</f>
        <v>307418.11108052242</v>
      </c>
      <c r="I1259" s="3">
        <f>[1]Result_notebook_retravaill!K1259</f>
        <v>0</v>
      </c>
      <c r="J1259" s="3">
        <f>MIN(G1259,[1]Result_notebook_retravaill!I1259)</f>
        <v>75048.523727678054</v>
      </c>
      <c r="K1259" s="3">
        <f>IF([1]Result_notebook_retravaill!I1259&gt;[1]Result_notebook_retravaill!G1259,0,IF([1]Result_notebook_retravaill!I1259+[1]Result_notebook_retravaill!J1259&gt;[1]Result_notebook_retravaill!G1259,[1]Result_notebook_retravaill!G1259-[1]Result_notebook_retravaill!I1259,[1]Result_notebook_retravaill!J1259))</f>
        <v>0</v>
      </c>
      <c r="L1259" s="3">
        <f>IF([1]Result_notebook_retravaill!I1259&gt;[1]Result_notebook_retravaill!G1259,0,IF([1]Result_notebook_retravaill!I1259+[1]Result_notebook_retravaill!J1259&gt;[1]Result_notebook_retravaill!G1259,0,[1]Result_notebook_retravaill!M1259))</f>
        <v>0</v>
      </c>
    </row>
    <row r="1260" spans="1:12">
      <c r="A1260">
        <f>[1]Result_notebook_retravaill!A1260</f>
        <v>2038</v>
      </c>
      <c r="B1260" t="str">
        <f>[1]Result_notebook_retravaill!B1260</f>
        <v>Lithium</v>
      </c>
      <c r="C1260" t="str">
        <f>[1]Result_notebook_retravaill!C1260</f>
        <v>Global Net-zero</v>
      </c>
      <c r="D1260" t="str">
        <f>[1]Result_notebook_retravaill!D1260</f>
        <v>Production potential</v>
      </c>
      <c r="E1260" t="str">
        <f>[1]Result_notebook_retravaill!E1260</f>
        <v>Current shares</v>
      </c>
      <c r="F1260" t="str">
        <f>[1]Result_notebook_retravaill!F1260</f>
        <v>Expansion Extractive+Circularity</v>
      </c>
      <c r="G1260">
        <f>[1]Result_notebook_retravaill!G1260</f>
        <v>75048.523727678054</v>
      </c>
      <c r="H1260" s="3">
        <f>IF([1]Result_notebook_retravaill!I1260&gt;[1]Result_notebook_retravaill!G1260,[1]Result_notebook_retravaill!I1260/[1]Result_notebook_retravaill!N1260,[1]Result_notebook_retravaill!H1260)</f>
        <v>307418.11108052242</v>
      </c>
      <c r="I1260" s="3">
        <f>[1]Result_notebook_retravaill!K1260</f>
        <v>0</v>
      </c>
      <c r="J1260" s="3">
        <f>MIN(G1260,[1]Result_notebook_retravaill!I1260)</f>
        <v>75048.523727678054</v>
      </c>
      <c r="K1260" s="3">
        <f>IF([1]Result_notebook_retravaill!I1260&gt;[1]Result_notebook_retravaill!G1260,0,IF([1]Result_notebook_retravaill!I1260+[1]Result_notebook_retravaill!J1260&gt;[1]Result_notebook_retravaill!G1260,[1]Result_notebook_retravaill!G1260-[1]Result_notebook_retravaill!I1260,[1]Result_notebook_retravaill!J1260))</f>
        <v>0</v>
      </c>
      <c r="L1260" s="3">
        <f>IF([1]Result_notebook_retravaill!I1260&gt;[1]Result_notebook_retravaill!G1260,0,IF([1]Result_notebook_retravaill!I1260+[1]Result_notebook_retravaill!J1260&gt;[1]Result_notebook_retravaill!G1260,0,[1]Result_notebook_retravaill!M1260))</f>
        <v>0</v>
      </c>
    </row>
    <row r="1261" spans="1:12">
      <c r="A1261">
        <f>[1]Result_notebook_retravaill!A1261</f>
        <v>2038</v>
      </c>
      <c r="B1261" t="str">
        <f>[1]Result_notebook_retravaill!B1261</f>
        <v>Lithium</v>
      </c>
      <c r="C1261" t="str">
        <f>[1]Result_notebook_retravaill!C1261</f>
        <v>Global Net-zero</v>
      </c>
      <c r="D1261" t="str">
        <f>[1]Result_notebook_retravaill!D1261</f>
        <v>Production potential</v>
      </c>
      <c r="E1261" t="str">
        <f>[1]Result_notebook_retravaill!E1261</f>
        <v>100% CAN</v>
      </c>
      <c r="F1261" t="str">
        <f>[1]Result_notebook_retravaill!F1261</f>
        <v>Integrated</v>
      </c>
      <c r="G1261">
        <f>[1]Result_notebook_retravaill!G1261</f>
        <v>75048.523727678054</v>
      </c>
      <c r="H1261" s="3">
        <f>IF([1]Result_notebook_retravaill!I1261&gt;[1]Result_notebook_retravaill!G1261,[1]Result_notebook_retravaill!I1261/[1]Result_notebook_retravaill!N1261,[1]Result_notebook_retravaill!H1261)</f>
        <v>307418.11108052242</v>
      </c>
      <c r="I1261" s="3">
        <f>[1]Result_notebook_retravaill!K1261</f>
        <v>0</v>
      </c>
      <c r="J1261" s="3">
        <f>MIN(G1261,[1]Result_notebook_retravaill!I1261)</f>
        <v>75048.523727678054</v>
      </c>
      <c r="K1261" s="3">
        <f>IF([1]Result_notebook_retravaill!I1261&gt;[1]Result_notebook_retravaill!G1261,0,IF([1]Result_notebook_retravaill!I1261+[1]Result_notebook_retravaill!J1261&gt;[1]Result_notebook_retravaill!G1261,[1]Result_notebook_retravaill!G1261-[1]Result_notebook_retravaill!I1261,[1]Result_notebook_retravaill!J1261))</f>
        <v>0</v>
      </c>
      <c r="L1261" s="3">
        <f>IF([1]Result_notebook_retravaill!I1261&gt;[1]Result_notebook_retravaill!G1261,0,IF([1]Result_notebook_retravaill!I1261+[1]Result_notebook_retravaill!J1261&gt;[1]Result_notebook_retravaill!G1261,0,[1]Result_notebook_retravaill!M1261))</f>
        <v>0</v>
      </c>
    </row>
    <row r="1262" spans="1:12">
      <c r="A1262">
        <f>[1]Result_notebook_retravaill!A1262</f>
        <v>2039</v>
      </c>
      <c r="B1262" t="str">
        <f>[1]Result_notebook_retravaill!B1262</f>
        <v>Cobalt</v>
      </c>
      <c r="C1262" t="str">
        <f>[1]Result_notebook_retravaill!C1262</f>
        <v>Canada Net-zero</v>
      </c>
      <c r="D1262" t="str">
        <f>[1]Result_notebook_retravaill!D1262</f>
        <v>Existing production</v>
      </c>
      <c r="E1262" t="str">
        <f>[1]Result_notebook_retravaill!E1262</f>
        <v>Current shares</v>
      </c>
      <c r="F1262" t="str">
        <f>[1]Result_notebook_retravaill!F1262</f>
        <v>NIMBY</v>
      </c>
      <c r="G1262">
        <f>[1]Result_notebook_retravaill!G1262</f>
        <v>240082.77165293321</v>
      </c>
      <c r="H1262" s="3">
        <f>IF([1]Result_notebook_retravaill!I1262&gt;[1]Result_notebook_retravaill!G1262,[1]Result_notebook_retravaill!I1262/[1]Result_notebook_retravaill!N1262,[1]Result_notebook_retravaill!H1262)</f>
        <v>0</v>
      </c>
      <c r="I1262" s="3">
        <f>[1]Result_notebook_retravaill!K1262</f>
        <v>545642.6628475755</v>
      </c>
      <c r="J1262" s="3">
        <f>MIN(G1262,[1]Result_notebook_retravaill!I1262)</f>
        <v>0</v>
      </c>
      <c r="K1262" s="3">
        <f>IF([1]Result_notebook_retravaill!I1262&gt;[1]Result_notebook_retravaill!G1262,0,IF([1]Result_notebook_retravaill!I1262+[1]Result_notebook_retravaill!J1262&gt;[1]Result_notebook_retravaill!G1262,[1]Result_notebook_retravaill!G1262-[1]Result_notebook_retravaill!I1262,[1]Result_notebook_retravaill!J1262))</f>
        <v>0</v>
      </c>
      <c r="L1262" s="3">
        <f>IF([1]Result_notebook_retravaill!I1262&gt;[1]Result_notebook_retravaill!G1262,0,IF([1]Result_notebook_retravaill!I1262+[1]Result_notebook_retravaill!J1262&gt;[1]Result_notebook_retravaill!G1262,0,[1]Result_notebook_retravaill!M1262))</f>
        <v>240082.77165293321</v>
      </c>
    </row>
    <row r="1263" spans="1:12">
      <c r="A1263">
        <f>[1]Result_notebook_retravaill!A1263</f>
        <v>2039</v>
      </c>
      <c r="B1263" t="str">
        <f>[1]Result_notebook_retravaill!B1263</f>
        <v>Cobalt</v>
      </c>
      <c r="C1263" t="str">
        <f>[1]Result_notebook_retravaill!C1263</f>
        <v>Canada Net-zero</v>
      </c>
      <c r="D1263" t="str">
        <f>[1]Result_notebook_retravaill!D1263</f>
        <v>Existing production</v>
      </c>
      <c r="E1263" t="str">
        <f>[1]Result_notebook_retravaill!E1263</f>
        <v>Current shares</v>
      </c>
      <c r="F1263" t="str">
        <f>[1]Result_notebook_retravaill!F1263</f>
        <v>Status Quo</v>
      </c>
      <c r="G1263">
        <f>[1]Result_notebook_retravaill!G1263</f>
        <v>240082.77165293321</v>
      </c>
      <c r="H1263" s="3">
        <f>IF([1]Result_notebook_retravaill!I1263&gt;[1]Result_notebook_retravaill!G1263,[1]Result_notebook_retravaill!I1263/[1]Result_notebook_retravaill!N1263,[1]Result_notebook_retravaill!H1263)</f>
        <v>261</v>
      </c>
      <c r="I1263" s="3">
        <f>[1]Result_notebook_retravaill!K1263</f>
        <v>545381.6628475755</v>
      </c>
      <c r="J1263" s="3">
        <f>MIN(G1263,[1]Result_notebook_retravaill!I1263)</f>
        <v>110.71145720551</v>
      </c>
      <c r="K1263" s="3">
        <f>IF([1]Result_notebook_retravaill!I1263&gt;[1]Result_notebook_retravaill!G1263,0,IF([1]Result_notebook_retravaill!I1263+[1]Result_notebook_retravaill!J1263&gt;[1]Result_notebook_retravaill!G1263,[1]Result_notebook_retravaill!G1263-[1]Result_notebook_retravaill!I1263,[1]Result_notebook_retravaill!J1263))</f>
        <v>3.9579964387912554</v>
      </c>
      <c r="L1263" s="3">
        <f>IF([1]Result_notebook_retravaill!I1263&gt;[1]Result_notebook_retravaill!G1263,0,IF([1]Result_notebook_retravaill!I1263+[1]Result_notebook_retravaill!J1263&gt;[1]Result_notebook_retravaill!G1263,0,[1]Result_notebook_retravaill!M1263))</f>
        <v>239968.10219928893</v>
      </c>
    </row>
    <row r="1264" spans="1:12">
      <c r="A1264">
        <f>[1]Result_notebook_retravaill!A1264</f>
        <v>2039</v>
      </c>
      <c r="B1264" t="str">
        <f>[1]Result_notebook_retravaill!B1264</f>
        <v>Cobalt</v>
      </c>
      <c r="C1264" t="str">
        <f>[1]Result_notebook_retravaill!C1264</f>
        <v>Canada Net-zero</v>
      </c>
      <c r="D1264" t="str">
        <f>[1]Result_notebook_retravaill!D1264</f>
        <v>Production potential</v>
      </c>
      <c r="E1264" t="str">
        <f>[1]Result_notebook_retravaill!E1264</f>
        <v>Current shares</v>
      </c>
      <c r="F1264" t="str">
        <f>[1]Result_notebook_retravaill!F1264</f>
        <v>Expansion Extractive</v>
      </c>
      <c r="G1264">
        <f>[1]Result_notebook_retravaill!G1264</f>
        <v>240082.77165293321</v>
      </c>
      <c r="H1264" s="3">
        <f>IF([1]Result_notebook_retravaill!I1264&gt;[1]Result_notebook_retravaill!G1264,[1]Result_notebook_retravaill!I1264/[1]Result_notebook_retravaill!N1264,[1]Result_notebook_retravaill!H1264)</f>
        <v>27029.65589320119</v>
      </c>
      <c r="I1264" s="3">
        <f>[1]Result_notebook_retravaill!K1264</f>
        <v>518613.00695437432</v>
      </c>
      <c r="J1264" s="3">
        <f>MIN(G1264,[1]Result_notebook_retravaill!I1264)</f>
        <v>11465.488857087381</v>
      </c>
      <c r="K1264" s="3">
        <f>IF([1]Result_notebook_retravaill!I1264&gt;[1]Result_notebook_retravaill!G1264,0,IF([1]Result_notebook_retravaill!I1264+[1]Result_notebook_retravaill!J1264&gt;[1]Result_notebook_retravaill!G1264,[1]Result_notebook_retravaill!G1264-[1]Result_notebook_retravaill!I1264,[1]Result_notebook_retravaill!J1264))</f>
        <v>409.89763129134735</v>
      </c>
      <c r="L1264" s="3">
        <f>IF([1]Result_notebook_retravaill!I1264&gt;[1]Result_notebook_retravaill!G1264,0,IF([1]Result_notebook_retravaill!I1264+[1]Result_notebook_retravaill!J1264&gt;[1]Result_notebook_retravaill!G1264,0,[1]Result_notebook_retravaill!M1264))</f>
        <v>228207.38516455443</v>
      </c>
    </row>
    <row r="1265" spans="1:12">
      <c r="A1265">
        <f>[1]Result_notebook_retravaill!A1265</f>
        <v>2039</v>
      </c>
      <c r="B1265" t="str">
        <f>[1]Result_notebook_retravaill!B1265</f>
        <v>Cobalt</v>
      </c>
      <c r="C1265" t="str">
        <f>[1]Result_notebook_retravaill!C1265</f>
        <v>Canada Net-zero</v>
      </c>
      <c r="D1265" t="str">
        <f>[1]Result_notebook_retravaill!D1265</f>
        <v>Production potential</v>
      </c>
      <c r="E1265" t="str">
        <f>[1]Result_notebook_retravaill!E1265</f>
        <v>Current shares</v>
      </c>
      <c r="F1265" t="str">
        <f>[1]Result_notebook_retravaill!F1265</f>
        <v>Expansion Extractive+Circularity</v>
      </c>
      <c r="G1265">
        <f>[1]Result_notebook_retravaill!G1265</f>
        <v>240082.77165293321</v>
      </c>
      <c r="H1265" s="3">
        <f>IF([1]Result_notebook_retravaill!I1265&gt;[1]Result_notebook_retravaill!G1265,[1]Result_notebook_retravaill!I1265/[1]Result_notebook_retravaill!N1265,[1]Result_notebook_retravaill!H1265)</f>
        <v>27029.65589320119</v>
      </c>
      <c r="I1265" s="3">
        <f>[1]Result_notebook_retravaill!K1265</f>
        <v>518613.00695437432</v>
      </c>
      <c r="J1265" s="3">
        <f>MIN(G1265,[1]Result_notebook_retravaill!I1265)</f>
        <v>11465.488857087381</v>
      </c>
      <c r="K1265" s="3">
        <f>IF([1]Result_notebook_retravaill!I1265&gt;[1]Result_notebook_retravaill!G1265,0,IF([1]Result_notebook_retravaill!I1265+[1]Result_notebook_retravaill!J1265&gt;[1]Result_notebook_retravaill!G1265,[1]Result_notebook_retravaill!G1265-[1]Result_notebook_retravaill!I1265,[1]Result_notebook_retravaill!J1265))</f>
        <v>409.89763129134735</v>
      </c>
      <c r="L1265" s="3">
        <f>IF([1]Result_notebook_retravaill!I1265&gt;[1]Result_notebook_retravaill!G1265,0,IF([1]Result_notebook_retravaill!I1265+[1]Result_notebook_retravaill!J1265&gt;[1]Result_notebook_retravaill!G1265,0,[1]Result_notebook_retravaill!M1265))</f>
        <v>228207.38516455443</v>
      </c>
    </row>
    <row r="1266" spans="1:12">
      <c r="A1266">
        <f>[1]Result_notebook_retravaill!A1266</f>
        <v>2039</v>
      </c>
      <c r="B1266" t="str">
        <f>[1]Result_notebook_retravaill!B1266</f>
        <v>Cobalt</v>
      </c>
      <c r="C1266" t="str">
        <f>[1]Result_notebook_retravaill!C1266</f>
        <v>Canada Net-zero</v>
      </c>
      <c r="D1266" t="str">
        <f>[1]Result_notebook_retravaill!D1266</f>
        <v>Production potential</v>
      </c>
      <c r="E1266" t="str">
        <f>[1]Result_notebook_retravaill!E1266</f>
        <v>100% CAN</v>
      </c>
      <c r="F1266" t="str">
        <f>[1]Result_notebook_retravaill!F1266</f>
        <v>Integrated</v>
      </c>
      <c r="G1266">
        <f>[1]Result_notebook_retravaill!G1266</f>
        <v>240082.77165293321</v>
      </c>
      <c r="H1266" s="3">
        <f>IF([1]Result_notebook_retravaill!I1266&gt;[1]Result_notebook_retravaill!G1266,[1]Result_notebook_retravaill!I1266/[1]Result_notebook_retravaill!N1266,[1]Result_notebook_retravaill!H1266)</f>
        <v>27029.65589320119</v>
      </c>
      <c r="I1266" s="3">
        <f>[1]Result_notebook_retravaill!K1266</f>
        <v>518613.00695437432</v>
      </c>
      <c r="J1266" s="3">
        <f>MIN(G1266,[1]Result_notebook_retravaill!I1266)</f>
        <v>11875.386488378739</v>
      </c>
      <c r="K1266" s="3">
        <f>IF([1]Result_notebook_retravaill!I1266&gt;[1]Result_notebook_retravaill!G1266,0,IF([1]Result_notebook_retravaill!I1266+[1]Result_notebook_retravaill!J1266&gt;[1]Result_notebook_retravaill!G1266,[1]Result_notebook_retravaill!G1266-[1]Result_notebook_retravaill!I1266,[1]Result_notebook_retravaill!J1266))</f>
        <v>0</v>
      </c>
      <c r="L1266" s="3">
        <f>IF([1]Result_notebook_retravaill!I1266&gt;[1]Result_notebook_retravaill!G1266,0,IF([1]Result_notebook_retravaill!I1266+[1]Result_notebook_retravaill!J1266&gt;[1]Result_notebook_retravaill!G1266,0,[1]Result_notebook_retravaill!M1266))</f>
        <v>228207.38516455449</v>
      </c>
    </row>
    <row r="1267" spans="1:12">
      <c r="A1267">
        <f>[1]Result_notebook_retravaill!A1267</f>
        <v>2039</v>
      </c>
      <c r="B1267" t="str">
        <f>[1]Result_notebook_retravaill!B1267</f>
        <v>Cobalt</v>
      </c>
      <c r="C1267" t="str">
        <f>[1]Result_notebook_retravaill!C1267</f>
        <v>Current Measures</v>
      </c>
      <c r="D1267" t="str">
        <f>[1]Result_notebook_retravaill!D1267</f>
        <v>Existing production</v>
      </c>
      <c r="E1267" t="str">
        <f>[1]Result_notebook_retravaill!E1267</f>
        <v>Current shares</v>
      </c>
      <c r="F1267" t="str">
        <f>[1]Result_notebook_retravaill!F1267</f>
        <v>NIMBY</v>
      </c>
      <c r="G1267">
        <f>[1]Result_notebook_retravaill!G1267</f>
        <v>89882.885025704978</v>
      </c>
      <c r="H1267" s="3">
        <f>IF([1]Result_notebook_retravaill!I1267&gt;[1]Result_notebook_retravaill!G1267,[1]Result_notebook_retravaill!I1267/[1]Result_notebook_retravaill!N1267,[1]Result_notebook_retravaill!H1267)</f>
        <v>0</v>
      </c>
      <c r="I1267" s="3">
        <f>[1]Result_notebook_retravaill!K1267</f>
        <v>204279.2841493295</v>
      </c>
      <c r="J1267" s="3">
        <f>MIN(G1267,[1]Result_notebook_retravaill!I1267)</f>
        <v>0</v>
      </c>
      <c r="K1267" s="3">
        <f>IF([1]Result_notebook_retravaill!I1267&gt;[1]Result_notebook_retravaill!G1267,0,IF([1]Result_notebook_retravaill!I1267+[1]Result_notebook_retravaill!J1267&gt;[1]Result_notebook_retravaill!G1267,[1]Result_notebook_retravaill!G1267-[1]Result_notebook_retravaill!I1267,[1]Result_notebook_retravaill!J1267))</f>
        <v>0</v>
      </c>
      <c r="L1267" s="3">
        <f>IF([1]Result_notebook_retravaill!I1267&gt;[1]Result_notebook_retravaill!G1267,0,IF([1]Result_notebook_retravaill!I1267+[1]Result_notebook_retravaill!J1267&gt;[1]Result_notebook_retravaill!G1267,0,[1]Result_notebook_retravaill!M1267))</f>
        <v>89882.885025704978</v>
      </c>
    </row>
    <row r="1268" spans="1:12">
      <c r="A1268">
        <f>[1]Result_notebook_retravaill!A1268</f>
        <v>2039</v>
      </c>
      <c r="B1268" t="str">
        <f>[1]Result_notebook_retravaill!B1268</f>
        <v>Cobalt</v>
      </c>
      <c r="C1268" t="str">
        <f>[1]Result_notebook_retravaill!C1268</f>
        <v>Current Measures</v>
      </c>
      <c r="D1268" t="str">
        <f>[1]Result_notebook_retravaill!D1268</f>
        <v>Existing production</v>
      </c>
      <c r="E1268" t="str">
        <f>[1]Result_notebook_retravaill!E1268</f>
        <v>Current shares</v>
      </c>
      <c r="F1268" t="str">
        <f>[1]Result_notebook_retravaill!F1268</f>
        <v>Status Quo</v>
      </c>
      <c r="G1268">
        <f>[1]Result_notebook_retravaill!G1268</f>
        <v>89882.885025704978</v>
      </c>
      <c r="H1268" s="3">
        <f>IF([1]Result_notebook_retravaill!I1268&gt;[1]Result_notebook_retravaill!G1268,[1]Result_notebook_retravaill!I1268/[1]Result_notebook_retravaill!N1268,[1]Result_notebook_retravaill!H1268)</f>
        <v>261</v>
      </c>
      <c r="I1268" s="3">
        <f>[1]Result_notebook_retravaill!K1268</f>
        <v>204018.2841493295</v>
      </c>
      <c r="J1268" s="3">
        <f>MIN(G1268,[1]Result_notebook_retravaill!I1268)</f>
        <v>110.71145720551</v>
      </c>
      <c r="K1268" s="3">
        <f>IF([1]Result_notebook_retravaill!I1268&gt;[1]Result_notebook_retravaill!G1268,0,IF([1]Result_notebook_retravaill!I1268+[1]Result_notebook_retravaill!J1268&gt;[1]Result_notebook_retravaill!G1268,[1]Result_notebook_retravaill!G1268-[1]Result_notebook_retravaill!I1268,[1]Result_notebook_retravaill!J1268))</f>
        <v>3.9579964387912554</v>
      </c>
      <c r="L1268" s="3">
        <f>IF([1]Result_notebook_retravaill!I1268&gt;[1]Result_notebook_retravaill!G1268,0,IF([1]Result_notebook_retravaill!I1268+[1]Result_notebook_retravaill!J1268&gt;[1]Result_notebook_retravaill!G1268,0,[1]Result_notebook_retravaill!M1268))</f>
        <v>89768.215572060668</v>
      </c>
    </row>
    <row r="1269" spans="1:12">
      <c r="A1269">
        <f>[1]Result_notebook_retravaill!A1269</f>
        <v>2039</v>
      </c>
      <c r="B1269" t="str">
        <f>[1]Result_notebook_retravaill!B1269</f>
        <v>Cobalt</v>
      </c>
      <c r="C1269" t="str">
        <f>[1]Result_notebook_retravaill!C1269</f>
        <v>Current Measures</v>
      </c>
      <c r="D1269" t="str">
        <f>[1]Result_notebook_retravaill!D1269</f>
        <v>Production potential</v>
      </c>
      <c r="E1269" t="str">
        <f>[1]Result_notebook_retravaill!E1269</f>
        <v>Current shares</v>
      </c>
      <c r="F1269" t="str">
        <f>[1]Result_notebook_retravaill!F1269</f>
        <v>Expansion Extractive</v>
      </c>
      <c r="G1269">
        <f>[1]Result_notebook_retravaill!G1269</f>
        <v>89882.885025704978</v>
      </c>
      <c r="H1269" s="3">
        <f>IF([1]Result_notebook_retravaill!I1269&gt;[1]Result_notebook_retravaill!G1269,[1]Result_notebook_retravaill!I1269/[1]Result_notebook_retravaill!N1269,[1]Result_notebook_retravaill!H1269)</f>
        <v>27029.65589320119</v>
      </c>
      <c r="I1269" s="3">
        <f>[1]Result_notebook_retravaill!K1269</f>
        <v>177249.62825612829</v>
      </c>
      <c r="J1269" s="3">
        <f>MIN(G1269,[1]Result_notebook_retravaill!I1269)</f>
        <v>11465.488857087381</v>
      </c>
      <c r="K1269" s="3">
        <f>IF([1]Result_notebook_retravaill!I1269&gt;[1]Result_notebook_retravaill!G1269,0,IF([1]Result_notebook_retravaill!I1269+[1]Result_notebook_retravaill!J1269&gt;[1]Result_notebook_retravaill!G1269,[1]Result_notebook_retravaill!G1269-[1]Result_notebook_retravaill!I1269,[1]Result_notebook_retravaill!J1269))</f>
        <v>409.89763129134735</v>
      </c>
      <c r="L1269" s="3">
        <f>IF([1]Result_notebook_retravaill!I1269&gt;[1]Result_notebook_retravaill!G1269,0,IF([1]Result_notebook_retravaill!I1269+[1]Result_notebook_retravaill!J1269&gt;[1]Result_notebook_retravaill!G1269,0,[1]Result_notebook_retravaill!M1269))</f>
        <v>78007.498537326261</v>
      </c>
    </row>
    <row r="1270" spans="1:12">
      <c r="A1270">
        <f>[1]Result_notebook_retravaill!A1270</f>
        <v>2039</v>
      </c>
      <c r="B1270" t="str">
        <f>[1]Result_notebook_retravaill!B1270</f>
        <v>Cobalt</v>
      </c>
      <c r="C1270" t="str">
        <f>[1]Result_notebook_retravaill!C1270</f>
        <v>Current Measures</v>
      </c>
      <c r="D1270" t="str">
        <f>[1]Result_notebook_retravaill!D1270</f>
        <v>Production potential</v>
      </c>
      <c r="E1270" t="str">
        <f>[1]Result_notebook_retravaill!E1270</f>
        <v>Current shares</v>
      </c>
      <c r="F1270" t="str">
        <f>[1]Result_notebook_retravaill!F1270</f>
        <v>Expansion Extractive+Circularity</v>
      </c>
      <c r="G1270">
        <f>[1]Result_notebook_retravaill!G1270</f>
        <v>89882.885025704978</v>
      </c>
      <c r="H1270" s="3">
        <f>IF([1]Result_notebook_retravaill!I1270&gt;[1]Result_notebook_retravaill!G1270,[1]Result_notebook_retravaill!I1270/[1]Result_notebook_retravaill!N1270,[1]Result_notebook_retravaill!H1270)</f>
        <v>27029.65589320119</v>
      </c>
      <c r="I1270" s="3">
        <f>[1]Result_notebook_retravaill!K1270</f>
        <v>177249.62825612829</v>
      </c>
      <c r="J1270" s="3">
        <f>MIN(G1270,[1]Result_notebook_retravaill!I1270)</f>
        <v>11465.488857087381</v>
      </c>
      <c r="K1270" s="3">
        <f>IF([1]Result_notebook_retravaill!I1270&gt;[1]Result_notebook_retravaill!G1270,0,IF([1]Result_notebook_retravaill!I1270+[1]Result_notebook_retravaill!J1270&gt;[1]Result_notebook_retravaill!G1270,[1]Result_notebook_retravaill!G1270-[1]Result_notebook_retravaill!I1270,[1]Result_notebook_retravaill!J1270))</f>
        <v>409.89763129134735</v>
      </c>
      <c r="L1270" s="3">
        <f>IF([1]Result_notebook_retravaill!I1270&gt;[1]Result_notebook_retravaill!G1270,0,IF([1]Result_notebook_retravaill!I1270+[1]Result_notebook_retravaill!J1270&gt;[1]Result_notebook_retravaill!G1270,0,[1]Result_notebook_retravaill!M1270))</f>
        <v>78007.498537326261</v>
      </c>
    </row>
    <row r="1271" spans="1:12">
      <c r="A1271">
        <f>[1]Result_notebook_retravaill!A1271</f>
        <v>2039</v>
      </c>
      <c r="B1271" t="str">
        <f>[1]Result_notebook_retravaill!B1271</f>
        <v>Cobalt</v>
      </c>
      <c r="C1271" t="str">
        <f>[1]Result_notebook_retravaill!C1271</f>
        <v>Current Measures</v>
      </c>
      <c r="D1271" t="str">
        <f>[1]Result_notebook_retravaill!D1271</f>
        <v>Production potential</v>
      </c>
      <c r="E1271" t="str">
        <f>[1]Result_notebook_retravaill!E1271</f>
        <v>100% CAN</v>
      </c>
      <c r="F1271" t="str">
        <f>[1]Result_notebook_retravaill!F1271</f>
        <v>Integrated</v>
      </c>
      <c r="G1271">
        <f>[1]Result_notebook_retravaill!G1271</f>
        <v>89882.885025704978</v>
      </c>
      <c r="H1271" s="3">
        <f>IF([1]Result_notebook_retravaill!I1271&gt;[1]Result_notebook_retravaill!G1271,[1]Result_notebook_retravaill!I1271/[1]Result_notebook_retravaill!N1271,[1]Result_notebook_retravaill!H1271)</f>
        <v>27029.65589320119</v>
      </c>
      <c r="I1271" s="3">
        <f>[1]Result_notebook_retravaill!K1271</f>
        <v>177249.62825612829</v>
      </c>
      <c r="J1271" s="3">
        <f>MIN(G1271,[1]Result_notebook_retravaill!I1271)</f>
        <v>11875.386488378739</v>
      </c>
      <c r="K1271" s="3">
        <f>IF([1]Result_notebook_retravaill!I1271&gt;[1]Result_notebook_retravaill!G1271,0,IF([1]Result_notebook_retravaill!I1271+[1]Result_notebook_retravaill!J1271&gt;[1]Result_notebook_retravaill!G1271,[1]Result_notebook_retravaill!G1271-[1]Result_notebook_retravaill!I1271,[1]Result_notebook_retravaill!J1271))</f>
        <v>0</v>
      </c>
      <c r="L1271" s="3">
        <f>IF([1]Result_notebook_retravaill!I1271&gt;[1]Result_notebook_retravaill!G1271,0,IF([1]Result_notebook_retravaill!I1271+[1]Result_notebook_retravaill!J1271&gt;[1]Result_notebook_retravaill!G1271,0,[1]Result_notebook_retravaill!M1271))</f>
        <v>78007.498537326232</v>
      </c>
    </row>
    <row r="1272" spans="1:12">
      <c r="A1272">
        <f>[1]Result_notebook_retravaill!A1272</f>
        <v>2039</v>
      </c>
      <c r="B1272" t="str">
        <f>[1]Result_notebook_retravaill!B1272</f>
        <v>Cobalt</v>
      </c>
      <c r="C1272" t="str">
        <f>[1]Result_notebook_retravaill!C1272</f>
        <v>Global Net-zero</v>
      </c>
      <c r="D1272" t="str">
        <f>[1]Result_notebook_retravaill!D1272</f>
        <v>Existing production</v>
      </c>
      <c r="E1272" t="str">
        <f>[1]Result_notebook_retravaill!E1272</f>
        <v>Current shares</v>
      </c>
      <c r="F1272" t="str">
        <f>[1]Result_notebook_retravaill!F1272</f>
        <v>NIMBY</v>
      </c>
      <c r="G1272">
        <f>[1]Result_notebook_retravaill!G1272</f>
        <v>228473.28301366579</v>
      </c>
      <c r="H1272" s="3">
        <f>IF([1]Result_notebook_retravaill!I1272&gt;[1]Result_notebook_retravaill!G1272,[1]Result_notebook_retravaill!I1272/[1]Result_notebook_retravaill!N1272,[1]Result_notebook_retravaill!H1272)</f>
        <v>0</v>
      </c>
      <c r="I1272" s="3">
        <f>[1]Result_notebook_retravaill!K1272</f>
        <v>519257.46139469498</v>
      </c>
      <c r="J1272" s="3">
        <f>MIN(G1272,[1]Result_notebook_retravaill!I1272)</f>
        <v>0</v>
      </c>
      <c r="K1272" s="3">
        <f>IF([1]Result_notebook_retravaill!I1272&gt;[1]Result_notebook_retravaill!G1272,0,IF([1]Result_notebook_retravaill!I1272+[1]Result_notebook_retravaill!J1272&gt;[1]Result_notebook_retravaill!G1272,[1]Result_notebook_retravaill!G1272-[1]Result_notebook_retravaill!I1272,[1]Result_notebook_retravaill!J1272))</f>
        <v>0</v>
      </c>
      <c r="L1272" s="3">
        <f>IF([1]Result_notebook_retravaill!I1272&gt;[1]Result_notebook_retravaill!G1272,0,IF([1]Result_notebook_retravaill!I1272+[1]Result_notebook_retravaill!J1272&gt;[1]Result_notebook_retravaill!G1272,0,[1]Result_notebook_retravaill!M1272))</f>
        <v>228473.28301366579</v>
      </c>
    </row>
    <row r="1273" spans="1:12">
      <c r="A1273">
        <f>[1]Result_notebook_retravaill!A1273</f>
        <v>2039</v>
      </c>
      <c r="B1273" t="str">
        <f>[1]Result_notebook_retravaill!B1273</f>
        <v>Cobalt</v>
      </c>
      <c r="C1273" t="str">
        <f>[1]Result_notebook_retravaill!C1273</f>
        <v>Global Net-zero</v>
      </c>
      <c r="D1273" t="str">
        <f>[1]Result_notebook_retravaill!D1273</f>
        <v>Existing production</v>
      </c>
      <c r="E1273" t="str">
        <f>[1]Result_notebook_retravaill!E1273</f>
        <v>Current shares</v>
      </c>
      <c r="F1273" t="str">
        <f>[1]Result_notebook_retravaill!F1273</f>
        <v>Status Quo</v>
      </c>
      <c r="G1273">
        <f>[1]Result_notebook_retravaill!G1273</f>
        <v>228473.28301366579</v>
      </c>
      <c r="H1273" s="3">
        <f>IF([1]Result_notebook_retravaill!I1273&gt;[1]Result_notebook_retravaill!G1273,[1]Result_notebook_retravaill!I1273/[1]Result_notebook_retravaill!N1273,[1]Result_notebook_retravaill!H1273)</f>
        <v>261</v>
      </c>
      <c r="I1273" s="3">
        <f>[1]Result_notebook_retravaill!K1273</f>
        <v>518996.46139469498</v>
      </c>
      <c r="J1273" s="3">
        <f>MIN(G1273,[1]Result_notebook_retravaill!I1273)</f>
        <v>110.71145720551</v>
      </c>
      <c r="K1273" s="3">
        <f>IF([1]Result_notebook_retravaill!I1273&gt;[1]Result_notebook_retravaill!G1273,0,IF([1]Result_notebook_retravaill!I1273+[1]Result_notebook_retravaill!J1273&gt;[1]Result_notebook_retravaill!G1273,[1]Result_notebook_retravaill!G1273-[1]Result_notebook_retravaill!I1273,[1]Result_notebook_retravaill!J1273))</f>
        <v>3.9579964387912554</v>
      </c>
      <c r="L1273" s="3">
        <f>IF([1]Result_notebook_retravaill!I1273&gt;[1]Result_notebook_retravaill!G1273,0,IF([1]Result_notebook_retravaill!I1273+[1]Result_notebook_retravaill!J1273&gt;[1]Result_notebook_retravaill!G1273,0,[1]Result_notebook_retravaill!M1273))</f>
        <v>228358.61356002151</v>
      </c>
    </row>
    <row r="1274" spans="1:12">
      <c r="A1274">
        <f>[1]Result_notebook_retravaill!A1274</f>
        <v>2039</v>
      </c>
      <c r="B1274" t="str">
        <f>[1]Result_notebook_retravaill!B1274</f>
        <v>Cobalt</v>
      </c>
      <c r="C1274" t="str">
        <f>[1]Result_notebook_retravaill!C1274</f>
        <v>Global Net-zero</v>
      </c>
      <c r="D1274" t="str">
        <f>[1]Result_notebook_retravaill!D1274</f>
        <v>Production potential</v>
      </c>
      <c r="E1274" t="str">
        <f>[1]Result_notebook_retravaill!E1274</f>
        <v>Current shares</v>
      </c>
      <c r="F1274" t="str">
        <f>[1]Result_notebook_retravaill!F1274</f>
        <v>Expansion Extractive</v>
      </c>
      <c r="G1274">
        <f>[1]Result_notebook_retravaill!G1274</f>
        <v>228473.28301366579</v>
      </c>
      <c r="H1274" s="3">
        <f>IF([1]Result_notebook_retravaill!I1274&gt;[1]Result_notebook_retravaill!G1274,[1]Result_notebook_retravaill!I1274/[1]Result_notebook_retravaill!N1274,[1]Result_notebook_retravaill!H1274)</f>
        <v>27029.65589320119</v>
      </c>
      <c r="I1274" s="3">
        <f>[1]Result_notebook_retravaill!K1274</f>
        <v>492227.8055014938</v>
      </c>
      <c r="J1274" s="3">
        <f>MIN(G1274,[1]Result_notebook_retravaill!I1274)</f>
        <v>11465.488857087381</v>
      </c>
      <c r="K1274" s="3">
        <f>IF([1]Result_notebook_retravaill!I1274&gt;[1]Result_notebook_retravaill!G1274,0,IF([1]Result_notebook_retravaill!I1274+[1]Result_notebook_retravaill!J1274&gt;[1]Result_notebook_retravaill!G1274,[1]Result_notebook_retravaill!G1274-[1]Result_notebook_retravaill!I1274,[1]Result_notebook_retravaill!J1274))</f>
        <v>409.89763129134735</v>
      </c>
      <c r="L1274" s="3">
        <f>IF([1]Result_notebook_retravaill!I1274&gt;[1]Result_notebook_retravaill!G1274,0,IF([1]Result_notebook_retravaill!I1274+[1]Result_notebook_retravaill!J1274&gt;[1]Result_notebook_retravaill!G1274,0,[1]Result_notebook_retravaill!M1274))</f>
        <v>216597.89652528704</v>
      </c>
    </row>
    <row r="1275" spans="1:12">
      <c r="A1275">
        <f>[1]Result_notebook_retravaill!A1275</f>
        <v>2039</v>
      </c>
      <c r="B1275" t="str">
        <f>[1]Result_notebook_retravaill!B1275</f>
        <v>Cobalt</v>
      </c>
      <c r="C1275" t="str">
        <f>[1]Result_notebook_retravaill!C1275</f>
        <v>Global Net-zero</v>
      </c>
      <c r="D1275" t="str">
        <f>[1]Result_notebook_retravaill!D1275</f>
        <v>Production potential</v>
      </c>
      <c r="E1275" t="str">
        <f>[1]Result_notebook_retravaill!E1275</f>
        <v>Current shares</v>
      </c>
      <c r="F1275" t="str">
        <f>[1]Result_notebook_retravaill!F1275</f>
        <v>Expansion Extractive+Circularity</v>
      </c>
      <c r="G1275">
        <f>[1]Result_notebook_retravaill!G1275</f>
        <v>228473.28301366579</v>
      </c>
      <c r="H1275" s="3">
        <f>IF([1]Result_notebook_retravaill!I1275&gt;[1]Result_notebook_retravaill!G1275,[1]Result_notebook_retravaill!I1275/[1]Result_notebook_retravaill!N1275,[1]Result_notebook_retravaill!H1275)</f>
        <v>27029.65589320119</v>
      </c>
      <c r="I1275" s="3">
        <f>[1]Result_notebook_retravaill!K1275</f>
        <v>492227.8055014938</v>
      </c>
      <c r="J1275" s="3">
        <f>MIN(G1275,[1]Result_notebook_retravaill!I1275)</f>
        <v>11465.488857087381</v>
      </c>
      <c r="K1275" s="3">
        <f>IF([1]Result_notebook_retravaill!I1275&gt;[1]Result_notebook_retravaill!G1275,0,IF([1]Result_notebook_retravaill!I1275+[1]Result_notebook_retravaill!J1275&gt;[1]Result_notebook_retravaill!G1275,[1]Result_notebook_retravaill!G1275-[1]Result_notebook_retravaill!I1275,[1]Result_notebook_retravaill!J1275))</f>
        <v>409.89763129134735</v>
      </c>
      <c r="L1275" s="3">
        <f>IF([1]Result_notebook_retravaill!I1275&gt;[1]Result_notebook_retravaill!G1275,0,IF([1]Result_notebook_retravaill!I1275+[1]Result_notebook_retravaill!J1275&gt;[1]Result_notebook_retravaill!G1275,0,[1]Result_notebook_retravaill!M1275))</f>
        <v>216597.89652528704</v>
      </c>
    </row>
    <row r="1276" spans="1:12">
      <c r="A1276">
        <f>[1]Result_notebook_retravaill!A1276</f>
        <v>2039</v>
      </c>
      <c r="B1276" t="str">
        <f>[1]Result_notebook_retravaill!B1276</f>
        <v>Cobalt</v>
      </c>
      <c r="C1276" t="str">
        <f>[1]Result_notebook_retravaill!C1276</f>
        <v>Global Net-zero</v>
      </c>
      <c r="D1276" t="str">
        <f>[1]Result_notebook_retravaill!D1276</f>
        <v>Production potential</v>
      </c>
      <c r="E1276" t="str">
        <f>[1]Result_notebook_retravaill!E1276</f>
        <v>100% CAN</v>
      </c>
      <c r="F1276" t="str">
        <f>[1]Result_notebook_retravaill!F1276</f>
        <v>Integrated</v>
      </c>
      <c r="G1276">
        <f>[1]Result_notebook_retravaill!G1276</f>
        <v>228473.28301366579</v>
      </c>
      <c r="H1276" s="3">
        <f>IF([1]Result_notebook_retravaill!I1276&gt;[1]Result_notebook_retravaill!G1276,[1]Result_notebook_retravaill!I1276/[1]Result_notebook_retravaill!N1276,[1]Result_notebook_retravaill!H1276)</f>
        <v>27029.65589320119</v>
      </c>
      <c r="I1276" s="3">
        <f>[1]Result_notebook_retravaill!K1276</f>
        <v>492227.8055014938</v>
      </c>
      <c r="J1276" s="3">
        <f>MIN(G1276,[1]Result_notebook_retravaill!I1276)</f>
        <v>11875.386488378739</v>
      </c>
      <c r="K1276" s="3">
        <f>IF([1]Result_notebook_retravaill!I1276&gt;[1]Result_notebook_retravaill!G1276,0,IF([1]Result_notebook_retravaill!I1276+[1]Result_notebook_retravaill!J1276&gt;[1]Result_notebook_retravaill!G1276,[1]Result_notebook_retravaill!G1276-[1]Result_notebook_retravaill!I1276,[1]Result_notebook_retravaill!J1276))</f>
        <v>0</v>
      </c>
      <c r="L1276" s="3">
        <f>IF([1]Result_notebook_retravaill!I1276&gt;[1]Result_notebook_retravaill!G1276,0,IF([1]Result_notebook_retravaill!I1276+[1]Result_notebook_retravaill!J1276&gt;[1]Result_notebook_retravaill!G1276,0,[1]Result_notebook_retravaill!M1276))</f>
        <v>216597.89652528701</v>
      </c>
    </row>
    <row r="1277" spans="1:12">
      <c r="A1277">
        <f>[1]Result_notebook_retravaill!A1277</f>
        <v>2039</v>
      </c>
      <c r="B1277" t="str">
        <f>[1]Result_notebook_retravaill!B1277</f>
        <v>Copper</v>
      </c>
      <c r="C1277" t="str">
        <f>[1]Result_notebook_retravaill!C1277</f>
        <v>Canada Net-zero</v>
      </c>
      <c r="D1277" t="str">
        <f>[1]Result_notebook_retravaill!D1277</f>
        <v>Existing production</v>
      </c>
      <c r="E1277" t="str">
        <f>[1]Result_notebook_retravaill!E1277</f>
        <v>Current shares</v>
      </c>
      <c r="F1277" t="str">
        <f>[1]Result_notebook_retravaill!F1277</f>
        <v>NIMBY</v>
      </c>
      <c r="G1277">
        <f>[1]Result_notebook_retravaill!G1277</f>
        <v>1574369.961054781</v>
      </c>
      <c r="H1277" s="3">
        <f>IF([1]Result_notebook_retravaill!I1277&gt;[1]Result_notebook_retravaill!G1277,[1]Result_notebook_retravaill!I1277/[1]Result_notebook_retravaill!N1277,[1]Result_notebook_retravaill!H1277)</f>
        <v>0</v>
      </c>
      <c r="I1277" s="3">
        <f>[1]Result_notebook_retravaill!K1277</f>
        <v>1896831.278379254</v>
      </c>
      <c r="J1277" s="3">
        <f>MIN(G1277,[1]Result_notebook_retravaill!I1277)</f>
        <v>0</v>
      </c>
      <c r="K1277" s="3">
        <f>IF([1]Result_notebook_retravaill!I1277&gt;[1]Result_notebook_retravaill!G1277,0,IF([1]Result_notebook_retravaill!I1277+[1]Result_notebook_retravaill!J1277&gt;[1]Result_notebook_retravaill!G1277,[1]Result_notebook_retravaill!G1277-[1]Result_notebook_retravaill!I1277,[1]Result_notebook_retravaill!J1277))</f>
        <v>0</v>
      </c>
      <c r="L1277" s="3">
        <f>IF([1]Result_notebook_retravaill!I1277&gt;[1]Result_notebook_retravaill!G1277,0,IF([1]Result_notebook_retravaill!I1277+[1]Result_notebook_retravaill!J1277&gt;[1]Result_notebook_retravaill!G1277,0,[1]Result_notebook_retravaill!M1277))</f>
        <v>1574369.961054781</v>
      </c>
    </row>
    <row r="1278" spans="1:12">
      <c r="A1278">
        <f>[1]Result_notebook_retravaill!A1278</f>
        <v>2039</v>
      </c>
      <c r="B1278" t="str">
        <f>[1]Result_notebook_retravaill!B1278</f>
        <v>Copper</v>
      </c>
      <c r="C1278" t="str">
        <f>[1]Result_notebook_retravaill!C1278</f>
        <v>Canada Net-zero</v>
      </c>
      <c r="D1278" t="str">
        <f>[1]Result_notebook_retravaill!D1278</f>
        <v>Existing production</v>
      </c>
      <c r="E1278" t="str">
        <f>[1]Result_notebook_retravaill!E1278</f>
        <v>Current shares</v>
      </c>
      <c r="F1278" t="str">
        <f>[1]Result_notebook_retravaill!F1278</f>
        <v>Status Quo</v>
      </c>
      <c r="G1278">
        <f>[1]Result_notebook_retravaill!G1278</f>
        <v>1574369.961054781</v>
      </c>
      <c r="H1278" s="3">
        <f>IF([1]Result_notebook_retravaill!I1278&gt;[1]Result_notebook_retravaill!G1278,[1]Result_notebook_retravaill!I1278/[1]Result_notebook_retravaill!N1278,[1]Result_notebook_retravaill!H1278)</f>
        <v>174130</v>
      </c>
      <c r="I1278" s="3">
        <f>[1]Result_notebook_retravaill!K1278</f>
        <v>1722701.278379254</v>
      </c>
      <c r="J1278" s="3">
        <f>MIN(G1278,[1]Result_notebook_retravaill!I1278)</f>
        <v>91524.240751278106</v>
      </c>
      <c r="K1278" s="3">
        <f>IF([1]Result_notebook_retravaill!I1278&gt;[1]Result_notebook_retravaill!G1278,0,IF([1]Result_notebook_retravaill!I1278+[1]Result_notebook_retravaill!J1278&gt;[1]Result_notebook_retravaill!G1278,[1]Result_notebook_retravaill!G1278-[1]Result_notebook_retravaill!I1278,[1]Result_notebook_retravaill!J1278))</f>
        <v>53830.038909738752</v>
      </c>
      <c r="L1278" s="3">
        <f>IF([1]Result_notebook_retravaill!I1278&gt;[1]Result_notebook_retravaill!G1278,0,IF([1]Result_notebook_retravaill!I1278+[1]Result_notebook_retravaill!J1278&gt;[1]Result_notebook_retravaill!G1278,0,[1]Result_notebook_retravaill!M1278))</f>
        <v>1429015.6813937644</v>
      </c>
    </row>
    <row r="1279" spans="1:12">
      <c r="A1279">
        <f>[1]Result_notebook_retravaill!A1279</f>
        <v>2039</v>
      </c>
      <c r="B1279" t="str">
        <f>[1]Result_notebook_retravaill!B1279</f>
        <v>Copper</v>
      </c>
      <c r="C1279" t="str">
        <f>[1]Result_notebook_retravaill!C1279</f>
        <v>Canada Net-zero</v>
      </c>
      <c r="D1279" t="str">
        <f>[1]Result_notebook_retravaill!D1279</f>
        <v>Production potential</v>
      </c>
      <c r="E1279" t="str">
        <f>[1]Result_notebook_retravaill!E1279</f>
        <v>Current shares</v>
      </c>
      <c r="F1279" t="str">
        <f>[1]Result_notebook_retravaill!F1279</f>
        <v>Expansion Extractive</v>
      </c>
      <c r="G1279">
        <f>[1]Result_notebook_retravaill!G1279</f>
        <v>1574369.961054781</v>
      </c>
      <c r="H1279" s="3">
        <f>IF([1]Result_notebook_retravaill!I1279&gt;[1]Result_notebook_retravaill!G1279,[1]Result_notebook_retravaill!I1279/[1]Result_notebook_retravaill!N1279,[1]Result_notebook_retravaill!H1279)</f>
        <v>1075205.601428098</v>
      </c>
      <c r="I1279" s="3">
        <f>[1]Result_notebook_retravaill!K1279</f>
        <v>821625.67695115646</v>
      </c>
      <c r="J1279" s="3">
        <f>MIN(G1279,[1]Result_notebook_retravaill!I1279)</f>
        <v>565137.40494014812</v>
      </c>
      <c r="K1279" s="3">
        <f>IF([1]Result_notebook_retravaill!I1279&gt;[1]Result_notebook_retravaill!G1279,0,IF([1]Result_notebook_retravaill!I1279+[1]Result_notebook_retravaill!J1279&gt;[1]Result_notebook_retravaill!G1279,[1]Result_notebook_retravaill!G1279-[1]Result_notebook_retravaill!I1279,[1]Result_notebook_retravaill!J1279))</f>
        <v>332385.91489601799</v>
      </c>
      <c r="L1279" s="3">
        <f>IF([1]Result_notebook_retravaill!I1279&gt;[1]Result_notebook_retravaill!G1279,0,IF([1]Result_notebook_retravaill!I1279+[1]Result_notebook_retravaill!J1279&gt;[1]Result_notebook_retravaill!G1279,0,[1]Result_notebook_retravaill!M1279))</f>
        <v>676846.641218615</v>
      </c>
    </row>
    <row r="1280" spans="1:12">
      <c r="A1280">
        <f>[1]Result_notebook_retravaill!A1280</f>
        <v>2039</v>
      </c>
      <c r="B1280" t="str">
        <f>[1]Result_notebook_retravaill!B1280</f>
        <v>Copper</v>
      </c>
      <c r="C1280" t="str">
        <f>[1]Result_notebook_retravaill!C1280</f>
        <v>Canada Net-zero</v>
      </c>
      <c r="D1280" t="str">
        <f>[1]Result_notebook_retravaill!D1280</f>
        <v>Production potential</v>
      </c>
      <c r="E1280" t="str">
        <f>[1]Result_notebook_retravaill!E1280</f>
        <v>Current shares</v>
      </c>
      <c r="F1280" t="str">
        <f>[1]Result_notebook_retravaill!F1280</f>
        <v>Expansion Extractive+Circularity</v>
      </c>
      <c r="G1280">
        <f>[1]Result_notebook_retravaill!G1280</f>
        <v>1574369.961054781</v>
      </c>
      <c r="H1280" s="3">
        <f>IF([1]Result_notebook_retravaill!I1280&gt;[1]Result_notebook_retravaill!G1280,[1]Result_notebook_retravaill!I1280/[1]Result_notebook_retravaill!N1280,[1]Result_notebook_retravaill!H1280)</f>
        <v>1075205.601428098</v>
      </c>
      <c r="I1280" s="3">
        <f>[1]Result_notebook_retravaill!K1280</f>
        <v>821625.67695115646</v>
      </c>
      <c r="J1280" s="3">
        <f>MIN(G1280,[1]Result_notebook_retravaill!I1280)</f>
        <v>565137.40494014812</v>
      </c>
      <c r="K1280" s="3">
        <f>IF([1]Result_notebook_retravaill!I1280&gt;[1]Result_notebook_retravaill!G1280,0,IF([1]Result_notebook_retravaill!I1280+[1]Result_notebook_retravaill!J1280&gt;[1]Result_notebook_retravaill!G1280,[1]Result_notebook_retravaill!G1280-[1]Result_notebook_retravaill!I1280,[1]Result_notebook_retravaill!J1280))</f>
        <v>332385.91489601799</v>
      </c>
      <c r="L1280" s="3">
        <f>IF([1]Result_notebook_retravaill!I1280&gt;[1]Result_notebook_retravaill!G1280,0,IF([1]Result_notebook_retravaill!I1280+[1]Result_notebook_retravaill!J1280&gt;[1]Result_notebook_retravaill!G1280,0,[1]Result_notebook_retravaill!M1280))</f>
        <v>676846.641218615</v>
      </c>
    </row>
    <row r="1281" spans="1:12">
      <c r="A1281">
        <f>[1]Result_notebook_retravaill!A1281</f>
        <v>2039</v>
      </c>
      <c r="B1281" t="str">
        <f>[1]Result_notebook_retravaill!B1281</f>
        <v>Copper</v>
      </c>
      <c r="C1281" t="str">
        <f>[1]Result_notebook_retravaill!C1281</f>
        <v>Canada Net-zero</v>
      </c>
      <c r="D1281" t="str">
        <f>[1]Result_notebook_retravaill!D1281</f>
        <v>Production potential</v>
      </c>
      <c r="E1281" t="str">
        <f>[1]Result_notebook_retravaill!E1281</f>
        <v>100% CAN</v>
      </c>
      <c r="F1281" t="str">
        <f>[1]Result_notebook_retravaill!F1281</f>
        <v>Integrated</v>
      </c>
      <c r="G1281">
        <f>[1]Result_notebook_retravaill!G1281</f>
        <v>1574369.961054781</v>
      </c>
      <c r="H1281" s="3">
        <f>IF([1]Result_notebook_retravaill!I1281&gt;[1]Result_notebook_retravaill!G1281,[1]Result_notebook_retravaill!I1281/[1]Result_notebook_retravaill!N1281,[1]Result_notebook_retravaill!H1281)</f>
        <v>1075205.601428098</v>
      </c>
      <c r="I1281" s="3">
        <f>[1]Result_notebook_retravaill!K1281</f>
        <v>821625.67695115646</v>
      </c>
      <c r="J1281" s="3">
        <f>MIN(G1281,[1]Result_notebook_retravaill!I1281)</f>
        <v>897523.31983616634</v>
      </c>
      <c r="K1281" s="3">
        <f>IF([1]Result_notebook_retravaill!I1281&gt;[1]Result_notebook_retravaill!G1281,0,IF([1]Result_notebook_retravaill!I1281+[1]Result_notebook_retravaill!J1281&gt;[1]Result_notebook_retravaill!G1281,[1]Result_notebook_retravaill!G1281-[1]Result_notebook_retravaill!I1281,[1]Result_notebook_retravaill!J1281))</f>
        <v>0</v>
      </c>
      <c r="L1281" s="3">
        <f>IF([1]Result_notebook_retravaill!I1281&gt;[1]Result_notebook_retravaill!G1281,0,IF([1]Result_notebook_retravaill!I1281+[1]Result_notebook_retravaill!J1281&gt;[1]Result_notebook_retravaill!G1281,0,[1]Result_notebook_retravaill!M1281))</f>
        <v>676846.64121861465</v>
      </c>
    </row>
    <row r="1282" spans="1:12">
      <c r="A1282">
        <f>[1]Result_notebook_retravaill!A1282</f>
        <v>2039</v>
      </c>
      <c r="B1282" t="str">
        <f>[1]Result_notebook_retravaill!B1282</f>
        <v>Copper</v>
      </c>
      <c r="C1282" t="str">
        <f>[1]Result_notebook_retravaill!C1282</f>
        <v>Current Measures</v>
      </c>
      <c r="D1282" t="str">
        <f>[1]Result_notebook_retravaill!D1282</f>
        <v>Existing production</v>
      </c>
      <c r="E1282" t="str">
        <f>[1]Result_notebook_retravaill!E1282</f>
        <v>Current shares</v>
      </c>
      <c r="F1282" t="str">
        <f>[1]Result_notebook_retravaill!F1282</f>
        <v>NIMBY</v>
      </c>
      <c r="G1282">
        <f>[1]Result_notebook_retravaill!G1282</f>
        <v>1183188.8670452209</v>
      </c>
      <c r="H1282" s="3">
        <f>IF([1]Result_notebook_retravaill!I1282&gt;[1]Result_notebook_retravaill!G1282,[1]Result_notebook_retravaill!I1282/[1]Result_notebook_retravaill!N1282,[1]Result_notebook_retravaill!H1282)</f>
        <v>0</v>
      </c>
      <c r="I1282" s="3">
        <f>[1]Result_notebook_retravaill!K1282</f>
        <v>1425528.75547617</v>
      </c>
      <c r="J1282" s="3">
        <f>MIN(G1282,[1]Result_notebook_retravaill!I1282)</f>
        <v>0</v>
      </c>
      <c r="K1282" s="3">
        <f>IF([1]Result_notebook_retravaill!I1282&gt;[1]Result_notebook_retravaill!G1282,0,IF([1]Result_notebook_retravaill!I1282+[1]Result_notebook_retravaill!J1282&gt;[1]Result_notebook_retravaill!G1282,[1]Result_notebook_retravaill!G1282-[1]Result_notebook_retravaill!I1282,[1]Result_notebook_retravaill!J1282))</f>
        <v>0</v>
      </c>
      <c r="L1282" s="3">
        <f>IF([1]Result_notebook_retravaill!I1282&gt;[1]Result_notebook_retravaill!G1282,0,IF([1]Result_notebook_retravaill!I1282+[1]Result_notebook_retravaill!J1282&gt;[1]Result_notebook_retravaill!G1282,0,[1]Result_notebook_retravaill!M1282))</f>
        <v>1183188.8670452209</v>
      </c>
    </row>
    <row r="1283" spans="1:12">
      <c r="A1283">
        <f>[1]Result_notebook_retravaill!A1283</f>
        <v>2039</v>
      </c>
      <c r="B1283" t="str">
        <f>[1]Result_notebook_retravaill!B1283</f>
        <v>Copper</v>
      </c>
      <c r="C1283" t="str">
        <f>[1]Result_notebook_retravaill!C1283</f>
        <v>Current Measures</v>
      </c>
      <c r="D1283" t="str">
        <f>[1]Result_notebook_retravaill!D1283</f>
        <v>Existing production</v>
      </c>
      <c r="E1283" t="str">
        <f>[1]Result_notebook_retravaill!E1283</f>
        <v>Current shares</v>
      </c>
      <c r="F1283" t="str">
        <f>[1]Result_notebook_retravaill!F1283</f>
        <v>Status Quo</v>
      </c>
      <c r="G1283">
        <f>[1]Result_notebook_retravaill!G1283</f>
        <v>1183188.8670452209</v>
      </c>
      <c r="H1283" s="3">
        <f>IF([1]Result_notebook_retravaill!I1283&gt;[1]Result_notebook_retravaill!G1283,[1]Result_notebook_retravaill!I1283/[1]Result_notebook_retravaill!N1283,[1]Result_notebook_retravaill!H1283)</f>
        <v>174130</v>
      </c>
      <c r="I1283" s="3">
        <f>[1]Result_notebook_retravaill!K1283</f>
        <v>1251398.75547617</v>
      </c>
      <c r="J1283" s="3">
        <f>MIN(G1283,[1]Result_notebook_retravaill!I1283)</f>
        <v>91524.240751278106</v>
      </c>
      <c r="K1283" s="3">
        <f>IF([1]Result_notebook_retravaill!I1283&gt;[1]Result_notebook_retravaill!G1283,0,IF([1]Result_notebook_retravaill!I1283+[1]Result_notebook_retravaill!J1283&gt;[1]Result_notebook_retravaill!G1283,[1]Result_notebook_retravaill!G1283-[1]Result_notebook_retravaill!I1283,[1]Result_notebook_retravaill!J1283))</f>
        <v>53830.038909738752</v>
      </c>
      <c r="L1283" s="3">
        <f>IF([1]Result_notebook_retravaill!I1283&gt;[1]Result_notebook_retravaill!G1283,0,IF([1]Result_notebook_retravaill!I1283+[1]Result_notebook_retravaill!J1283&gt;[1]Result_notebook_retravaill!G1283,0,[1]Result_notebook_retravaill!M1283))</f>
        <v>1037834.5873842043</v>
      </c>
    </row>
    <row r="1284" spans="1:12">
      <c r="A1284">
        <f>[1]Result_notebook_retravaill!A1284</f>
        <v>2039</v>
      </c>
      <c r="B1284" t="str">
        <f>[1]Result_notebook_retravaill!B1284</f>
        <v>Copper</v>
      </c>
      <c r="C1284" t="str">
        <f>[1]Result_notebook_retravaill!C1284</f>
        <v>Current Measures</v>
      </c>
      <c r="D1284" t="str">
        <f>[1]Result_notebook_retravaill!D1284</f>
        <v>Production potential</v>
      </c>
      <c r="E1284" t="str">
        <f>[1]Result_notebook_retravaill!E1284</f>
        <v>Current shares</v>
      </c>
      <c r="F1284" t="str">
        <f>[1]Result_notebook_retravaill!F1284</f>
        <v>Expansion Extractive</v>
      </c>
      <c r="G1284">
        <f>[1]Result_notebook_retravaill!G1284</f>
        <v>1183188.8670452209</v>
      </c>
      <c r="H1284" s="3">
        <f>IF([1]Result_notebook_retravaill!I1284&gt;[1]Result_notebook_retravaill!G1284,[1]Result_notebook_retravaill!I1284/[1]Result_notebook_retravaill!N1284,[1]Result_notebook_retravaill!H1284)</f>
        <v>1075205.601428098</v>
      </c>
      <c r="I1284" s="3">
        <f>[1]Result_notebook_retravaill!K1284</f>
        <v>350323.15404807188</v>
      </c>
      <c r="J1284" s="3">
        <f>MIN(G1284,[1]Result_notebook_retravaill!I1284)</f>
        <v>565137.40494014812</v>
      </c>
      <c r="K1284" s="3">
        <f>IF([1]Result_notebook_retravaill!I1284&gt;[1]Result_notebook_retravaill!G1284,0,IF([1]Result_notebook_retravaill!I1284+[1]Result_notebook_retravaill!J1284&gt;[1]Result_notebook_retravaill!G1284,[1]Result_notebook_retravaill!G1284-[1]Result_notebook_retravaill!I1284,[1]Result_notebook_retravaill!J1284))</f>
        <v>332385.91489601799</v>
      </c>
      <c r="L1284" s="3">
        <f>IF([1]Result_notebook_retravaill!I1284&gt;[1]Result_notebook_retravaill!G1284,0,IF([1]Result_notebook_retravaill!I1284+[1]Result_notebook_retravaill!J1284&gt;[1]Result_notebook_retravaill!G1284,0,[1]Result_notebook_retravaill!M1284))</f>
        <v>285665.54720905481</v>
      </c>
    </row>
    <row r="1285" spans="1:12">
      <c r="A1285">
        <f>[1]Result_notebook_retravaill!A1285</f>
        <v>2039</v>
      </c>
      <c r="B1285" t="str">
        <f>[1]Result_notebook_retravaill!B1285</f>
        <v>Copper</v>
      </c>
      <c r="C1285" t="str">
        <f>[1]Result_notebook_retravaill!C1285</f>
        <v>Current Measures</v>
      </c>
      <c r="D1285" t="str">
        <f>[1]Result_notebook_retravaill!D1285</f>
        <v>Production potential</v>
      </c>
      <c r="E1285" t="str">
        <f>[1]Result_notebook_retravaill!E1285</f>
        <v>Current shares</v>
      </c>
      <c r="F1285" t="str">
        <f>[1]Result_notebook_retravaill!F1285</f>
        <v>Expansion Extractive+Circularity</v>
      </c>
      <c r="G1285">
        <f>[1]Result_notebook_retravaill!G1285</f>
        <v>1183188.8670452209</v>
      </c>
      <c r="H1285" s="3">
        <f>IF([1]Result_notebook_retravaill!I1285&gt;[1]Result_notebook_retravaill!G1285,[1]Result_notebook_retravaill!I1285/[1]Result_notebook_retravaill!N1285,[1]Result_notebook_retravaill!H1285)</f>
        <v>1075205.601428098</v>
      </c>
      <c r="I1285" s="3">
        <f>[1]Result_notebook_retravaill!K1285</f>
        <v>350323.15404807188</v>
      </c>
      <c r="J1285" s="3">
        <f>MIN(G1285,[1]Result_notebook_retravaill!I1285)</f>
        <v>565137.40494014812</v>
      </c>
      <c r="K1285" s="3">
        <f>IF([1]Result_notebook_retravaill!I1285&gt;[1]Result_notebook_retravaill!G1285,0,IF([1]Result_notebook_retravaill!I1285+[1]Result_notebook_retravaill!J1285&gt;[1]Result_notebook_retravaill!G1285,[1]Result_notebook_retravaill!G1285-[1]Result_notebook_retravaill!I1285,[1]Result_notebook_retravaill!J1285))</f>
        <v>332385.91489601799</v>
      </c>
      <c r="L1285" s="3">
        <f>IF([1]Result_notebook_retravaill!I1285&gt;[1]Result_notebook_retravaill!G1285,0,IF([1]Result_notebook_retravaill!I1285+[1]Result_notebook_retravaill!J1285&gt;[1]Result_notebook_retravaill!G1285,0,[1]Result_notebook_retravaill!M1285))</f>
        <v>285665.54720905481</v>
      </c>
    </row>
    <row r="1286" spans="1:12">
      <c r="A1286">
        <f>[1]Result_notebook_retravaill!A1286</f>
        <v>2039</v>
      </c>
      <c r="B1286" t="str">
        <f>[1]Result_notebook_retravaill!B1286</f>
        <v>Copper</v>
      </c>
      <c r="C1286" t="str">
        <f>[1]Result_notebook_retravaill!C1286</f>
        <v>Current Measures</v>
      </c>
      <c r="D1286" t="str">
        <f>[1]Result_notebook_retravaill!D1286</f>
        <v>Production potential</v>
      </c>
      <c r="E1286" t="str">
        <f>[1]Result_notebook_retravaill!E1286</f>
        <v>100% CAN</v>
      </c>
      <c r="F1286" t="str">
        <f>[1]Result_notebook_retravaill!F1286</f>
        <v>Integrated</v>
      </c>
      <c r="G1286">
        <f>[1]Result_notebook_retravaill!G1286</f>
        <v>1183188.8670452209</v>
      </c>
      <c r="H1286" s="3">
        <f>IF([1]Result_notebook_retravaill!I1286&gt;[1]Result_notebook_retravaill!G1286,[1]Result_notebook_retravaill!I1286/[1]Result_notebook_retravaill!N1286,[1]Result_notebook_retravaill!H1286)</f>
        <v>1075205.601428098</v>
      </c>
      <c r="I1286" s="3">
        <f>[1]Result_notebook_retravaill!K1286</f>
        <v>350323.15404807188</v>
      </c>
      <c r="J1286" s="3">
        <f>MIN(G1286,[1]Result_notebook_retravaill!I1286)</f>
        <v>897523.31983616634</v>
      </c>
      <c r="K1286" s="3">
        <f>IF([1]Result_notebook_retravaill!I1286&gt;[1]Result_notebook_retravaill!G1286,0,IF([1]Result_notebook_retravaill!I1286+[1]Result_notebook_retravaill!J1286&gt;[1]Result_notebook_retravaill!G1286,[1]Result_notebook_retravaill!G1286-[1]Result_notebook_retravaill!I1286,[1]Result_notebook_retravaill!J1286))</f>
        <v>0</v>
      </c>
      <c r="L1286" s="3">
        <f>IF([1]Result_notebook_retravaill!I1286&gt;[1]Result_notebook_retravaill!G1286,0,IF([1]Result_notebook_retravaill!I1286+[1]Result_notebook_retravaill!J1286&gt;[1]Result_notebook_retravaill!G1286,0,[1]Result_notebook_retravaill!M1286))</f>
        <v>285665.54720905458</v>
      </c>
    </row>
    <row r="1287" spans="1:12">
      <c r="A1287">
        <f>[1]Result_notebook_retravaill!A1287</f>
        <v>2039</v>
      </c>
      <c r="B1287" t="str">
        <f>[1]Result_notebook_retravaill!B1287</f>
        <v>Copper</v>
      </c>
      <c r="C1287" t="str">
        <f>[1]Result_notebook_retravaill!C1287</f>
        <v>Global Net-zero</v>
      </c>
      <c r="D1287" t="str">
        <f>[1]Result_notebook_retravaill!D1287</f>
        <v>Existing production</v>
      </c>
      <c r="E1287" t="str">
        <f>[1]Result_notebook_retravaill!E1287</f>
        <v>Current shares</v>
      </c>
      <c r="F1287" t="str">
        <f>[1]Result_notebook_retravaill!F1287</f>
        <v>NIMBY</v>
      </c>
      <c r="G1287">
        <f>[1]Result_notebook_retravaill!G1287</f>
        <v>1479276.035916927</v>
      </c>
      <c r="H1287" s="3">
        <f>IF([1]Result_notebook_retravaill!I1287&gt;[1]Result_notebook_retravaill!G1287,[1]Result_notebook_retravaill!I1287/[1]Result_notebook_retravaill!N1287,[1]Result_notebook_retravaill!H1287)</f>
        <v>0</v>
      </c>
      <c r="I1287" s="3">
        <f>[1]Result_notebook_retravaill!K1287</f>
        <v>1782260.2842372621</v>
      </c>
      <c r="J1287" s="3">
        <f>MIN(G1287,[1]Result_notebook_retravaill!I1287)</f>
        <v>0</v>
      </c>
      <c r="K1287" s="3">
        <f>IF([1]Result_notebook_retravaill!I1287&gt;[1]Result_notebook_retravaill!G1287,0,IF([1]Result_notebook_retravaill!I1287+[1]Result_notebook_retravaill!J1287&gt;[1]Result_notebook_retravaill!G1287,[1]Result_notebook_retravaill!G1287-[1]Result_notebook_retravaill!I1287,[1]Result_notebook_retravaill!J1287))</f>
        <v>0</v>
      </c>
      <c r="L1287" s="3">
        <f>IF([1]Result_notebook_retravaill!I1287&gt;[1]Result_notebook_retravaill!G1287,0,IF([1]Result_notebook_retravaill!I1287+[1]Result_notebook_retravaill!J1287&gt;[1]Result_notebook_retravaill!G1287,0,[1]Result_notebook_retravaill!M1287))</f>
        <v>1479276.035916927</v>
      </c>
    </row>
    <row r="1288" spans="1:12">
      <c r="A1288">
        <f>[1]Result_notebook_retravaill!A1288</f>
        <v>2039</v>
      </c>
      <c r="B1288" t="str">
        <f>[1]Result_notebook_retravaill!B1288</f>
        <v>Copper</v>
      </c>
      <c r="C1288" t="str">
        <f>[1]Result_notebook_retravaill!C1288</f>
        <v>Global Net-zero</v>
      </c>
      <c r="D1288" t="str">
        <f>[1]Result_notebook_retravaill!D1288</f>
        <v>Existing production</v>
      </c>
      <c r="E1288" t="str">
        <f>[1]Result_notebook_retravaill!E1288</f>
        <v>Current shares</v>
      </c>
      <c r="F1288" t="str">
        <f>[1]Result_notebook_retravaill!F1288</f>
        <v>Status Quo</v>
      </c>
      <c r="G1288">
        <f>[1]Result_notebook_retravaill!G1288</f>
        <v>1479276.035916927</v>
      </c>
      <c r="H1288" s="3">
        <f>IF([1]Result_notebook_retravaill!I1288&gt;[1]Result_notebook_retravaill!G1288,[1]Result_notebook_retravaill!I1288/[1]Result_notebook_retravaill!N1288,[1]Result_notebook_retravaill!H1288)</f>
        <v>174130</v>
      </c>
      <c r="I1288" s="3">
        <f>[1]Result_notebook_retravaill!K1288</f>
        <v>1608130.2842372621</v>
      </c>
      <c r="J1288" s="3">
        <f>MIN(G1288,[1]Result_notebook_retravaill!I1288)</f>
        <v>91524.240751278106</v>
      </c>
      <c r="K1288" s="3">
        <f>IF([1]Result_notebook_retravaill!I1288&gt;[1]Result_notebook_retravaill!G1288,0,IF([1]Result_notebook_retravaill!I1288+[1]Result_notebook_retravaill!J1288&gt;[1]Result_notebook_retravaill!G1288,[1]Result_notebook_retravaill!G1288-[1]Result_notebook_retravaill!I1288,[1]Result_notebook_retravaill!J1288))</f>
        <v>53830.038909738752</v>
      </c>
      <c r="L1288" s="3">
        <f>IF([1]Result_notebook_retravaill!I1288&gt;[1]Result_notebook_retravaill!G1288,0,IF([1]Result_notebook_retravaill!I1288+[1]Result_notebook_retravaill!J1288&gt;[1]Result_notebook_retravaill!G1288,0,[1]Result_notebook_retravaill!M1288))</f>
        <v>1333921.7562559103</v>
      </c>
    </row>
    <row r="1289" spans="1:12">
      <c r="A1289">
        <f>[1]Result_notebook_retravaill!A1289</f>
        <v>2039</v>
      </c>
      <c r="B1289" t="str">
        <f>[1]Result_notebook_retravaill!B1289</f>
        <v>Copper</v>
      </c>
      <c r="C1289" t="str">
        <f>[1]Result_notebook_retravaill!C1289</f>
        <v>Global Net-zero</v>
      </c>
      <c r="D1289" t="str">
        <f>[1]Result_notebook_retravaill!D1289</f>
        <v>Production potential</v>
      </c>
      <c r="E1289" t="str">
        <f>[1]Result_notebook_retravaill!E1289</f>
        <v>Current shares</v>
      </c>
      <c r="F1289" t="str">
        <f>[1]Result_notebook_retravaill!F1289</f>
        <v>Expansion Extractive</v>
      </c>
      <c r="G1289">
        <f>[1]Result_notebook_retravaill!G1289</f>
        <v>1479276.035916927</v>
      </c>
      <c r="H1289" s="3">
        <f>IF([1]Result_notebook_retravaill!I1289&gt;[1]Result_notebook_retravaill!G1289,[1]Result_notebook_retravaill!I1289/[1]Result_notebook_retravaill!N1289,[1]Result_notebook_retravaill!H1289)</f>
        <v>1075205.601428098</v>
      </c>
      <c r="I1289" s="3">
        <f>[1]Result_notebook_retravaill!K1289</f>
        <v>707054.68280916382</v>
      </c>
      <c r="J1289" s="3">
        <f>MIN(G1289,[1]Result_notebook_retravaill!I1289)</f>
        <v>565137.40494014812</v>
      </c>
      <c r="K1289" s="3">
        <f>IF([1]Result_notebook_retravaill!I1289&gt;[1]Result_notebook_retravaill!G1289,0,IF([1]Result_notebook_retravaill!I1289+[1]Result_notebook_retravaill!J1289&gt;[1]Result_notebook_retravaill!G1289,[1]Result_notebook_retravaill!G1289-[1]Result_notebook_retravaill!I1289,[1]Result_notebook_retravaill!J1289))</f>
        <v>332385.91489601799</v>
      </c>
      <c r="L1289" s="3">
        <f>IF([1]Result_notebook_retravaill!I1289&gt;[1]Result_notebook_retravaill!G1289,0,IF([1]Result_notebook_retravaill!I1289+[1]Result_notebook_retravaill!J1289&gt;[1]Result_notebook_retravaill!G1289,0,[1]Result_notebook_retravaill!M1289))</f>
        <v>581752.71608076093</v>
      </c>
    </row>
    <row r="1290" spans="1:12">
      <c r="A1290">
        <f>[1]Result_notebook_retravaill!A1290</f>
        <v>2039</v>
      </c>
      <c r="B1290" t="str">
        <f>[1]Result_notebook_retravaill!B1290</f>
        <v>Copper</v>
      </c>
      <c r="C1290" t="str">
        <f>[1]Result_notebook_retravaill!C1290</f>
        <v>Global Net-zero</v>
      </c>
      <c r="D1290" t="str">
        <f>[1]Result_notebook_retravaill!D1290</f>
        <v>Production potential</v>
      </c>
      <c r="E1290" t="str">
        <f>[1]Result_notebook_retravaill!E1290</f>
        <v>Current shares</v>
      </c>
      <c r="F1290" t="str">
        <f>[1]Result_notebook_retravaill!F1290</f>
        <v>Expansion Extractive+Circularity</v>
      </c>
      <c r="G1290">
        <f>[1]Result_notebook_retravaill!G1290</f>
        <v>1479276.035916927</v>
      </c>
      <c r="H1290" s="3">
        <f>IF([1]Result_notebook_retravaill!I1290&gt;[1]Result_notebook_retravaill!G1290,[1]Result_notebook_retravaill!I1290/[1]Result_notebook_retravaill!N1290,[1]Result_notebook_retravaill!H1290)</f>
        <v>1075205.601428098</v>
      </c>
      <c r="I1290" s="3">
        <f>[1]Result_notebook_retravaill!K1290</f>
        <v>707054.68280916382</v>
      </c>
      <c r="J1290" s="3">
        <f>MIN(G1290,[1]Result_notebook_retravaill!I1290)</f>
        <v>565137.40494014812</v>
      </c>
      <c r="K1290" s="3">
        <f>IF([1]Result_notebook_retravaill!I1290&gt;[1]Result_notebook_retravaill!G1290,0,IF([1]Result_notebook_retravaill!I1290+[1]Result_notebook_retravaill!J1290&gt;[1]Result_notebook_retravaill!G1290,[1]Result_notebook_retravaill!G1290-[1]Result_notebook_retravaill!I1290,[1]Result_notebook_retravaill!J1290))</f>
        <v>332385.91489601799</v>
      </c>
      <c r="L1290" s="3">
        <f>IF([1]Result_notebook_retravaill!I1290&gt;[1]Result_notebook_retravaill!G1290,0,IF([1]Result_notebook_retravaill!I1290+[1]Result_notebook_retravaill!J1290&gt;[1]Result_notebook_retravaill!G1290,0,[1]Result_notebook_retravaill!M1290))</f>
        <v>581752.71608076093</v>
      </c>
    </row>
    <row r="1291" spans="1:12">
      <c r="A1291">
        <f>[1]Result_notebook_retravaill!A1291</f>
        <v>2039</v>
      </c>
      <c r="B1291" t="str">
        <f>[1]Result_notebook_retravaill!B1291</f>
        <v>Copper</v>
      </c>
      <c r="C1291" t="str">
        <f>[1]Result_notebook_retravaill!C1291</f>
        <v>Global Net-zero</v>
      </c>
      <c r="D1291" t="str">
        <f>[1]Result_notebook_retravaill!D1291</f>
        <v>Production potential</v>
      </c>
      <c r="E1291" t="str">
        <f>[1]Result_notebook_retravaill!E1291</f>
        <v>100% CAN</v>
      </c>
      <c r="F1291" t="str">
        <f>[1]Result_notebook_retravaill!F1291</f>
        <v>Integrated</v>
      </c>
      <c r="G1291">
        <f>[1]Result_notebook_retravaill!G1291</f>
        <v>1479276.035916927</v>
      </c>
      <c r="H1291" s="3">
        <f>IF([1]Result_notebook_retravaill!I1291&gt;[1]Result_notebook_retravaill!G1291,[1]Result_notebook_retravaill!I1291/[1]Result_notebook_retravaill!N1291,[1]Result_notebook_retravaill!H1291)</f>
        <v>1075205.601428098</v>
      </c>
      <c r="I1291" s="3">
        <f>[1]Result_notebook_retravaill!K1291</f>
        <v>707054.68280916382</v>
      </c>
      <c r="J1291" s="3">
        <f>MIN(G1291,[1]Result_notebook_retravaill!I1291)</f>
        <v>897523.31983616634</v>
      </c>
      <c r="K1291" s="3">
        <f>IF([1]Result_notebook_retravaill!I1291&gt;[1]Result_notebook_retravaill!G1291,0,IF([1]Result_notebook_retravaill!I1291+[1]Result_notebook_retravaill!J1291&gt;[1]Result_notebook_retravaill!G1291,[1]Result_notebook_retravaill!G1291-[1]Result_notebook_retravaill!I1291,[1]Result_notebook_retravaill!J1291))</f>
        <v>0</v>
      </c>
      <c r="L1291" s="3">
        <f>IF([1]Result_notebook_retravaill!I1291&gt;[1]Result_notebook_retravaill!G1291,0,IF([1]Result_notebook_retravaill!I1291+[1]Result_notebook_retravaill!J1291&gt;[1]Result_notebook_retravaill!G1291,0,[1]Result_notebook_retravaill!M1291))</f>
        <v>581752.7160807607</v>
      </c>
    </row>
    <row r="1292" spans="1:12">
      <c r="A1292">
        <f>[1]Result_notebook_retravaill!A1292</f>
        <v>2039</v>
      </c>
      <c r="B1292" t="str">
        <f>[1]Result_notebook_retravaill!B1292</f>
        <v>Neodymium</v>
      </c>
      <c r="C1292" t="str">
        <f>[1]Result_notebook_retravaill!C1292</f>
        <v>Canada Net-zero</v>
      </c>
      <c r="D1292" t="str">
        <f>[1]Result_notebook_retravaill!D1292</f>
        <v>Existing production</v>
      </c>
      <c r="E1292" t="str">
        <f>[1]Result_notebook_retravaill!E1292</f>
        <v>Current shares</v>
      </c>
      <c r="F1292" t="str">
        <f>[1]Result_notebook_retravaill!F1292</f>
        <v>NIMBY</v>
      </c>
      <c r="G1292">
        <f>[1]Result_notebook_retravaill!G1292</f>
        <v>6923.3275332631974</v>
      </c>
      <c r="H1292" s="3">
        <f>IF([1]Result_notebook_retravaill!I1292&gt;[1]Result_notebook_retravaill!G1292,[1]Result_notebook_retravaill!I1292/[1]Result_notebook_retravaill!N1292,[1]Result_notebook_retravaill!H1292)</f>
        <v>0</v>
      </c>
      <c r="I1292" s="3">
        <f>[1]Result_notebook_retravaill!K1292</f>
        <v>11538.87922210533</v>
      </c>
      <c r="J1292" s="3">
        <f>MIN(G1292,[1]Result_notebook_retravaill!I1292)</f>
        <v>0</v>
      </c>
      <c r="K1292" s="3">
        <f>IF([1]Result_notebook_retravaill!I1292&gt;[1]Result_notebook_retravaill!G1292,0,IF([1]Result_notebook_retravaill!I1292+[1]Result_notebook_retravaill!J1292&gt;[1]Result_notebook_retravaill!G1292,[1]Result_notebook_retravaill!G1292-[1]Result_notebook_retravaill!I1292,[1]Result_notebook_retravaill!J1292))</f>
        <v>0</v>
      </c>
      <c r="L1292" s="3">
        <f>IF([1]Result_notebook_retravaill!I1292&gt;[1]Result_notebook_retravaill!G1292,0,IF([1]Result_notebook_retravaill!I1292+[1]Result_notebook_retravaill!J1292&gt;[1]Result_notebook_retravaill!G1292,0,[1]Result_notebook_retravaill!M1292))</f>
        <v>6923.3275332631974</v>
      </c>
    </row>
    <row r="1293" spans="1:12">
      <c r="A1293">
        <f>[1]Result_notebook_retravaill!A1293</f>
        <v>2039</v>
      </c>
      <c r="B1293" t="str">
        <f>[1]Result_notebook_retravaill!B1293</f>
        <v>Neodymium</v>
      </c>
      <c r="C1293" t="str">
        <f>[1]Result_notebook_retravaill!C1293</f>
        <v>Canada Net-zero</v>
      </c>
      <c r="D1293" t="str">
        <f>[1]Result_notebook_retravaill!D1293</f>
        <v>Existing production</v>
      </c>
      <c r="E1293" t="str">
        <f>[1]Result_notebook_retravaill!E1293</f>
        <v>Current shares</v>
      </c>
      <c r="F1293" t="str">
        <f>[1]Result_notebook_retravaill!F1293</f>
        <v>Status Quo</v>
      </c>
      <c r="G1293">
        <f>[1]Result_notebook_retravaill!G1293</f>
        <v>6923.3275332631974</v>
      </c>
      <c r="H1293" s="3">
        <f>IF([1]Result_notebook_retravaill!I1293&gt;[1]Result_notebook_retravaill!G1293,[1]Result_notebook_retravaill!I1293/[1]Result_notebook_retravaill!N1293,[1]Result_notebook_retravaill!H1293)</f>
        <v>0</v>
      </c>
      <c r="I1293" s="3">
        <f>[1]Result_notebook_retravaill!K1293</f>
        <v>11538.87922210533</v>
      </c>
      <c r="J1293" s="3">
        <f>MIN(G1293,[1]Result_notebook_retravaill!I1293)</f>
        <v>0</v>
      </c>
      <c r="K1293" s="3">
        <f>IF([1]Result_notebook_retravaill!I1293&gt;[1]Result_notebook_retravaill!G1293,0,IF([1]Result_notebook_retravaill!I1293+[1]Result_notebook_retravaill!J1293&gt;[1]Result_notebook_retravaill!G1293,[1]Result_notebook_retravaill!G1293-[1]Result_notebook_retravaill!I1293,[1]Result_notebook_retravaill!J1293))</f>
        <v>0</v>
      </c>
      <c r="L1293" s="3">
        <f>IF([1]Result_notebook_retravaill!I1293&gt;[1]Result_notebook_retravaill!G1293,0,IF([1]Result_notebook_retravaill!I1293+[1]Result_notebook_retravaill!J1293&gt;[1]Result_notebook_retravaill!G1293,0,[1]Result_notebook_retravaill!M1293))</f>
        <v>6923.3275332631974</v>
      </c>
    </row>
    <row r="1294" spans="1:12">
      <c r="A1294">
        <f>[1]Result_notebook_retravaill!A1294</f>
        <v>2039</v>
      </c>
      <c r="B1294" t="str">
        <f>[1]Result_notebook_retravaill!B1294</f>
        <v>Neodymium</v>
      </c>
      <c r="C1294" t="str">
        <f>[1]Result_notebook_retravaill!C1294</f>
        <v>Canada Net-zero</v>
      </c>
      <c r="D1294" t="str">
        <f>[1]Result_notebook_retravaill!D1294</f>
        <v>Production potential</v>
      </c>
      <c r="E1294" t="str">
        <f>[1]Result_notebook_retravaill!E1294</f>
        <v>Current shares</v>
      </c>
      <c r="F1294" t="str">
        <f>[1]Result_notebook_retravaill!F1294</f>
        <v>Expansion Extractive</v>
      </c>
      <c r="G1294">
        <f>[1]Result_notebook_retravaill!G1294</f>
        <v>6923.3275332631974</v>
      </c>
      <c r="H1294" s="3">
        <f>IF([1]Result_notebook_retravaill!I1294&gt;[1]Result_notebook_retravaill!G1294,[1]Result_notebook_retravaill!I1294/[1]Result_notebook_retravaill!N1294,[1]Result_notebook_retravaill!H1294)</f>
        <v>308.22170458690948</v>
      </c>
      <c r="I1294" s="3">
        <f>[1]Result_notebook_retravaill!K1294</f>
        <v>11230.657517518421</v>
      </c>
      <c r="J1294" s="3">
        <f>MIN(G1294,[1]Result_notebook_retravaill!I1294)</f>
        <v>184.48422544010839</v>
      </c>
      <c r="K1294" s="3">
        <f>IF([1]Result_notebook_retravaill!I1294&gt;[1]Result_notebook_retravaill!G1294,0,IF([1]Result_notebook_retravaill!I1294+[1]Result_notebook_retravaill!J1294&gt;[1]Result_notebook_retravaill!G1294,[1]Result_notebook_retravaill!G1294-[1]Result_notebook_retravaill!I1294,[1]Result_notebook_retravaill!J1294))</f>
        <v>123.73747914680109</v>
      </c>
      <c r="L1294" s="3">
        <f>IF([1]Result_notebook_retravaill!I1294&gt;[1]Result_notebook_retravaill!G1294,0,IF([1]Result_notebook_retravaill!I1294+[1]Result_notebook_retravaill!J1294&gt;[1]Result_notebook_retravaill!G1294,0,[1]Result_notebook_retravaill!M1294))</f>
        <v>6615.1058286762882</v>
      </c>
    </row>
    <row r="1295" spans="1:12">
      <c r="A1295">
        <f>[1]Result_notebook_retravaill!A1295</f>
        <v>2039</v>
      </c>
      <c r="B1295" t="str">
        <f>[1]Result_notebook_retravaill!B1295</f>
        <v>Neodymium</v>
      </c>
      <c r="C1295" t="str">
        <f>[1]Result_notebook_retravaill!C1295</f>
        <v>Canada Net-zero</v>
      </c>
      <c r="D1295" t="str">
        <f>[1]Result_notebook_retravaill!D1295</f>
        <v>Production potential</v>
      </c>
      <c r="E1295" t="str">
        <f>[1]Result_notebook_retravaill!E1295</f>
        <v>Current shares</v>
      </c>
      <c r="F1295" t="str">
        <f>[1]Result_notebook_retravaill!F1295</f>
        <v>Expansion Extractive+Circularity</v>
      </c>
      <c r="G1295">
        <f>[1]Result_notebook_retravaill!G1295</f>
        <v>6923.3275332631974</v>
      </c>
      <c r="H1295" s="3">
        <f>IF([1]Result_notebook_retravaill!I1295&gt;[1]Result_notebook_retravaill!G1295,[1]Result_notebook_retravaill!I1295/[1]Result_notebook_retravaill!N1295,[1]Result_notebook_retravaill!H1295)</f>
        <v>308.22170458690948</v>
      </c>
      <c r="I1295" s="3">
        <f>[1]Result_notebook_retravaill!K1295</f>
        <v>11230.657517518421</v>
      </c>
      <c r="J1295" s="3">
        <f>MIN(G1295,[1]Result_notebook_retravaill!I1295)</f>
        <v>184.48422544010839</v>
      </c>
      <c r="K1295" s="3">
        <f>IF([1]Result_notebook_retravaill!I1295&gt;[1]Result_notebook_retravaill!G1295,0,IF([1]Result_notebook_retravaill!I1295+[1]Result_notebook_retravaill!J1295&gt;[1]Result_notebook_retravaill!G1295,[1]Result_notebook_retravaill!G1295-[1]Result_notebook_retravaill!I1295,[1]Result_notebook_retravaill!J1295))</f>
        <v>123.73747914680109</v>
      </c>
      <c r="L1295" s="3">
        <f>IF([1]Result_notebook_retravaill!I1295&gt;[1]Result_notebook_retravaill!G1295,0,IF([1]Result_notebook_retravaill!I1295+[1]Result_notebook_retravaill!J1295&gt;[1]Result_notebook_retravaill!G1295,0,[1]Result_notebook_retravaill!M1295))</f>
        <v>6615.1058286762882</v>
      </c>
    </row>
    <row r="1296" spans="1:12">
      <c r="A1296">
        <f>[1]Result_notebook_retravaill!A1296</f>
        <v>2039</v>
      </c>
      <c r="B1296" t="str">
        <f>[1]Result_notebook_retravaill!B1296</f>
        <v>Neodymium</v>
      </c>
      <c r="C1296" t="str">
        <f>[1]Result_notebook_retravaill!C1296</f>
        <v>Canada Net-zero</v>
      </c>
      <c r="D1296" t="str">
        <f>[1]Result_notebook_retravaill!D1296</f>
        <v>Production potential</v>
      </c>
      <c r="E1296" t="str">
        <f>[1]Result_notebook_retravaill!E1296</f>
        <v>100% CAN</v>
      </c>
      <c r="F1296" t="str">
        <f>[1]Result_notebook_retravaill!F1296</f>
        <v>Integrated</v>
      </c>
      <c r="G1296">
        <f>[1]Result_notebook_retravaill!G1296</f>
        <v>6923.3275332631974</v>
      </c>
      <c r="H1296" s="3">
        <f>IF([1]Result_notebook_retravaill!I1296&gt;[1]Result_notebook_retravaill!G1296,[1]Result_notebook_retravaill!I1296/[1]Result_notebook_retravaill!N1296,[1]Result_notebook_retravaill!H1296)</f>
        <v>308.22170458690948</v>
      </c>
      <c r="I1296" s="3">
        <f>[1]Result_notebook_retravaill!K1296</f>
        <v>11230.657517518421</v>
      </c>
      <c r="J1296" s="3">
        <f>MIN(G1296,[1]Result_notebook_retravaill!I1296)</f>
        <v>184.48422544010839</v>
      </c>
      <c r="K1296" s="3">
        <f>IF([1]Result_notebook_retravaill!I1296&gt;[1]Result_notebook_retravaill!G1296,0,IF([1]Result_notebook_retravaill!I1296+[1]Result_notebook_retravaill!J1296&gt;[1]Result_notebook_retravaill!G1296,[1]Result_notebook_retravaill!G1296-[1]Result_notebook_retravaill!I1296,[1]Result_notebook_retravaill!J1296))</f>
        <v>123.73747914680109</v>
      </c>
      <c r="L1296" s="3">
        <f>IF([1]Result_notebook_retravaill!I1296&gt;[1]Result_notebook_retravaill!G1296,0,IF([1]Result_notebook_retravaill!I1296+[1]Result_notebook_retravaill!J1296&gt;[1]Result_notebook_retravaill!G1296,0,[1]Result_notebook_retravaill!M1296))</f>
        <v>6615.1058286762882</v>
      </c>
    </row>
    <row r="1297" spans="1:12">
      <c r="A1297">
        <f>[1]Result_notebook_retravaill!A1297</f>
        <v>2039</v>
      </c>
      <c r="B1297" t="str">
        <f>[1]Result_notebook_retravaill!B1297</f>
        <v>Neodymium</v>
      </c>
      <c r="C1297" t="str">
        <f>[1]Result_notebook_retravaill!C1297</f>
        <v>Current Measures</v>
      </c>
      <c r="D1297" t="str">
        <f>[1]Result_notebook_retravaill!D1297</f>
        <v>Existing production</v>
      </c>
      <c r="E1297" t="str">
        <f>[1]Result_notebook_retravaill!E1297</f>
        <v>Current shares</v>
      </c>
      <c r="F1297" t="str">
        <f>[1]Result_notebook_retravaill!F1297</f>
        <v>NIMBY</v>
      </c>
      <c r="G1297">
        <f>[1]Result_notebook_retravaill!G1297</f>
        <v>2272.804134899478</v>
      </c>
      <c r="H1297" s="3">
        <f>IF([1]Result_notebook_retravaill!I1297&gt;[1]Result_notebook_retravaill!G1297,[1]Result_notebook_retravaill!I1297/[1]Result_notebook_retravaill!N1297,[1]Result_notebook_retravaill!H1297)</f>
        <v>0</v>
      </c>
      <c r="I1297" s="3">
        <f>[1]Result_notebook_retravaill!K1297</f>
        <v>3788.0068914991298</v>
      </c>
      <c r="J1297" s="3">
        <f>MIN(G1297,[1]Result_notebook_retravaill!I1297)</f>
        <v>0</v>
      </c>
      <c r="K1297" s="3">
        <f>IF([1]Result_notebook_retravaill!I1297&gt;[1]Result_notebook_retravaill!G1297,0,IF([1]Result_notebook_retravaill!I1297+[1]Result_notebook_retravaill!J1297&gt;[1]Result_notebook_retravaill!G1297,[1]Result_notebook_retravaill!G1297-[1]Result_notebook_retravaill!I1297,[1]Result_notebook_retravaill!J1297))</f>
        <v>0</v>
      </c>
      <c r="L1297" s="3">
        <f>IF([1]Result_notebook_retravaill!I1297&gt;[1]Result_notebook_retravaill!G1297,0,IF([1]Result_notebook_retravaill!I1297+[1]Result_notebook_retravaill!J1297&gt;[1]Result_notebook_retravaill!G1297,0,[1]Result_notebook_retravaill!M1297))</f>
        <v>2272.804134899478</v>
      </c>
    </row>
    <row r="1298" spans="1:12">
      <c r="A1298">
        <f>[1]Result_notebook_retravaill!A1298</f>
        <v>2039</v>
      </c>
      <c r="B1298" t="str">
        <f>[1]Result_notebook_retravaill!B1298</f>
        <v>Neodymium</v>
      </c>
      <c r="C1298" t="str">
        <f>[1]Result_notebook_retravaill!C1298</f>
        <v>Current Measures</v>
      </c>
      <c r="D1298" t="str">
        <f>[1]Result_notebook_retravaill!D1298</f>
        <v>Existing production</v>
      </c>
      <c r="E1298" t="str">
        <f>[1]Result_notebook_retravaill!E1298</f>
        <v>Current shares</v>
      </c>
      <c r="F1298" t="str">
        <f>[1]Result_notebook_retravaill!F1298</f>
        <v>Status Quo</v>
      </c>
      <c r="G1298">
        <f>[1]Result_notebook_retravaill!G1298</f>
        <v>2272.804134899478</v>
      </c>
      <c r="H1298" s="3">
        <f>IF([1]Result_notebook_retravaill!I1298&gt;[1]Result_notebook_retravaill!G1298,[1]Result_notebook_retravaill!I1298/[1]Result_notebook_retravaill!N1298,[1]Result_notebook_retravaill!H1298)</f>
        <v>0</v>
      </c>
      <c r="I1298" s="3">
        <f>[1]Result_notebook_retravaill!K1298</f>
        <v>3788.0068914991298</v>
      </c>
      <c r="J1298" s="3">
        <f>MIN(G1298,[1]Result_notebook_retravaill!I1298)</f>
        <v>0</v>
      </c>
      <c r="K1298" s="3">
        <f>IF([1]Result_notebook_retravaill!I1298&gt;[1]Result_notebook_retravaill!G1298,0,IF([1]Result_notebook_retravaill!I1298+[1]Result_notebook_retravaill!J1298&gt;[1]Result_notebook_retravaill!G1298,[1]Result_notebook_retravaill!G1298-[1]Result_notebook_retravaill!I1298,[1]Result_notebook_retravaill!J1298))</f>
        <v>0</v>
      </c>
      <c r="L1298" s="3">
        <f>IF([1]Result_notebook_retravaill!I1298&gt;[1]Result_notebook_retravaill!G1298,0,IF([1]Result_notebook_retravaill!I1298+[1]Result_notebook_retravaill!J1298&gt;[1]Result_notebook_retravaill!G1298,0,[1]Result_notebook_retravaill!M1298))</f>
        <v>2272.804134899478</v>
      </c>
    </row>
    <row r="1299" spans="1:12">
      <c r="A1299">
        <f>[1]Result_notebook_retravaill!A1299</f>
        <v>2039</v>
      </c>
      <c r="B1299" t="str">
        <f>[1]Result_notebook_retravaill!B1299</f>
        <v>Neodymium</v>
      </c>
      <c r="C1299" t="str">
        <f>[1]Result_notebook_retravaill!C1299</f>
        <v>Current Measures</v>
      </c>
      <c r="D1299" t="str">
        <f>[1]Result_notebook_retravaill!D1299</f>
        <v>Production potential</v>
      </c>
      <c r="E1299" t="str">
        <f>[1]Result_notebook_retravaill!E1299</f>
        <v>Current shares</v>
      </c>
      <c r="F1299" t="str">
        <f>[1]Result_notebook_retravaill!F1299</f>
        <v>Expansion Extractive</v>
      </c>
      <c r="G1299">
        <f>[1]Result_notebook_retravaill!G1299</f>
        <v>2272.804134899478</v>
      </c>
      <c r="H1299" s="3">
        <f>IF([1]Result_notebook_retravaill!I1299&gt;[1]Result_notebook_retravaill!G1299,[1]Result_notebook_retravaill!I1299/[1]Result_notebook_retravaill!N1299,[1]Result_notebook_retravaill!H1299)</f>
        <v>308.22170458690948</v>
      </c>
      <c r="I1299" s="3">
        <f>[1]Result_notebook_retravaill!K1299</f>
        <v>3479.785186912221</v>
      </c>
      <c r="J1299" s="3">
        <f>MIN(G1299,[1]Result_notebook_retravaill!I1299)</f>
        <v>184.48422544010839</v>
      </c>
      <c r="K1299" s="3">
        <f>IF([1]Result_notebook_retravaill!I1299&gt;[1]Result_notebook_retravaill!G1299,0,IF([1]Result_notebook_retravaill!I1299+[1]Result_notebook_retravaill!J1299&gt;[1]Result_notebook_retravaill!G1299,[1]Result_notebook_retravaill!G1299-[1]Result_notebook_retravaill!I1299,[1]Result_notebook_retravaill!J1299))</f>
        <v>123.73747914680109</v>
      </c>
      <c r="L1299" s="3">
        <f>IF([1]Result_notebook_retravaill!I1299&gt;[1]Result_notebook_retravaill!G1299,0,IF([1]Result_notebook_retravaill!I1299+[1]Result_notebook_retravaill!J1299&gt;[1]Result_notebook_retravaill!G1299,0,[1]Result_notebook_retravaill!M1299))</f>
        <v>1964.5824303125692</v>
      </c>
    </row>
    <row r="1300" spans="1:12">
      <c r="A1300">
        <f>[1]Result_notebook_retravaill!A1300</f>
        <v>2039</v>
      </c>
      <c r="B1300" t="str">
        <f>[1]Result_notebook_retravaill!B1300</f>
        <v>Neodymium</v>
      </c>
      <c r="C1300" t="str">
        <f>[1]Result_notebook_retravaill!C1300</f>
        <v>Current Measures</v>
      </c>
      <c r="D1300" t="str">
        <f>[1]Result_notebook_retravaill!D1300</f>
        <v>Production potential</v>
      </c>
      <c r="E1300" t="str">
        <f>[1]Result_notebook_retravaill!E1300</f>
        <v>Current shares</v>
      </c>
      <c r="F1300" t="str">
        <f>[1]Result_notebook_retravaill!F1300</f>
        <v>Expansion Extractive+Circularity</v>
      </c>
      <c r="G1300">
        <f>[1]Result_notebook_retravaill!G1300</f>
        <v>2272.804134899478</v>
      </c>
      <c r="H1300" s="3">
        <f>IF([1]Result_notebook_retravaill!I1300&gt;[1]Result_notebook_retravaill!G1300,[1]Result_notebook_retravaill!I1300/[1]Result_notebook_retravaill!N1300,[1]Result_notebook_retravaill!H1300)</f>
        <v>308.22170458690948</v>
      </c>
      <c r="I1300" s="3">
        <f>[1]Result_notebook_retravaill!K1300</f>
        <v>3479.785186912221</v>
      </c>
      <c r="J1300" s="3">
        <f>MIN(G1300,[1]Result_notebook_retravaill!I1300)</f>
        <v>184.48422544010839</v>
      </c>
      <c r="K1300" s="3">
        <f>IF([1]Result_notebook_retravaill!I1300&gt;[1]Result_notebook_retravaill!G1300,0,IF([1]Result_notebook_retravaill!I1300+[1]Result_notebook_retravaill!J1300&gt;[1]Result_notebook_retravaill!G1300,[1]Result_notebook_retravaill!G1300-[1]Result_notebook_retravaill!I1300,[1]Result_notebook_retravaill!J1300))</f>
        <v>123.73747914680109</v>
      </c>
      <c r="L1300" s="3">
        <f>IF([1]Result_notebook_retravaill!I1300&gt;[1]Result_notebook_retravaill!G1300,0,IF([1]Result_notebook_retravaill!I1300+[1]Result_notebook_retravaill!J1300&gt;[1]Result_notebook_retravaill!G1300,0,[1]Result_notebook_retravaill!M1300))</f>
        <v>1964.5824303125692</v>
      </c>
    </row>
    <row r="1301" spans="1:12">
      <c r="A1301">
        <f>[1]Result_notebook_retravaill!A1301</f>
        <v>2039</v>
      </c>
      <c r="B1301" t="str">
        <f>[1]Result_notebook_retravaill!B1301</f>
        <v>Neodymium</v>
      </c>
      <c r="C1301" t="str">
        <f>[1]Result_notebook_retravaill!C1301</f>
        <v>Current Measures</v>
      </c>
      <c r="D1301" t="str">
        <f>[1]Result_notebook_retravaill!D1301</f>
        <v>Production potential</v>
      </c>
      <c r="E1301" t="str">
        <f>[1]Result_notebook_retravaill!E1301</f>
        <v>100% CAN</v>
      </c>
      <c r="F1301" t="str">
        <f>[1]Result_notebook_retravaill!F1301</f>
        <v>Integrated</v>
      </c>
      <c r="G1301">
        <f>[1]Result_notebook_retravaill!G1301</f>
        <v>2272.804134899478</v>
      </c>
      <c r="H1301" s="3">
        <f>IF([1]Result_notebook_retravaill!I1301&gt;[1]Result_notebook_retravaill!G1301,[1]Result_notebook_retravaill!I1301/[1]Result_notebook_retravaill!N1301,[1]Result_notebook_retravaill!H1301)</f>
        <v>308.22170458690948</v>
      </c>
      <c r="I1301" s="3">
        <f>[1]Result_notebook_retravaill!K1301</f>
        <v>3479.785186912221</v>
      </c>
      <c r="J1301" s="3">
        <f>MIN(G1301,[1]Result_notebook_retravaill!I1301)</f>
        <v>184.48422544010839</v>
      </c>
      <c r="K1301" s="3">
        <f>IF([1]Result_notebook_retravaill!I1301&gt;[1]Result_notebook_retravaill!G1301,0,IF([1]Result_notebook_retravaill!I1301+[1]Result_notebook_retravaill!J1301&gt;[1]Result_notebook_retravaill!G1301,[1]Result_notebook_retravaill!G1301-[1]Result_notebook_retravaill!I1301,[1]Result_notebook_retravaill!J1301))</f>
        <v>123.73747914680109</v>
      </c>
      <c r="L1301" s="3">
        <f>IF([1]Result_notebook_retravaill!I1301&gt;[1]Result_notebook_retravaill!G1301,0,IF([1]Result_notebook_retravaill!I1301+[1]Result_notebook_retravaill!J1301&gt;[1]Result_notebook_retravaill!G1301,0,[1]Result_notebook_retravaill!M1301))</f>
        <v>1964.5824303125692</v>
      </c>
    </row>
    <row r="1302" spans="1:12">
      <c r="A1302">
        <f>[1]Result_notebook_retravaill!A1302</f>
        <v>2039</v>
      </c>
      <c r="B1302" t="str">
        <f>[1]Result_notebook_retravaill!B1302</f>
        <v>Neodymium</v>
      </c>
      <c r="C1302" t="str">
        <f>[1]Result_notebook_retravaill!C1302</f>
        <v>Global Net-zero</v>
      </c>
      <c r="D1302" t="str">
        <f>[1]Result_notebook_retravaill!D1302</f>
        <v>Existing production</v>
      </c>
      <c r="E1302" t="str">
        <f>[1]Result_notebook_retravaill!E1302</f>
        <v>Current shares</v>
      </c>
      <c r="F1302" t="str">
        <f>[1]Result_notebook_retravaill!F1302</f>
        <v>NIMBY</v>
      </c>
      <c r="G1302">
        <f>[1]Result_notebook_retravaill!G1302</f>
        <v>6634.0960399936675</v>
      </c>
      <c r="H1302" s="3">
        <f>IF([1]Result_notebook_retravaill!I1302&gt;[1]Result_notebook_retravaill!G1302,[1]Result_notebook_retravaill!I1302/[1]Result_notebook_retravaill!N1302,[1]Result_notebook_retravaill!H1302)</f>
        <v>0</v>
      </c>
      <c r="I1302" s="3">
        <f>[1]Result_notebook_retravaill!K1302</f>
        <v>11056.82673332278</v>
      </c>
      <c r="J1302" s="3">
        <f>MIN(G1302,[1]Result_notebook_retravaill!I1302)</f>
        <v>0</v>
      </c>
      <c r="K1302" s="3">
        <f>IF([1]Result_notebook_retravaill!I1302&gt;[1]Result_notebook_retravaill!G1302,0,IF([1]Result_notebook_retravaill!I1302+[1]Result_notebook_retravaill!J1302&gt;[1]Result_notebook_retravaill!G1302,[1]Result_notebook_retravaill!G1302-[1]Result_notebook_retravaill!I1302,[1]Result_notebook_retravaill!J1302))</f>
        <v>0</v>
      </c>
      <c r="L1302" s="3">
        <f>IF([1]Result_notebook_retravaill!I1302&gt;[1]Result_notebook_retravaill!G1302,0,IF([1]Result_notebook_retravaill!I1302+[1]Result_notebook_retravaill!J1302&gt;[1]Result_notebook_retravaill!G1302,0,[1]Result_notebook_retravaill!M1302))</f>
        <v>6634.0960399936675</v>
      </c>
    </row>
    <row r="1303" spans="1:12">
      <c r="A1303">
        <f>[1]Result_notebook_retravaill!A1303</f>
        <v>2039</v>
      </c>
      <c r="B1303" t="str">
        <f>[1]Result_notebook_retravaill!B1303</f>
        <v>Neodymium</v>
      </c>
      <c r="C1303" t="str">
        <f>[1]Result_notebook_retravaill!C1303</f>
        <v>Global Net-zero</v>
      </c>
      <c r="D1303" t="str">
        <f>[1]Result_notebook_retravaill!D1303</f>
        <v>Existing production</v>
      </c>
      <c r="E1303" t="str">
        <f>[1]Result_notebook_retravaill!E1303</f>
        <v>Current shares</v>
      </c>
      <c r="F1303" t="str">
        <f>[1]Result_notebook_retravaill!F1303</f>
        <v>Status Quo</v>
      </c>
      <c r="G1303">
        <f>[1]Result_notebook_retravaill!G1303</f>
        <v>6634.0960399936675</v>
      </c>
      <c r="H1303" s="3">
        <f>IF([1]Result_notebook_retravaill!I1303&gt;[1]Result_notebook_retravaill!G1303,[1]Result_notebook_retravaill!I1303/[1]Result_notebook_retravaill!N1303,[1]Result_notebook_retravaill!H1303)</f>
        <v>0</v>
      </c>
      <c r="I1303" s="3">
        <f>[1]Result_notebook_retravaill!K1303</f>
        <v>11056.82673332278</v>
      </c>
      <c r="J1303" s="3">
        <f>MIN(G1303,[1]Result_notebook_retravaill!I1303)</f>
        <v>0</v>
      </c>
      <c r="K1303" s="3">
        <f>IF([1]Result_notebook_retravaill!I1303&gt;[1]Result_notebook_retravaill!G1303,0,IF([1]Result_notebook_retravaill!I1303+[1]Result_notebook_retravaill!J1303&gt;[1]Result_notebook_retravaill!G1303,[1]Result_notebook_retravaill!G1303-[1]Result_notebook_retravaill!I1303,[1]Result_notebook_retravaill!J1303))</f>
        <v>0</v>
      </c>
      <c r="L1303" s="3">
        <f>IF([1]Result_notebook_retravaill!I1303&gt;[1]Result_notebook_retravaill!G1303,0,IF([1]Result_notebook_retravaill!I1303+[1]Result_notebook_retravaill!J1303&gt;[1]Result_notebook_retravaill!G1303,0,[1]Result_notebook_retravaill!M1303))</f>
        <v>6634.0960399936675</v>
      </c>
    </row>
    <row r="1304" spans="1:12">
      <c r="A1304">
        <f>[1]Result_notebook_retravaill!A1304</f>
        <v>2039</v>
      </c>
      <c r="B1304" t="str">
        <f>[1]Result_notebook_retravaill!B1304</f>
        <v>Neodymium</v>
      </c>
      <c r="C1304" t="str">
        <f>[1]Result_notebook_retravaill!C1304</f>
        <v>Global Net-zero</v>
      </c>
      <c r="D1304" t="str">
        <f>[1]Result_notebook_retravaill!D1304</f>
        <v>Production potential</v>
      </c>
      <c r="E1304" t="str">
        <f>[1]Result_notebook_retravaill!E1304</f>
        <v>Current shares</v>
      </c>
      <c r="F1304" t="str">
        <f>[1]Result_notebook_retravaill!F1304</f>
        <v>Expansion Extractive</v>
      </c>
      <c r="G1304">
        <f>[1]Result_notebook_retravaill!G1304</f>
        <v>6634.0960399936675</v>
      </c>
      <c r="H1304" s="3">
        <f>IF([1]Result_notebook_retravaill!I1304&gt;[1]Result_notebook_retravaill!G1304,[1]Result_notebook_retravaill!I1304/[1]Result_notebook_retravaill!N1304,[1]Result_notebook_retravaill!H1304)</f>
        <v>308.22170458690948</v>
      </c>
      <c r="I1304" s="3">
        <f>[1]Result_notebook_retravaill!K1304</f>
        <v>10748.60502873587</v>
      </c>
      <c r="J1304" s="3">
        <f>MIN(G1304,[1]Result_notebook_retravaill!I1304)</f>
        <v>184.48422544010839</v>
      </c>
      <c r="K1304" s="3">
        <f>IF([1]Result_notebook_retravaill!I1304&gt;[1]Result_notebook_retravaill!G1304,0,IF([1]Result_notebook_retravaill!I1304+[1]Result_notebook_retravaill!J1304&gt;[1]Result_notebook_retravaill!G1304,[1]Result_notebook_retravaill!G1304-[1]Result_notebook_retravaill!I1304,[1]Result_notebook_retravaill!J1304))</f>
        <v>123.73747914680109</v>
      </c>
      <c r="L1304" s="3">
        <f>IF([1]Result_notebook_retravaill!I1304&gt;[1]Result_notebook_retravaill!G1304,0,IF([1]Result_notebook_retravaill!I1304+[1]Result_notebook_retravaill!J1304&gt;[1]Result_notebook_retravaill!G1304,0,[1]Result_notebook_retravaill!M1304))</f>
        <v>6325.8743354067583</v>
      </c>
    </row>
    <row r="1305" spans="1:12">
      <c r="A1305">
        <f>[1]Result_notebook_retravaill!A1305</f>
        <v>2039</v>
      </c>
      <c r="B1305" t="str">
        <f>[1]Result_notebook_retravaill!B1305</f>
        <v>Neodymium</v>
      </c>
      <c r="C1305" t="str">
        <f>[1]Result_notebook_retravaill!C1305</f>
        <v>Global Net-zero</v>
      </c>
      <c r="D1305" t="str">
        <f>[1]Result_notebook_retravaill!D1305</f>
        <v>Production potential</v>
      </c>
      <c r="E1305" t="str">
        <f>[1]Result_notebook_retravaill!E1305</f>
        <v>Current shares</v>
      </c>
      <c r="F1305" t="str">
        <f>[1]Result_notebook_retravaill!F1305</f>
        <v>Expansion Extractive+Circularity</v>
      </c>
      <c r="G1305">
        <f>[1]Result_notebook_retravaill!G1305</f>
        <v>6634.0960399936675</v>
      </c>
      <c r="H1305" s="3">
        <f>IF([1]Result_notebook_retravaill!I1305&gt;[1]Result_notebook_retravaill!G1305,[1]Result_notebook_retravaill!I1305/[1]Result_notebook_retravaill!N1305,[1]Result_notebook_retravaill!H1305)</f>
        <v>308.22170458690948</v>
      </c>
      <c r="I1305" s="3">
        <f>[1]Result_notebook_retravaill!K1305</f>
        <v>10748.60502873587</v>
      </c>
      <c r="J1305" s="3">
        <f>MIN(G1305,[1]Result_notebook_retravaill!I1305)</f>
        <v>184.48422544010839</v>
      </c>
      <c r="K1305" s="3">
        <f>IF([1]Result_notebook_retravaill!I1305&gt;[1]Result_notebook_retravaill!G1305,0,IF([1]Result_notebook_retravaill!I1305+[1]Result_notebook_retravaill!J1305&gt;[1]Result_notebook_retravaill!G1305,[1]Result_notebook_retravaill!G1305-[1]Result_notebook_retravaill!I1305,[1]Result_notebook_retravaill!J1305))</f>
        <v>123.73747914680109</v>
      </c>
      <c r="L1305" s="3">
        <f>IF([1]Result_notebook_retravaill!I1305&gt;[1]Result_notebook_retravaill!G1305,0,IF([1]Result_notebook_retravaill!I1305+[1]Result_notebook_retravaill!J1305&gt;[1]Result_notebook_retravaill!G1305,0,[1]Result_notebook_retravaill!M1305))</f>
        <v>6325.8743354067583</v>
      </c>
    </row>
    <row r="1306" spans="1:12">
      <c r="A1306">
        <f>[1]Result_notebook_retravaill!A1306</f>
        <v>2039</v>
      </c>
      <c r="B1306" t="str">
        <f>[1]Result_notebook_retravaill!B1306</f>
        <v>Neodymium</v>
      </c>
      <c r="C1306" t="str">
        <f>[1]Result_notebook_retravaill!C1306</f>
        <v>Global Net-zero</v>
      </c>
      <c r="D1306" t="str">
        <f>[1]Result_notebook_retravaill!D1306</f>
        <v>Production potential</v>
      </c>
      <c r="E1306" t="str">
        <f>[1]Result_notebook_retravaill!E1306</f>
        <v>100% CAN</v>
      </c>
      <c r="F1306" t="str">
        <f>[1]Result_notebook_retravaill!F1306</f>
        <v>Integrated</v>
      </c>
      <c r="G1306">
        <f>[1]Result_notebook_retravaill!G1306</f>
        <v>6634.0960399936675</v>
      </c>
      <c r="H1306" s="3">
        <f>IF([1]Result_notebook_retravaill!I1306&gt;[1]Result_notebook_retravaill!G1306,[1]Result_notebook_retravaill!I1306/[1]Result_notebook_retravaill!N1306,[1]Result_notebook_retravaill!H1306)</f>
        <v>308.22170458690948</v>
      </c>
      <c r="I1306" s="3">
        <f>[1]Result_notebook_retravaill!K1306</f>
        <v>10748.60502873587</v>
      </c>
      <c r="J1306" s="3">
        <f>MIN(G1306,[1]Result_notebook_retravaill!I1306)</f>
        <v>184.48422544010839</v>
      </c>
      <c r="K1306" s="3">
        <f>IF([1]Result_notebook_retravaill!I1306&gt;[1]Result_notebook_retravaill!G1306,0,IF([1]Result_notebook_retravaill!I1306+[1]Result_notebook_retravaill!J1306&gt;[1]Result_notebook_retravaill!G1306,[1]Result_notebook_retravaill!G1306-[1]Result_notebook_retravaill!I1306,[1]Result_notebook_retravaill!J1306))</f>
        <v>123.73747914680109</v>
      </c>
      <c r="L1306" s="3">
        <f>IF([1]Result_notebook_retravaill!I1306&gt;[1]Result_notebook_retravaill!G1306,0,IF([1]Result_notebook_retravaill!I1306+[1]Result_notebook_retravaill!J1306&gt;[1]Result_notebook_retravaill!G1306,0,[1]Result_notebook_retravaill!M1306))</f>
        <v>6325.8743354067583</v>
      </c>
    </row>
    <row r="1307" spans="1:12">
      <c r="A1307">
        <f>[1]Result_notebook_retravaill!A1307</f>
        <v>2039</v>
      </c>
      <c r="B1307" t="str">
        <f>[1]Result_notebook_retravaill!B1307</f>
        <v>Nickel</v>
      </c>
      <c r="C1307" t="str">
        <f>[1]Result_notebook_retravaill!C1307</f>
        <v>Canada Net-zero</v>
      </c>
      <c r="D1307" t="str">
        <f>[1]Result_notebook_retravaill!D1307</f>
        <v>Existing production</v>
      </c>
      <c r="E1307" t="str">
        <f>[1]Result_notebook_retravaill!E1307</f>
        <v>Current shares</v>
      </c>
      <c r="F1307" t="str">
        <f>[1]Result_notebook_retravaill!F1307</f>
        <v>NIMBY</v>
      </c>
      <c r="G1307">
        <f>[1]Result_notebook_retravaill!G1307</f>
        <v>196109.6797893378</v>
      </c>
      <c r="H1307" s="3">
        <f>IF([1]Result_notebook_retravaill!I1307&gt;[1]Result_notebook_retravaill!G1307,[1]Result_notebook_retravaill!I1307/[1]Result_notebook_retravaill!N1307,[1]Result_notebook_retravaill!H1307)</f>
        <v>0</v>
      </c>
      <c r="I1307" s="3">
        <f>[1]Result_notebook_retravaill!K1307</f>
        <v>248240.10099916169</v>
      </c>
      <c r="J1307" s="3">
        <f>MIN(G1307,[1]Result_notebook_retravaill!I1307)</f>
        <v>0</v>
      </c>
      <c r="K1307" s="3">
        <f>IF([1]Result_notebook_retravaill!I1307&gt;[1]Result_notebook_retravaill!G1307,0,IF([1]Result_notebook_retravaill!I1307+[1]Result_notebook_retravaill!J1307&gt;[1]Result_notebook_retravaill!G1307,[1]Result_notebook_retravaill!G1307-[1]Result_notebook_retravaill!I1307,[1]Result_notebook_retravaill!J1307))</f>
        <v>0</v>
      </c>
      <c r="L1307" s="3">
        <f>IF([1]Result_notebook_retravaill!I1307&gt;[1]Result_notebook_retravaill!G1307,0,IF([1]Result_notebook_retravaill!I1307+[1]Result_notebook_retravaill!J1307&gt;[1]Result_notebook_retravaill!G1307,0,[1]Result_notebook_retravaill!M1307))</f>
        <v>196109.6797893378</v>
      </c>
    </row>
    <row r="1308" spans="1:12">
      <c r="A1308">
        <f>[1]Result_notebook_retravaill!A1308</f>
        <v>2039</v>
      </c>
      <c r="B1308" t="str">
        <f>[1]Result_notebook_retravaill!B1308</f>
        <v>Nickel</v>
      </c>
      <c r="C1308" t="str">
        <f>[1]Result_notebook_retravaill!C1308</f>
        <v>Canada Net-zero</v>
      </c>
      <c r="D1308" t="str">
        <f>[1]Result_notebook_retravaill!D1308</f>
        <v>Existing production</v>
      </c>
      <c r="E1308" t="str">
        <f>[1]Result_notebook_retravaill!E1308</f>
        <v>Current shares</v>
      </c>
      <c r="F1308" t="str">
        <f>[1]Result_notebook_retravaill!F1308</f>
        <v>Status Quo</v>
      </c>
      <c r="G1308">
        <f>[1]Result_notebook_retravaill!G1308</f>
        <v>196109.6797893378</v>
      </c>
      <c r="H1308" s="3">
        <f>IF([1]Result_notebook_retravaill!I1308&gt;[1]Result_notebook_retravaill!G1308,[1]Result_notebook_retravaill!I1308/[1]Result_notebook_retravaill!N1308,[1]Result_notebook_retravaill!H1308)</f>
        <v>37000</v>
      </c>
      <c r="I1308" s="3">
        <f>[1]Result_notebook_retravaill!K1308</f>
        <v>211240.10099916169</v>
      </c>
      <c r="J1308" s="3">
        <f>MIN(G1308,[1]Result_notebook_retravaill!I1308)</f>
        <v>20752.561586838339</v>
      </c>
      <c r="K1308" s="3">
        <f>IF([1]Result_notebook_retravaill!I1308&gt;[1]Result_notebook_retravaill!G1308,0,IF([1]Result_notebook_retravaill!I1308+[1]Result_notebook_retravaill!J1308&gt;[1]Result_notebook_retravaill!G1308,[1]Result_notebook_retravaill!G1308-[1]Result_notebook_retravaill!I1308,[1]Result_notebook_retravaill!J1308))</f>
        <v>5116.7458370366039</v>
      </c>
      <c r="L1308" s="3">
        <f>IF([1]Result_notebook_retravaill!I1308&gt;[1]Result_notebook_retravaill!G1308,0,IF([1]Result_notebook_retravaill!I1308+[1]Result_notebook_retravaill!J1308&gt;[1]Result_notebook_retravaill!G1308,0,[1]Result_notebook_retravaill!M1308))</f>
        <v>170240.37236546288</v>
      </c>
    </row>
    <row r="1309" spans="1:12">
      <c r="A1309">
        <f>[1]Result_notebook_retravaill!A1309</f>
        <v>2039</v>
      </c>
      <c r="B1309" t="str">
        <f>[1]Result_notebook_retravaill!B1309</f>
        <v>Nickel</v>
      </c>
      <c r="C1309" t="str">
        <f>[1]Result_notebook_retravaill!C1309</f>
        <v>Canada Net-zero</v>
      </c>
      <c r="D1309" t="str">
        <f>[1]Result_notebook_retravaill!D1309</f>
        <v>Production potential</v>
      </c>
      <c r="E1309" t="str">
        <f>[1]Result_notebook_retravaill!E1309</f>
        <v>Current shares</v>
      </c>
      <c r="F1309" t="str">
        <f>[1]Result_notebook_retravaill!F1309</f>
        <v>Expansion Extractive</v>
      </c>
      <c r="G1309">
        <f>[1]Result_notebook_retravaill!G1309</f>
        <v>196109.6797893378</v>
      </c>
      <c r="H1309" s="3">
        <f>IF([1]Result_notebook_retravaill!I1309&gt;[1]Result_notebook_retravaill!G1309,[1]Result_notebook_retravaill!I1309/[1]Result_notebook_retravaill!N1309,[1]Result_notebook_retravaill!H1309)</f>
        <v>269842.82978615753</v>
      </c>
      <c r="I1309" s="3">
        <f>[1]Result_notebook_retravaill!K1309</f>
        <v>0</v>
      </c>
      <c r="J1309" s="3">
        <f>MIN(G1309,[1]Result_notebook_retravaill!I1309)</f>
        <v>151349.45794335051</v>
      </c>
      <c r="K1309" s="3">
        <f>IF([1]Result_notebook_retravaill!I1309&gt;[1]Result_notebook_retravaill!G1309,0,IF([1]Result_notebook_retravaill!I1309+[1]Result_notebook_retravaill!J1309&gt;[1]Result_notebook_retravaill!G1309,[1]Result_notebook_retravaill!G1309-[1]Result_notebook_retravaill!I1309,[1]Result_notebook_retravaill!J1309))</f>
        <v>37316.680431418878</v>
      </c>
      <c r="L1309" s="3">
        <f>IF([1]Result_notebook_retravaill!I1309&gt;[1]Result_notebook_retravaill!G1309,0,IF([1]Result_notebook_retravaill!I1309+[1]Result_notebook_retravaill!J1309&gt;[1]Result_notebook_retravaill!G1309,0,[1]Result_notebook_retravaill!M1309))</f>
        <v>7443.5414145684335</v>
      </c>
    </row>
    <row r="1310" spans="1:12">
      <c r="A1310">
        <f>[1]Result_notebook_retravaill!A1310</f>
        <v>2039</v>
      </c>
      <c r="B1310" t="str">
        <f>[1]Result_notebook_retravaill!B1310</f>
        <v>Nickel</v>
      </c>
      <c r="C1310" t="str">
        <f>[1]Result_notebook_retravaill!C1310</f>
        <v>Canada Net-zero</v>
      </c>
      <c r="D1310" t="str">
        <f>[1]Result_notebook_retravaill!D1310</f>
        <v>Production potential</v>
      </c>
      <c r="E1310" t="str">
        <f>[1]Result_notebook_retravaill!E1310</f>
        <v>Current shares</v>
      </c>
      <c r="F1310" t="str">
        <f>[1]Result_notebook_retravaill!F1310</f>
        <v>Expansion Extractive+Circularity</v>
      </c>
      <c r="G1310">
        <f>[1]Result_notebook_retravaill!G1310</f>
        <v>196109.6797893378</v>
      </c>
      <c r="H1310" s="3">
        <f>IF([1]Result_notebook_retravaill!I1310&gt;[1]Result_notebook_retravaill!G1310,[1]Result_notebook_retravaill!I1310/[1]Result_notebook_retravaill!N1310,[1]Result_notebook_retravaill!H1310)</f>
        <v>269842.82978615753</v>
      </c>
      <c r="I1310" s="3">
        <f>[1]Result_notebook_retravaill!K1310</f>
        <v>0</v>
      </c>
      <c r="J1310" s="3">
        <f>MIN(G1310,[1]Result_notebook_retravaill!I1310)</f>
        <v>151349.45794335051</v>
      </c>
      <c r="K1310" s="3">
        <f>IF([1]Result_notebook_retravaill!I1310&gt;[1]Result_notebook_retravaill!G1310,0,IF([1]Result_notebook_retravaill!I1310+[1]Result_notebook_retravaill!J1310&gt;[1]Result_notebook_retravaill!G1310,[1]Result_notebook_retravaill!G1310-[1]Result_notebook_retravaill!I1310,[1]Result_notebook_retravaill!J1310))</f>
        <v>37316.680431418878</v>
      </c>
      <c r="L1310" s="3">
        <f>IF([1]Result_notebook_retravaill!I1310&gt;[1]Result_notebook_retravaill!G1310,0,IF([1]Result_notebook_retravaill!I1310+[1]Result_notebook_retravaill!J1310&gt;[1]Result_notebook_retravaill!G1310,0,[1]Result_notebook_retravaill!M1310))</f>
        <v>7443.5414145684335</v>
      </c>
    </row>
    <row r="1311" spans="1:12">
      <c r="A1311">
        <f>[1]Result_notebook_retravaill!A1311</f>
        <v>2039</v>
      </c>
      <c r="B1311" t="str">
        <f>[1]Result_notebook_retravaill!B1311</f>
        <v>Nickel</v>
      </c>
      <c r="C1311" t="str">
        <f>[1]Result_notebook_retravaill!C1311</f>
        <v>Canada Net-zero</v>
      </c>
      <c r="D1311" t="str">
        <f>[1]Result_notebook_retravaill!D1311</f>
        <v>Production potential</v>
      </c>
      <c r="E1311" t="str">
        <f>[1]Result_notebook_retravaill!E1311</f>
        <v>100% CAN</v>
      </c>
      <c r="F1311" t="str">
        <f>[1]Result_notebook_retravaill!F1311</f>
        <v>Integrated</v>
      </c>
      <c r="G1311">
        <f>[1]Result_notebook_retravaill!G1311</f>
        <v>196109.6797893378</v>
      </c>
      <c r="H1311" s="3">
        <f>IF([1]Result_notebook_retravaill!I1311&gt;[1]Result_notebook_retravaill!G1311,[1]Result_notebook_retravaill!I1311/[1]Result_notebook_retravaill!N1311,[1]Result_notebook_retravaill!H1311)</f>
        <v>303954.58304456988</v>
      </c>
      <c r="I1311" s="3">
        <f>[1]Result_notebook_retravaill!K1311</f>
        <v>0</v>
      </c>
      <c r="J1311" s="3">
        <f>MIN(G1311,[1]Result_notebook_retravaill!I1311)</f>
        <v>196109.6797893378</v>
      </c>
      <c r="K1311" s="3">
        <f>IF([1]Result_notebook_retravaill!I1311&gt;[1]Result_notebook_retravaill!G1311,0,IF([1]Result_notebook_retravaill!I1311+[1]Result_notebook_retravaill!J1311&gt;[1]Result_notebook_retravaill!G1311,[1]Result_notebook_retravaill!G1311-[1]Result_notebook_retravaill!I1311,[1]Result_notebook_retravaill!J1311))</f>
        <v>0</v>
      </c>
      <c r="L1311" s="3">
        <f>IF([1]Result_notebook_retravaill!I1311&gt;[1]Result_notebook_retravaill!G1311,0,IF([1]Result_notebook_retravaill!I1311+[1]Result_notebook_retravaill!J1311&gt;[1]Result_notebook_retravaill!G1311,0,[1]Result_notebook_retravaill!M1311))</f>
        <v>0</v>
      </c>
    </row>
    <row r="1312" spans="1:12">
      <c r="A1312">
        <f>[1]Result_notebook_retravaill!A1312</f>
        <v>2039</v>
      </c>
      <c r="B1312" t="str">
        <f>[1]Result_notebook_retravaill!B1312</f>
        <v>Nickel</v>
      </c>
      <c r="C1312" t="str">
        <f>[1]Result_notebook_retravaill!C1312</f>
        <v>Current Measures</v>
      </c>
      <c r="D1312" t="str">
        <f>[1]Result_notebook_retravaill!D1312</f>
        <v>Existing production</v>
      </c>
      <c r="E1312" t="str">
        <f>[1]Result_notebook_retravaill!E1312</f>
        <v>Current shares</v>
      </c>
      <c r="F1312" t="str">
        <f>[1]Result_notebook_retravaill!F1312</f>
        <v>NIMBY</v>
      </c>
      <c r="G1312">
        <f>[1]Result_notebook_retravaill!G1312</f>
        <v>76434.087778382978</v>
      </c>
      <c r="H1312" s="3">
        <f>IF([1]Result_notebook_retravaill!I1312&gt;[1]Result_notebook_retravaill!G1312,[1]Result_notebook_retravaill!I1312/[1]Result_notebook_retravaill!N1312,[1]Result_notebook_retravaill!H1312)</f>
        <v>0</v>
      </c>
      <c r="I1312" s="3">
        <f>[1]Result_notebook_retravaill!K1312</f>
        <v>96752.009846054396</v>
      </c>
      <c r="J1312" s="3">
        <f>MIN(G1312,[1]Result_notebook_retravaill!I1312)</f>
        <v>0</v>
      </c>
      <c r="K1312" s="3">
        <f>IF([1]Result_notebook_retravaill!I1312&gt;[1]Result_notebook_retravaill!G1312,0,IF([1]Result_notebook_retravaill!I1312+[1]Result_notebook_retravaill!J1312&gt;[1]Result_notebook_retravaill!G1312,[1]Result_notebook_retravaill!G1312-[1]Result_notebook_retravaill!I1312,[1]Result_notebook_retravaill!J1312))</f>
        <v>0</v>
      </c>
      <c r="L1312" s="3">
        <f>IF([1]Result_notebook_retravaill!I1312&gt;[1]Result_notebook_retravaill!G1312,0,IF([1]Result_notebook_retravaill!I1312+[1]Result_notebook_retravaill!J1312&gt;[1]Result_notebook_retravaill!G1312,0,[1]Result_notebook_retravaill!M1312))</f>
        <v>76434.087778382978</v>
      </c>
    </row>
    <row r="1313" spans="1:12">
      <c r="A1313">
        <f>[1]Result_notebook_retravaill!A1313</f>
        <v>2039</v>
      </c>
      <c r="B1313" t="str">
        <f>[1]Result_notebook_retravaill!B1313</f>
        <v>Nickel</v>
      </c>
      <c r="C1313" t="str">
        <f>[1]Result_notebook_retravaill!C1313</f>
        <v>Current Measures</v>
      </c>
      <c r="D1313" t="str">
        <f>[1]Result_notebook_retravaill!D1313</f>
        <v>Existing production</v>
      </c>
      <c r="E1313" t="str">
        <f>[1]Result_notebook_retravaill!E1313</f>
        <v>Current shares</v>
      </c>
      <c r="F1313" t="str">
        <f>[1]Result_notebook_retravaill!F1313</f>
        <v>Status Quo</v>
      </c>
      <c r="G1313">
        <f>[1]Result_notebook_retravaill!G1313</f>
        <v>76434.087778382978</v>
      </c>
      <c r="H1313" s="3">
        <f>IF([1]Result_notebook_retravaill!I1313&gt;[1]Result_notebook_retravaill!G1313,[1]Result_notebook_retravaill!I1313/[1]Result_notebook_retravaill!N1313,[1]Result_notebook_retravaill!H1313)</f>
        <v>37000</v>
      </c>
      <c r="I1313" s="3">
        <f>[1]Result_notebook_retravaill!K1313</f>
        <v>59752.009846054403</v>
      </c>
      <c r="J1313" s="3">
        <f>MIN(G1313,[1]Result_notebook_retravaill!I1313)</f>
        <v>20752.561586838339</v>
      </c>
      <c r="K1313" s="3">
        <f>IF([1]Result_notebook_retravaill!I1313&gt;[1]Result_notebook_retravaill!G1313,0,IF([1]Result_notebook_retravaill!I1313+[1]Result_notebook_retravaill!J1313&gt;[1]Result_notebook_retravaill!G1313,[1]Result_notebook_retravaill!G1313-[1]Result_notebook_retravaill!I1313,[1]Result_notebook_retravaill!J1313))</f>
        <v>5116.7458370366039</v>
      </c>
      <c r="L1313" s="3">
        <f>IF([1]Result_notebook_retravaill!I1313&gt;[1]Result_notebook_retravaill!G1313,0,IF([1]Result_notebook_retravaill!I1313+[1]Result_notebook_retravaill!J1313&gt;[1]Result_notebook_retravaill!G1313,0,[1]Result_notebook_retravaill!M1313))</f>
        <v>50564.780354508039</v>
      </c>
    </row>
    <row r="1314" spans="1:12">
      <c r="A1314">
        <f>[1]Result_notebook_retravaill!A1314</f>
        <v>2039</v>
      </c>
      <c r="B1314" t="str">
        <f>[1]Result_notebook_retravaill!B1314</f>
        <v>Nickel</v>
      </c>
      <c r="C1314" t="str">
        <f>[1]Result_notebook_retravaill!C1314</f>
        <v>Current Measures</v>
      </c>
      <c r="D1314" t="str">
        <f>[1]Result_notebook_retravaill!D1314</f>
        <v>Production potential</v>
      </c>
      <c r="E1314" t="str">
        <f>[1]Result_notebook_retravaill!E1314</f>
        <v>Current shares</v>
      </c>
      <c r="F1314" t="str">
        <f>[1]Result_notebook_retravaill!F1314</f>
        <v>Expansion Extractive</v>
      </c>
      <c r="G1314">
        <f>[1]Result_notebook_retravaill!G1314</f>
        <v>76434.087778382978</v>
      </c>
      <c r="H1314" s="3">
        <f>IF([1]Result_notebook_retravaill!I1314&gt;[1]Result_notebook_retravaill!G1314,[1]Result_notebook_retravaill!I1314/[1]Result_notebook_retravaill!N1314,[1]Result_notebook_retravaill!H1314)</f>
        <v>216470.03733605018</v>
      </c>
      <c r="I1314" s="3">
        <f>[1]Result_notebook_retravaill!K1314</f>
        <v>0</v>
      </c>
      <c r="J1314" s="3">
        <f>MIN(G1314,[1]Result_notebook_retravaill!I1314)</f>
        <v>76434.087778382978</v>
      </c>
      <c r="K1314" s="3">
        <f>IF([1]Result_notebook_retravaill!I1314&gt;[1]Result_notebook_retravaill!G1314,0,IF([1]Result_notebook_retravaill!I1314+[1]Result_notebook_retravaill!J1314&gt;[1]Result_notebook_retravaill!G1314,[1]Result_notebook_retravaill!G1314-[1]Result_notebook_retravaill!I1314,[1]Result_notebook_retravaill!J1314))</f>
        <v>0</v>
      </c>
      <c r="L1314" s="3">
        <f>IF([1]Result_notebook_retravaill!I1314&gt;[1]Result_notebook_retravaill!G1314,0,IF([1]Result_notebook_retravaill!I1314+[1]Result_notebook_retravaill!J1314&gt;[1]Result_notebook_retravaill!G1314,0,[1]Result_notebook_retravaill!M1314))</f>
        <v>0</v>
      </c>
    </row>
    <row r="1315" spans="1:12">
      <c r="A1315">
        <f>[1]Result_notebook_retravaill!A1315</f>
        <v>2039</v>
      </c>
      <c r="B1315" t="str">
        <f>[1]Result_notebook_retravaill!B1315</f>
        <v>Nickel</v>
      </c>
      <c r="C1315" t="str">
        <f>[1]Result_notebook_retravaill!C1315</f>
        <v>Current Measures</v>
      </c>
      <c r="D1315" t="str">
        <f>[1]Result_notebook_retravaill!D1315</f>
        <v>Production potential</v>
      </c>
      <c r="E1315" t="str">
        <f>[1]Result_notebook_retravaill!E1315</f>
        <v>Current shares</v>
      </c>
      <c r="F1315" t="str">
        <f>[1]Result_notebook_retravaill!F1315</f>
        <v>Expansion Extractive+Circularity</v>
      </c>
      <c r="G1315">
        <f>[1]Result_notebook_retravaill!G1315</f>
        <v>76434.087778382978</v>
      </c>
      <c r="H1315" s="3">
        <f>IF([1]Result_notebook_retravaill!I1315&gt;[1]Result_notebook_retravaill!G1315,[1]Result_notebook_retravaill!I1315/[1]Result_notebook_retravaill!N1315,[1]Result_notebook_retravaill!H1315)</f>
        <v>216470.03733605018</v>
      </c>
      <c r="I1315" s="3">
        <f>[1]Result_notebook_retravaill!K1315</f>
        <v>0</v>
      </c>
      <c r="J1315" s="3">
        <f>MIN(G1315,[1]Result_notebook_retravaill!I1315)</f>
        <v>76434.087778382978</v>
      </c>
      <c r="K1315" s="3">
        <f>IF([1]Result_notebook_retravaill!I1315&gt;[1]Result_notebook_retravaill!G1315,0,IF([1]Result_notebook_retravaill!I1315+[1]Result_notebook_retravaill!J1315&gt;[1]Result_notebook_retravaill!G1315,[1]Result_notebook_retravaill!G1315-[1]Result_notebook_retravaill!I1315,[1]Result_notebook_retravaill!J1315))</f>
        <v>0</v>
      </c>
      <c r="L1315" s="3">
        <f>IF([1]Result_notebook_retravaill!I1315&gt;[1]Result_notebook_retravaill!G1315,0,IF([1]Result_notebook_retravaill!I1315+[1]Result_notebook_retravaill!J1315&gt;[1]Result_notebook_retravaill!G1315,0,[1]Result_notebook_retravaill!M1315))</f>
        <v>0</v>
      </c>
    </row>
    <row r="1316" spans="1:12">
      <c r="A1316">
        <f>[1]Result_notebook_retravaill!A1316</f>
        <v>2039</v>
      </c>
      <c r="B1316" t="str">
        <f>[1]Result_notebook_retravaill!B1316</f>
        <v>Nickel</v>
      </c>
      <c r="C1316" t="str">
        <f>[1]Result_notebook_retravaill!C1316</f>
        <v>Current Measures</v>
      </c>
      <c r="D1316" t="str">
        <f>[1]Result_notebook_retravaill!D1316</f>
        <v>Production potential</v>
      </c>
      <c r="E1316" t="str">
        <f>[1]Result_notebook_retravaill!E1316</f>
        <v>100% CAN</v>
      </c>
      <c r="F1316" t="str">
        <f>[1]Result_notebook_retravaill!F1316</f>
        <v>Integrated</v>
      </c>
      <c r="G1316">
        <f>[1]Result_notebook_retravaill!G1316</f>
        <v>76434.087778382978</v>
      </c>
      <c r="H1316" s="3">
        <f>IF([1]Result_notebook_retravaill!I1316&gt;[1]Result_notebook_retravaill!G1316,[1]Result_notebook_retravaill!I1316/[1]Result_notebook_retravaill!N1316,[1]Result_notebook_retravaill!H1316)</f>
        <v>303954.58304456988</v>
      </c>
      <c r="I1316" s="3">
        <f>[1]Result_notebook_retravaill!K1316</f>
        <v>0</v>
      </c>
      <c r="J1316" s="3">
        <f>MIN(G1316,[1]Result_notebook_retravaill!I1316)</f>
        <v>76434.087778382978</v>
      </c>
      <c r="K1316" s="3">
        <f>IF([1]Result_notebook_retravaill!I1316&gt;[1]Result_notebook_retravaill!G1316,0,IF([1]Result_notebook_retravaill!I1316+[1]Result_notebook_retravaill!J1316&gt;[1]Result_notebook_retravaill!G1316,[1]Result_notebook_retravaill!G1316-[1]Result_notebook_retravaill!I1316,[1]Result_notebook_retravaill!J1316))</f>
        <v>0</v>
      </c>
      <c r="L1316" s="3">
        <f>IF([1]Result_notebook_retravaill!I1316&gt;[1]Result_notebook_retravaill!G1316,0,IF([1]Result_notebook_retravaill!I1316+[1]Result_notebook_retravaill!J1316&gt;[1]Result_notebook_retravaill!G1316,0,[1]Result_notebook_retravaill!M1316))</f>
        <v>0</v>
      </c>
    </row>
    <row r="1317" spans="1:12">
      <c r="A1317">
        <f>[1]Result_notebook_retravaill!A1317</f>
        <v>2039</v>
      </c>
      <c r="B1317" t="str">
        <f>[1]Result_notebook_retravaill!B1317</f>
        <v>Nickel</v>
      </c>
      <c r="C1317" t="str">
        <f>[1]Result_notebook_retravaill!C1317</f>
        <v>Global Net-zero</v>
      </c>
      <c r="D1317" t="str">
        <f>[1]Result_notebook_retravaill!D1317</f>
        <v>Existing production</v>
      </c>
      <c r="E1317" t="str">
        <f>[1]Result_notebook_retravaill!E1317</f>
        <v>Current shares</v>
      </c>
      <c r="F1317" t="str">
        <f>[1]Result_notebook_retravaill!F1317</f>
        <v>NIMBY</v>
      </c>
      <c r="G1317">
        <f>[1]Result_notebook_retravaill!G1317</f>
        <v>187945.44464517839</v>
      </c>
      <c r="H1317" s="3">
        <f>IF([1]Result_notebook_retravaill!I1317&gt;[1]Result_notebook_retravaill!G1317,[1]Result_notebook_retravaill!I1317/[1]Result_notebook_retravaill!N1317,[1]Result_notebook_retravaill!H1317)</f>
        <v>0</v>
      </c>
      <c r="I1317" s="3">
        <f>[1]Result_notebook_retravaill!K1317</f>
        <v>237905.62613313721</v>
      </c>
      <c r="J1317" s="3">
        <f>MIN(G1317,[1]Result_notebook_retravaill!I1317)</f>
        <v>0</v>
      </c>
      <c r="K1317" s="3">
        <f>IF([1]Result_notebook_retravaill!I1317&gt;[1]Result_notebook_retravaill!G1317,0,IF([1]Result_notebook_retravaill!I1317+[1]Result_notebook_retravaill!J1317&gt;[1]Result_notebook_retravaill!G1317,[1]Result_notebook_retravaill!G1317-[1]Result_notebook_retravaill!I1317,[1]Result_notebook_retravaill!J1317))</f>
        <v>0</v>
      </c>
      <c r="L1317" s="3">
        <f>IF([1]Result_notebook_retravaill!I1317&gt;[1]Result_notebook_retravaill!G1317,0,IF([1]Result_notebook_retravaill!I1317+[1]Result_notebook_retravaill!J1317&gt;[1]Result_notebook_retravaill!G1317,0,[1]Result_notebook_retravaill!M1317))</f>
        <v>187945.44464517839</v>
      </c>
    </row>
    <row r="1318" spans="1:12">
      <c r="A1318">
        <f>[1]Result_notebook_retravaill!A1318</f>
        <v>2039</v>
      </c>
      <c r="B1318" t="str">
        <f>[1]Result_notebook_retravaill!B1318</f>
        <v>Nickel</v>
      </c>
      <c r="C1318" t="str">
        <f>[1]Result_notebook_retravaill!C1318</f>
        <v>Global Net-zero</v>
      </c>
      <c r="D1318" t="str">
        <f>[1]Result_notebook_retravaill!D1318</f>
        <v>Existing production</v>
      </c>
      <c r="E1318" t="str">
        <f>[1]Result_notebook_retravaill!E1318</f>
        <v>Current shares</v>
      </c>
      <c r="F1318" t="str">
        <f>[1]Result_notebook_retravaill!F1318</f>
        <v>Status Quo</v>
      </c>
      <c r="G1318">
        <f>[1]Result_notebook_retravaill!G1318</f>
        <v>187945.44464517839</v>
      </c>
      <c r="H1318" s="3">
        <f>IF([1]Result_notebook_retravaill!I1318&gt;[1]Result_notebook_retravaill!G1318,[1]Result_notebook_retravaill!I1318/[1]Result_notebook_retravaill!N1318,[1]Result_notebook_retravaill!H1318)</f>
        <v>37000</v>
      </c>
      <c r="I1318" s="3">
        <f>[1]Result_notebook_retravaill!K1318</f>
        <v>200905.62613313721</v>
      </c>
      <c r="J1318" s="3">
        <f>MIN(G1318,[1]Result_notebook_retravaill!I1318)</f>
        <v>20752.561586838339</v>
      </c>
      <c r="K1318" s="3">
        <f>IF([1]Result_notebook_retravaill!I1318&gt;[1]Result_notebook_retravaill!G1318,0,IF([1]Result_notebook_retravaill!I1318+[1]Result_notebook_retravaill!J1318&gt;[1]Result_notebook_retravaill!G1318,[1]Result_notebook_retravaill!G1318-[1]Result_notebook_retravaill!I1318,[1]Result_notebook_retravaill!J1318))</f>
        <v>5116.7458370366039</v>
      </c>
      <c r="L1318" s="3">
        <f>IF([1]Result_notebook_retravaill!I1318&gt;[1]Result_notebook_retravaill!G1318,0,IF([1]Result_notebook_retravaill!I1318+[1]Result_notebook_retravaill!J1318&gt;[1]Result_notebook_retravaill!G1318,0,[1]Result_notebook_retravaill!M1318))</f>
        <v>162076.13722130351</v>
      </c>
    </row>
    <row r="1319" spans="1:12">
      <c r="A1319">
        <f>[1]Result_notebook_retravaill!A1319</f>
        <v>2039</v>
      </c>
      <c r="B1319" t="str">
        <f>[1]Result_notebook_retravaill!B1319</f>
        <v>Nickel</v>
      </c>
      <c r="C1319" t="str">
        <f>[1]Result_notebook_retravaill!C1319</f>
        <v>Global Net-zero</v>
      </c>
      <c r="D1319" t="str">
        <f>[1]Result_notebook_retravaill!D1319</f>
        <v>Production potential</v>
      </c>
      <c r="E1319" t="str">
        <f>[1]Result_notebook_retravaill!E1319</f>
        <v>Current shares</v>
      </c>
      <c r="F1319" t="str">
        <f>[1]Result_notebook_retravaill!F1319</f>
        <v>Expansion Extractive</v>
      </c>
      <c r="G1319">
        <f>[1]Result_notebook_retravaill!G1319</f>
        <v>187945.44464517839</v>
      </c>
      <c r="H1319" s="3">
        <f>IF([1]Result_notebook_retravaill!I1319&gt;[1]Result_notebook_retravaill!G1319,[1]Result_notebook_retravaill!I1319/[1]Result_notebook_retravaill!N1319,[1]Result_notebook_retravaill!H1319)</f>
        <v>269842.82978615753</v>
      </c>
      <c r="I1319" s="3">
        <f>[1]Result_notebook_retravaill!K1319</f>
        <v>0</v>
      </c>
      <c r="J1319" s="3">
        <f>MIN(G1319,[1]Result_notebook_retravaill!I1319)</f>
        <v>151349.45794335051</v>
      </c>
      <c r="K1319" s="3">
        <f>IF([1]Result_notebook_retravaill!I1319&gt;[1]Result_notebook_retravaill!G1319,0,IF([1]Result_notebook_retravaill!I1319+[1]Result_notebook_retravaill!J1319&gt;[1]Result_notebook_retravaill!G1319,[1]Result_notebook_retravaill!G1319-[1]Result_notebook_retravaill!I1319,[1]Result_notebook_retravaill!J1319))</f>
        <v>36595.986701827875</v>
      </c>
      <c r="L1319" s="3">
        <f>IF([1]Result_notebook_retravaill!I1319&gt;[1]Result_notebook_retravaill!G1319,0,IF([1]Result_notebook_retravaill!I1319+[1]Result_notebook_retravaill!J1319&gt;[1]Result_notebook_retravaill!G1319,0,[1]Result_notebook_retravaill!M1319))</f>
        <v>0</v>
      </c>
    </row>
    <row r="1320" spans="1:12">
      <c r="A1320">
        <f>[1]Result_notebook_retravaill!A1320</f>
        <v>2039</v>
      </c>
      <c r="B1320" t="str">
        <f>[1]Result_notebook_retravaill!B1320</f>
        <v>Nickel</v>
      </c>
      <c r="C1320" t="str">
        <f>[1]Result_notebook_retravaill!C1320</f>
        <v>Global Net-zero</v>
      </c>
      <c r="D1320" t="str">
        <f>[1]Result_notebook_retravaill!D1320</f>
        <v>Production potential</v>
      </c>
      <c r="E1320" t="str">
        <f>[1]Result_notebook_retravaill!E1320</f>
        <v>Current shares</v>
      </c>
      <c r="F1320" t="str">
        <f>[1]Result_notebook_retravaill!F1320</f>
        <v>Expansion Extractive+Circularity</v>
      </c>
      <c r="G1320">
        <f>[1]Result_notebook_retravaill!G1320</f>
        <v>187945.44464517839</v>
      </c>
      <c r="H1320" s="3">
        <f>IF([1]Result_notebook_retravaill!I1320&gt;[1]Result_notebook_retravaill!G1320,[1]Result_notebook_retravaill!I1320/[1]Result_notebook_retravaill!N1320,[1]Result_notebook_retravaill!H1320)</f>
        <v>269842.82978615753</v>
      </c>
      <c r="I1320" s="3">
        <f>[1]Result_notebook_retravaill!K1320</f>
        <v>0</v>
      </c>
      <c r="J1320" s="3">
        <f>MIN(G1320,[1]Result_notebook_retravaill!I1320)</f>
        <v>151349.45794335051</v>
      </c>
      <c r="K1320" s="3">
        <f>IF([1]Result_notebook_retravaill!I1320&gt;[1]Result_notebook_retravaill!G1320,0,IF([1]Result_notebook_retravaill!I1320+[1]Result_notebook_retravaill!J1320&gt;[1]Result_notebook_retravaill!G1320,[1]Result_notebook_retravaill!G1320-[1]Result_notebook_retravaill!I1320,[1]Result_notebook_retravaill!J1320))</f>
        <v>36595.986701827875</v>
      </c>
      <c r="L1320" s="3">
        <f>IF([1]Result_notebook_retravaill!I1320&gt;[1]Result_notebook_retravaill!G1320,0,IF([1]Result_notebook_retravaill!I1320+[1]Result_notebook_retravaill!J1320&gt;[1]Result_notebook_retravaill!G1320,0,[1]Result_notebook_retravaill!M1320))</f>
        <v>0</v>
      </c>
    </row>
    <row r="1321" spans="1:12">
      <c r="A1321">
        <f>[1]Result_notebook_retravaill!A1321</f>
        <v>2039</v>
      </c>
      <c r="B1321" t="str">
        <f>[1]Result_notebook_retravaill!B1321</f>
        <v>Nickel</v>
      </c>
      <c r="C1321" t="str">
        <f>[1]Result_notebook_retravaill!C1321</f>
        <v>Global Net-zero</v>
      </c>
      <c r="D1321" t="str">
        <f>[1]Result_notebook_retravaill!D1321</f>
        <v>Production potential</v>
      </c>
      <c r="E1321" t="str">
        <f>[1]Result_notebook_retravaill!E1321</f>
        <v>100% CAN</v>
      </c>
      <c r="F1321" t="str">
        <f>[1]Result_notebook_retravaill!F1321</f>
        <v>Integrated</v>
      </c>
      <c r="G1321">
        <f>[1]Result_notebook_retravaill!G1321</f>
        <v>187945.44464517839</v>
      </c>
      <c r="H1321" s="3">
        <f>IF([1]Result_notebook_retravaill!I1321&gt;[1]Result_notebook_retravaill!G1321,[1]Result_notebook_retravaill!I1321/[1]Result_notebook_retravaill!N1321,[1]Result_notebook_retravaill!H1321)</f>
        <v>303954.58304456988</v>
      </c>
      <c r="I1321" s="3">
        <f>[1]Result_notebook_retravaill!K1321</f>
        <v>0</v>
      </c>
      <c r="J1321" s="3">
        <f>MIN(G1321,[1]Result_notebook_retravaill!I1321)</f>
        <v>187945.44464517839</v>
      </c>
      <c r="K1321" s="3">
        <f>IF([1]Result_notebook_retravaill!I1321&gt;[1]Result_notebook_retravaill!G1321,0,IF([1]Result_notebook_retravaill!I1321+[1]Result_notebook_retravaill!J1321&gt;[1]Result_notebook_retravaill!G1321,[1]Result_notebook_retravaill!G1321-[1]Result_notebook_retravaill!I1321,[1]Result_notebook_retravaill!J1321))</f>
        <v>0</v>
      </c>
      <c r="L1321" s="3">
        <f>IF([1]Result_notebook_retravaill!I1321&gt;[1]Result_notebook_retravaill!G1321,0,IF([1]Result_notebook_retravaill!I1321+[1]Result_notebook_retravaill!J1321&gt;[1]Result_notebook_retravaill!G1321,0,[1]Result_notebook_retravaill!M1321))</f>
        <v>0</v>
      </c>
    </row>
    <row r="1322" spans="1:12">
      <c r="A1322">
        <f>[1]Result_notebook_retravaill!A1322</f>
        <v>2039</v>
      </c>
      <c r="B1322" t="str">
        <f>[1]Result_notebook_retravaill!B1322</f>
        <v>Graphite</v>
      </c>
      <c r="C1322" t="str">
        <f>[1]Result_notebook_retravaill!C1322</f>
        <v>Canada Net-zero</v>
      </c>
      <c r="D1322" t="str">
        <f>[1]Result_notebook_retravaill!D1322</f>
        <v>Existing production</v>
      </c>
      <c r="E1322" t="str">
        <f>[1]Result_notebook_retravaill!E1322</f>
        <v>Current shares</v>
      </c>
      <c r="F1322" t="str">
        <f>[1]Result_notebook_retravaill!F1322</f>
        <v>NIMBY</v>
      </c>
      <c r="G1322">
        <f>[1]Result_notebook_retravaill!G1322</f>
        <v>3142.2560928391108</v>
      </c>
      <c r="H1322" s="3">
        <f>IF([1]Result_notebook_retravaill!I1322&gt;[1]Result_notebook_retravaill!G1322,[1]Result_notebook_retravaill!I1322/[1]Result_notebook_retravaill!N1322,[1]Result_notebook_retravaill!H1322)</f>
        <v>0</v>
      </c>
      <c r="I1322" s="3">
        <f>[1]Result_notebook_retravaill!K1322</f>
        <v>3142.2560928391108</v>
      </c>
      <c r="J1322" s="3">
        <f>MIN(G1322,[1]Result_notebook_retravaill!I1322)</f>
        <v>0</v>
      </c>
      <c r="K1322" s="3">
        <f>IF([1]Result_notebook_retravaill!I1322&gt;[1]Result_notebook_retravaill!G1322,0,IF([1]Result_notebook_retravaill!I1322+[1]Result_notebook_retravaill!J1322&gt;[1]Result_notebook_retravaill!G1322,[1]Result_notebook_retravaill!G1322-[1]Result_notebook_retravaill!I1322,[1]Result_notebook_retravaill!J1322))</f>
        <v>0</v>
      </c>
      <c r="L1322" s="3">
        <f>IF([1]Result_notebook_retravaill!I1322&gt;[1]Result_notebook_retravaill!G1322,0,IF([1]Result_notebook_retravaill!I1322+[1]Result_notebook_retravaill!J1322&gt;[1]Result_notebook_retravaill!G1322,0,[1]Result_notebook_retravaill!M1322))</f>
        <v>3142.2560928391108</v>
      </c>
    </row>
    <row r="1323" spans="1:12">
      <c r="A1323">
        <f>[1]Result_notebook_retravaill!A1323</f>
        <v>2039</v>
      </c>
      <c r="B1323" t="str">
        <f>[1]Result_notebook_retravaill!B1323</f>
        <v>Graphite</v>
      </c>
      <c r="C1323" t="str">
        <f>[1]Result_notebook_retravaill!C1323</f>
        <v>Canada Net-zero</v>
      </c>
      <c r="D1323" t="str">
        <f>[1]Result_notebook_retravaill!D1323</f>
        <v>Existing production</v>
      </c>
      <c r="E1323" t="str">
        <f>[1]Result_notebook_retravaill!E1323</f>
        <v>Current shares</v>
      </c>
      <c r="F1323" t="str">
        <f>[1]Result_notebook_retravaill!F1323</f>
        <v>Status Quo</v>
      </c>
      <c r="G1323">
        <f>[1]Result_notebook_retravaill!G1323</f>
        <v>3142.2560928391108</v>
      </c>
      <c r="H1323" s="3">
        <f>IF([1]Result_notebook_retravaill!I1323&gt;[1]Result_notebook_retravaill!G1323,[1]Result_notebook_retravaill!I1323/[1]Result_notebook_retravaill!N1323,[1]Result_notebook_retravaill!H1323)</f>
        <v>0</v>
      </c>
      <c r="I1323" s="3">
        <f>[1]Result_notebook_retravaill!K1323</f>
        <v>3142.2560928391108</v>
      </c>
      <c r="J1323" s="3">
        <f>MIN(G1323,[1]Result_notebook_retravaill!I1323)</f>
        <v>0</v>
      </c>
      <c r="K1323" s="3">
        <f>IF([1]Result_notebook_retravaill!I1323&gt;[1]Result_notebook_retravaill!G1323,0,IF([1]Result_notebook_retravaill!I1323+[1]Result_notebook_retravaill!J1323&gt;[1]Result_notebook_retravaill!G1323,[1]Result_notebook_retravaill!G1323-[1]Result_notebook_retravaill!I1323,[1]Result_notebook_retravaill!J1323))</f>
        <v>0</v>
      </c>
      <c r="L1323" s="3">
        <f>IF([1]Result_notebook_retravaill!I1323&gt;[1]Result_notebook_retravaill!G1323,0,IF([1]Result_notebook_retravaill!I1323+[1]Result_notebook_retravaill!J1323&gt;[1]Result_notebook_retravaill!G1323,0,[1]Result_notebook_retravaill!M1323))</f>
        <v>3142.2560928391108</v>
      </c>
    </row>
    <row r="1324" spans="1:12">
      <c r="A1324">
        <f>[1]Result_notebook_retravaill!A1324</f>
        <v>2039</v>
      </c>
      <c r="B1324" t="str">
        <f>[1]Result_notebook_retravaill!B1324</f>
        <v>Graphite</v>
      </c>
      <c r="C1324" t="str">
        <f>[1]Result_notebook_retravaill!C1324</f>
        <v>Canada Net-zero</v>
      </c>
      <c r="D1324" t="str">
        <f>[1]Result_notebook_retravaill!D1324</f>
        <v>Production potential</v>
      </c>
      <c r="E1324" t="str">
        <f>[1]Result_notebook_retravaill!E1324</f>
        <v>Current shares</v>
      </c>
      <c r="F1324" t="str">
        <f>[1]Result_notebook_retravaill!F1324</f>
        <v>Expansion Extractive</v>
      </c>
      <c r="G1324">
        <f>[1]Result_notebook_retravaill!G1324</f>
        <v>3142.2560928391108</v>
      </c>
      <c r="H1324" s="3">
        <f>IF([1]Result_notebook_retravaill!I1324&gt;[1]Result_notebook_retravaill!G1324,[1]Result_notebook_retravaill!I1324/[1]Result_notebook_retravaill!N1324,[1]Result_notebook_retravaill!H1324)</f>
        <v>182894.71931080634</v>
      </c>
      <c r="I1324" s="3">
        <f>[1]Result_notebook_retravaill!K1324</f>
        <v>0</v>
      </c>
      <c r="J1324" s="3">
        <f>MIN(G1324,[1]Result_notebook_retravaill!I1324)</f>
        <v>3142.2560928391108</v>
      </c>
      <c r="K1324" s="3">
        <f>IF([1]Result_notebook_retravaill!I1324&gt;[1]Result_notebook_retravaill!G1324,0,IF([1]Result_notebook_retravaill!I1324+[1]Result_notebook_retravaill!J1324&gt;[1]Result_notebook_retravaill!G1324,[1]Result_notebook_retravaill!G1324-[1]Result_notebook_retravaill!I1324,[1]Result_notebook_retravaill!J1324))</f>
        <v>0</v>
      </c>
      <c r="L1324" s="3">
        <f>IF([1]Result_notebook_retravaill!I1324&gt;[1]Result_notebook_retravaill!G1324,0,IF([1]Result_notebook_retravaill!I1324+[1]Result_notebook_retravaill!J1324&gt;[1]Result_notebook_retravaill!G1324,0,[1]Result_notebook_retravaill!M1324))</f>
        <v>0</v>
      </c>
    </row>
    <row r="1325" spans="1:12">
      <c r="A1325">
        <f>[1]Result_notebook_retravaill!A1325</f>
        <v>2039</v>
      </c>
      <c r="B1325" t="str">
        <f>[1]Result_notebook_retravaill!B1325</f>
        <v>Graphite</v>
      </c>
      <c r="C1325" t="str">
        <f>[1]Result_notebook_retravaill!C1325</f>
        <v>Canada Net-zero</v>
      </c>
      <c r="D1325" t="str">
        <f>[1]Result_notebook_retravaill!D1325</f>
        <v>Production potential</v>
      </c>
      <c r="E1325" t="str">
        <f>[1]Result_notebook_retravaill!E1325</f>
        <v>Current shares</v>
      </c>
      <c r="F1325" t="str">
        <f>[1]Result_notebook_retravaill!F1325</f>
        <v>Expansion Extractive+Circularity</v>
      </c>
      <c r="G1325">
        <f>[1]Result_notebook_retravaill!G1325</f>
        <v>3142.2560928391108</v>
      </c>
      <c r="H1325" s="3">
        <f>IF([1]Result_notebook_retravaill!I1325&gt;[1]Result_notebook_retravaill!G1325,[1]Result_notebook_retravaill!I1325/[1]Result_notebook_retravaill!N1325,[1]Result_notebook_retravaill!H1325)</f>
        <v>182894.71931080634</v>
      </c>
      <c r="I1325" s="3">
        <f>[1]Result_notebook_retravaill!K1325</f>
        <v>0</v>
      </c>
      <c r="J1325" s="3">
        <f>MIN(G1325,[1]Result_notebook_retravaill!I1325)</f>
        <v>3142.2560928391108</v>
      </c>
      <c r="K1325" s="3">
        <f>IF([1]Result_notebook_retravaill!I1325&gt;[1]Result_notebook_retravaill!G1325,0,IF([1]Result_notebook_retravaill!I1325+[1]Result_notebook_retravaill!J1325&gt;[1]Result_notebook_retravaill!G1325,[1]Result_notebook_retravaill!G1325-[1]Result_notebook_retravaill!I1325,[1]Result_notebook_retravaill!J1325))</f>
        <v>0</v>
      </c>
      <c r="L1325" s="3">
        <f>IF([1]Result_notebook_retravaill!I1325&gt;[1]Result_notebook_retravaill!G1325,0,IF([1]Result_notebook_retravaill!I1325+[1]Result_notebook_retravaill!J1325&gt;[1]Result_notebook_retravaill!G1325,0,[1]Result_notebook_retravaill!M1325))</f>
        <v>0</v>
      </c>
    </row>
    <row r="1326" spans="1:12">
      <c r="A1326">
        <f>[1]Result_notebook_retravaill!A1326</f>
        <v>2039</v>
      </c>
      <c r="B1326" t="str">
        <f>[1]Result_notebook_retravaill!B1326</f>
        <v>Graphite</v>
      </c>
      <c r="C1326" t="str">
        <f>[1]Result_notebook_retravaill!C1326</f>
        <v>Canada Net-zero</v>
      </c>
      <c r="D1326" t="str">
        <f>[1]Result_notebook_retravaill!D1326</f>
        <v>Production potential</v>
      </c>
      <c r="E1326" t="str">
        <f>[1]Result_notebook_retravaill!E1326</f>
        <v>100% CAN</v>
      </c>
      <c r="F1326" t="str">
        <f>[1]Result_notebook_retravaill!F1326</f>
        <v>Integrated</v>
      </c>
      <c r="G1326">
        <f>[1]Result_notebook_retravaill!G1326</f>
        <v>3142.2560928391108</v>
      </c>
      <c r="H1326" s="3">
        <f>IF([1]Result_notebook_retravaill!I1326&gt;[1]Result_notebook_retravaill!G1326,[1]Result_notebook_retravaill!I1326/[1]Result_notebook_retravaill!N1326,[1]Result_notebook_retravaill!H1326)</f>
        <v>182894.71931080634</v>
      </c>
      <c r="I1326" s="3">
        <f>[1]Result_notebook_retravaill!K1326</f>
        <v>0</v>
      </c>
      <c r="J1326" s="3">
        <f>MIN(G1326,[1]Result_notebook_retravaill!I1326)</f>
        <v>3142.2560928391108</v>
      </c>
      <c r="K1326" s="3">
        <f>IF([1]Result_notebook_retravaill!I1326&gt;[1]Result_notebook_retravaill!G1326,0,IF([1]Result_notebook_retravaill!I1326+[1]Result_notebook_retravaill!J1326&gt;[1]Result_notebook_retravaill!G1326,[1]Result_notebook_retravaill!G1326-[1]Result_notebook_retravaill!I1326,[1]Result_notebook_retravaill!J1326))</f>
        <v>0</v>
      </c>
      <c r="L1326" s="3">
        <f>IF([1]Result_notebook_retravaill!I1326&gt;[1]Result_notebook_retravaill!G1326,0,IF([1]Result_notebook_retravaill!I1326+[1]Result_notebook_retravaill!J1326&gt;[1]Result_notebook_retravaill!G1326,0,[1]Result_notebook_retravaill!M1326))</f>
        <v>0</v>
      </c>
    </row>
    <row r="1327" spans="1:12">
      <c r="A1327">
        <f>[1]Result_notebook_retravaill!A1327</f>
        <v>2039</v>
      </c>
      <c r="B1327" t="str">
        <f>[1]Result_notebook_retravaill!B1327</f>
        <v>Graphite</v>
      </c>
      <c r="C1327" t="str">
        <f>[1]Result_notebook_retravaill!C1327</f>
        <v>Current Measures</v>
      </c>
      <c r="D1327" t="str">
        <f>[1]Result_notebook_retravaill!D1327</f>
        <v>Existing production</v>
      </c>
      <c r="E1327" t="str">
        <f>[1]Result_notebook_retravaill!E1327</f>
        <v>Current shares</v>
      </c>
      <c r="F1327" t="str">
        <f>[1]Result_notebook_retravaill!F1327</f>
        <v>NIMBY</v>
      </c>
      <c r="G1327">
        <f>[1]Result_notebook_retravaill!G1327</f>
        <v>1154.9982759766251</v>
      </c>
      <c r="H1327" s="3">
        <f>IF([1]Result_notebook_retravaill!I1327&gt;[1]Result_notebook_retravaill!G1327,[1]Result_notebook_retravaill!I1327/[1]Result_notebook_retravaill!N1327,[1]Result_notebook_retravaill!H1327)</f>
        <v>0</v>
      </c>
      <c r="I1327" s="3">
        <f>[1]Result_notebook_retravaill!K1327</f>
        <v>1154.9982759766251</v>
      </c>
      <c r="J1327" s="3">
        <f>MIN(G1327,[1]Result_notebook_retravaill!I1327)</f>
        <v>0</v>
      </c>
      <c r="K1327" s="3">
        <f>IF([1]Result_notebook_retravaill!I1327&gt;[1]Result_notebook_retravaill!G1327,0,IF([1]Result_notebook_retravaill!I1327+[1]Result_notebook_retravaill!J1327&gt;[1]Result_notebook_retravaill!G1327,[1]Result_notebook_retravaill!G1327-[1]Result_notebook_retravaill!I1327,[1]Result_notebook_retravaill!J1327))</f>
        <v>0</v>
      </c>
      <c r="L1327" s="3">
        <f>IF([1]Result_notebook_retravaill!I1327&gt;[1]Result_notebook_retravaill!G1327,0,IF([1]Result_notebook_retravaill!I1327+[1]Result_notebook_retravaill!J1327&gt;[1]Result_notebook_retravaill!G1327,0,[1]Result_notebook_retravaill!M1327))</f>
        <v>1154.9982759766251</v>
      </c>
    </row>
    <row r="1328" spans="1:12">
      <c r="A1328">
        <f>[1]Result_notebook_retravaill!A1328</f>
        <v>2039</v>
      </c>
      <c r="B1328" t="str">
        <f>[1]Result_notebook_retravaill!B1328</f>
        <v>Graphite</v>
      </c>
      <c r="C1328" t="str">
        <f>[1]Result_notebook_retravaill!C1328</f>
        <v>Current Measures</v>
      </c>
      <c r="D1328" t="str">
        <f>[1]Result_notebook_retravaill!D1328</f>
        <v>Existing production</v>
      </c>
      <c r="E1328" t="str">
        <f>[1]Result_notebook_retravaill!E1328</f>
        <v>Current shares</v>
      </c>
      <c r="F1328" t="str">
        <f>[1]Result_notebook_retravaill!F1328</f>
        <v>Status Quo</v>
      </c>
      <c r="G1328">
        <f>[1]Result_notebook_retravaill!G1328</f>
        <v>1154.9982759766251</v>
      </c>
      <c r="H1328" s="3">
        <f>IF([1]Result_notebook_retravaill!I1328&gt;[1]Result_notebook_retravaill!G1328,[1]Result_notebook_retravaill!I1328/[1]Result_notebook_retravaill!N1328,[1]Result_notebook_retravaill!H1328)</f>
        <v>0</v>
      </c>
      <c r="I1328" s="3">
        <f>[1]Result_notebook_retravaill!K1328</f>
        <v>1154.9982759766251</v>
      </c>
      <c r="J1328" s="3">
        <f>MIN(G1328,[1]Result_notebook_retravaill!I1328)</f>
        <v>0</v>
      </c>
      <c r="K1328" s="3">
        <f>IF([1]Result_notebook_retravaill!I1328&gt;[1]Result_notebook_retravaill!G1328,0,IF([1]Result_notebook_retravaill!I1328+[1]Result_notebook_retravaill!J1328&gt;[1]Result_notebook_retravaill!G1328,[1]Result_notebook_retravaill!G1328-[1]Result_notebook_retravaill!I1328,[1]Result_notebook_retravaill!J1328))</f>
        <v>0</v>
      </c>
      <c r="L1328" s="3">
        <f>IF([1]Result_notebook_retravaill!I1328&gt;[1]Result_notebook_retravaill!G1328,0,IF([1]Result_notebook_retravaill!I1328+[1]Result_notebook_retravaill!J1328&gt;[1]Result_notebook_retravaill!G1328,0,[1]Result_notebook_retravaill!M1328))</f>
        <v>1154.9982759766251</v>
      </c>
    </row>
    <row r="1329" spans="1:12">
      <c r="A1329">
        <f>[1]Result_notebook_retravaill!A1329</f>
        <v>2039</v>
      </c>
      <c r="B1329" t="str">
        <f>[1]Result_notebook_retravaill!B1329</f>
        <v>Graphite</v>
      </c>
      <c r="C1329" t="str">
        <f>[1]Result_notebook_retravaill!C1329</f>
        <v>Current Measures</v>
      </c>
      <c r="D1329" t="str">
        <f>[1]Result_notebook_retravaill!D1329</f>
        <v>Production potential</v>
      </c>
      <c r="E1329" t="str">
        <f>[1]Result_notebook_retravaill!E1329</f>
        <v>Current shares</v>
      </c>
      <c r="F1329" t="str">
        <f>[1]Result_notebook_retravaill!F1329</f>
        <v>Expansion Extractive</v>
      </c>
      <c r="G1329">
        <f>[1]Result_notebook_retravaill!G1329</f>
        <v>1154.9982759766251</v>
      </c>
      <c r="H1329" s="3">
        <f>IF([1]Result_notebook_retravaill!I1329&gt;[1]Result_notebook_retravaill!G1329,[1]Result_notebook_retravaill!I1329/[1]Result_notebook_retravaill!N1329,[1]Result_notebook_retravaill!H1329)</f>
        <v>182894.71931080634</v>
      </c>
      <c r="I1329" s="3">
        <f>[1]Result_notebook_retravaill!K1329</f>
        <v>0</v>
      </c>
      <c r="J1329" s="3">
        <f>MIN(G1329,[1]Result_notebook_retravaill!I1329)</f>
        <v>1154.9982759766251</v>
      </c>
      <c r="K1329" s="3">
        <f>IF([1]Result_notebook_retravaill!I1329&gt;[1]Result_notebook_retravaill!G1329,0,IF([1]Result_notebook_retravaill!I1329+[1]Result_notebook_retravaill!J1329&gt;[1]Result_notebook_retravaill!G1329,[1]Result_notebook_retravaill!G1329-[1]Result_notebook_retravaill!I1329,[1]Result_notebook_retravaill!J1329))</f>
        <v>0</v>
      </c>
      <c r="L1329" s="3">
        <f>IF([1]Result_notebook_retravaill!I1329&gt;[1]Result_notebook_retravaill!G1329,0,IF([1]Result_notebook_retravaill!I1329+[1]Result_notebook_retravaill!J1329&gt;[1]Result_notebook_retravaill!G1329,0,[1]Result_notebook_retravaill!M1329))</f>
        <v>0</v>
      </c>
    </row>
    <row r="1330" spans="1:12">
      <c r="A1330">
        <f>[1]Result_notebook_retravaill!A1330</f>
        <v>2039</v>
      </c>
      <c r="B1330" t="str">
        <f>[1]Result_notebook_retravaill!B1330</f>
        <v>Graphite</v>
      </c>
      <c r="C1330" t="str">
        <f>[1]Result_notebook_retravaill!C1330</f>
        <v>Current Measures</v>
      </c>
      <c r="D1330" t="str">
        <f>[1]Result_notebook_retravaill!D1330</f>
        <v>Production potential</v>
      </c>
      <c r="E1330" t="str">
        <f>[1]Result_notebook_retravaill!E1330</f>
        <v>Current shares</v>
      </c>
      <c r="F1330" t="str">
        <f>[1]Result_notebook_retravaill!F1330</f>
        <v>Expansion Extractive+Circularity</v>
      </c>
      <c r="G1330">
        <f>[1]Result_notebook_retravaill!G1330</f>
        <v>1154.9982759766251</v>
      </c>
      <c r="H1330" s="3">
        <f>IF([1]Result_notebook_retravaill!I1330&gt;[1]Result_notebook_retravaill!G1330,[1]Result_notebook_retravaill!I1330/[1]Result_notebook_retravaill!N1330,[1]Result_notebook_retravaill!H1330)</f>
        <v>182894.71931080634</v>
      </c>
      <c r="I1330" s="3">
        <f>[1]Result_notebook_retravaill!K1330</f>
        <v>0</v>
      </c>
      <c r="J1330" s="3">
        <f>MIN(G1330,[1]Result_notebook_retravaill!I1330)</f>
        <v>1154.9982759766251</v>
      </c>
      <c r="K1330" s="3">
        <f>IF([1]Result_notebook_retravaill!I1330&gt;[1]Result_notebook_retravaill!G1330,0,IF([1]Result_notebook_retravaill!I1330+[1]Result_notebook_retravaill!J1330&gt;[1]Result_notebook_retravaill!G1330,[1]Result_notebook_retravaill!G1330-[1]Result_notebook_retravaill!I1330,[1]Result_notebook_retravaill!J1330))</f>
        <v>0</v>
      </c>
      <c r="L1330" s="3">
        <f>IF([1]Result_notebook_retravaill!I1330&gt;[1]Result_notebook_retravaill!G1330,0,IF([1]Result_notebook_retravaill!I1330+[1]Result_notebook_retravaill!J1330&gt;[1]Result_notebook_retravaill!G1330,0,[1]Result_notebook_retravaill!M1330))</f>
        <v>0</v>
      </c>
    </row>
    <row r="1331" spans="1:12">
      <c r="A1331">
        <f>[1]Result_notebook_retravaill!A1331</f>
        <v>2039</v>
      </c>
      <c r="B1331" t="str">
        <f>[1]Result_notebook_retravaill!B1331</f>
        <v>Graphite</v>
      </c>
      <c r="C1331" t="str">
        <f>[1]Result_notebook_retravaill!C1331</f>
        <v>Current Measures</v>
      </c>
      <c r="D1331" t="str">
        <f>[1]Result_notebook_retravaill!D1331</f>
        <v>Production potential</v>
      </c>
      <c r="E1331" t="str">
        <f>[1]Result_notebook_retravaill!E1331</f>
        <v>100% CAN</v>
      </c>
      <c r="F1331" t="str">
        <f>[1]Result_notebook_retravaill!F1331</f>
        <v>Integrated</v>
      </c>
      <c r="G1331">
        <f>[1]Result_notebook_retravaill!G1331</f>
        <v>1154.9982759766251</v>
      </c>
      <c r="H1331" s="3">
        <f>IF([1]Result_notebook_retravaill!I1331&gt;[1]Result_notebook_retravaill!G1331,[1]Result_notebook_retravaill!I1331/[1]Result_notebook_retravaill!N1331,[1]Result_notebook_retravaill!H1331)</f>
        <v>182894.71931080634</v>
      </c>
      <c r="I1331" s="3">
        <f>[1]Result_notebook_retravaill!K1331</f>
        <v>0</v>
      </c>
      <c r="J1331" s="3">
        <f>MIN(G1331,[1]Result_notebook_retravaill!I1331)</f>
        <v>1154.9982759766251</v>
      </c>
      <c r="K1331" s="3">
        <f>IF([1]Result_notebook_retravaill!I1331&gt;[1]Result_notebook_retravaill!G1331,0,IF([1]Result_notebook_retravaill!I1331+[1]Result_notebook_retravaill!J1331&gt;[1]Result_notebook_retravaill!G1331,[1]Result_notebook_retravaill!G1331-[1]Result_notebook_retravaill!I1331,[1]Result_notebook_retravaill!J1331))</f>
        <v>0</v>
      </c>
      <c r="L1331" s="3">
        <f>IF([1]Result_notebook_retravaill!I1331&gt;[1]Result_notebook_retravaill!G1331,0,IF([1]Result_notebook_retravaill!I1331+[1]Result_notebook_retravaill!J1331&gt;[1]Result_notebook_retravaill!G1331,0,[1]Result_notebook_retravaill!M1331))</f>
        <v>0</v>
      </c>
    </row>
    <row r="1332" spans="1:12">
      <c r="A1332">
        <f>[1]Result_notebook_retravaill!A1332</f>
        <v>2039</v>
      </c>
      <c r="B1332" t="str">
        <f>[1]Result_notebook_retravaill!B1332</f>
        <v>Graphite</v>
      </c>
      <c r="C1332" t="str">
        <f>[1]Result_notebook_retravaill!C1332</f>
        <v>Global Net-zero</v>
      </c>
      <c r="D1332" t="str">
        <f>[1]Result_notebook_retravaill!D1332</f>
        <v>Existing production</v>
      </c>
      <c r="E1332" t="str">
        <f>[1]Result_notebook_retravaill!E1332</f>
        <v>Current shares</v>
      </c>
      <c r="F1332" t="str">
        <f>[1]Result_notebook_retravaill!F1332</f>
        <v>NIMBY</v>
      </c>
      <c r="G1332">
        <f>[1]Result_notebook_retravaill!G1332</f>
        <v>2995.2738382071152</v>
      </c>
      <c r="H1332" s="3">
        <f>IF([1]Result_notebook_retravaill!I1332&gt;[1]Result_notebook_retravaill!G1332,[1]Result_notebook_retravaill!I1332/[1]Result_notebook_retravaill!N1332,[1]Result_notebook_retravaill!H1332)</f>
        <v>0</v>
      </c>
      <c r="I1332" s="3">
        <f>[1]Result_notebook_retravaill!K1332</f>
        <v>2995.2738382071152</v>
      </c>
      <c r="J1332" s="3">
        <f>MIN(G1332,[1]Result_notebook_retravaill!I1332)</f>
        <v>0</v>
      </c>
      <c r="K1332" s="3">
        <f>IF([1]Result_notebook_retravaill!I1332&gt;[1]Result_notebook_retravaill!G1332,0,IF([1]Result_notebook_retravaill!I1332+[1]Result_notebook_retravaill!J1332&gt;[1]Result_notebook_retravaill!G1332,[1]Result_notebook_retravaill!G1332-[1]Result_notebook_retravaill!I1332,[1]Result_notebook_retravaill!J1332))</f>
        <v>0</v>
      </c>
      <c r="L1332" s="3">
        <f>IF([1]Result_notebook_retravaill!I1332&gt;[1]Result_notebook_retravaill!G1332,0,IF([1]Result_notebook_retravaill!I1332+[1]Result_notebook_retravaill!J1332&gt;[1]Result_notebook_retravaill!G1332,0,[1]Result_notebook_retravaill!M1332))</f>
        <v>2995.2738382071152</v>
      </c>
    </row>
    <row r="1333" spans="1:12">
      <c r="A1333">
        <f>[1]Result_notebook_retravaill!A1333</f>
        <v>2039</v>
      </c>
      <c r="B1333" t="str">
        <f>[1]Result_notebook_retravaill!B1333</f>
        <v>Graphite</v>
      </c>
      <c r="C1333" t="str">
        <f>[1]Result_notebook_retravaill!C1333</f>
        <v>Global Net-zero</v>
      </c>
      <c r="D1333" t="str">
        <f>[1]Result_notebook_retravaill!D1333</f>
        <v>Existing production</v>
      </c>
      <c r="E1333" t="str">
        <f>[1]Result_notebook_retravaill!E1333</f>
        <v>Current shares</v>
      </c>
      <c r="F1333" t="str">
        <f>[1]Result_notebook_retravaill!F1333</f>
        <v>Status Quo</v>
      </c>
      <c r="G1333">
        <f>[1]Result_notebook_retravaill!G1333</f>
        <v>2995.2738382071152</v>
      </c>
      <c r="H1333" s="3">
        <f>IF([1]Result_notebook_retravaill!I1333&gt;[1]Result_notebook_retravaill!G1333,[1]Result_notebook_retravaill!I1333/[1]Result_notebook_retravaill!N1333,[1]Result_notebook_retravaill!H1333)</f>
        <v>0</v>
      </c>
      <c r="I1333" s="3">
        <f>[1]Result_notebook_retravaill!K1333</f>
        <v>2995.2738382071152</v>
      </c>
      <c r="J1333" s="3">
        <f>MIN(G1333,[1]Result_notebook_retravaill!I1333)</f>
        <v>0</v>
      </c>
      <c r="K1333" s="3">
        <f>IF([1]Result_notebook_retravaill!I1333&gt;[1]Result_notebook_retravaill!G1333,0,IF([1]Result_notebook_retravaill!I1333+[1]Result_notebook_retravaill!J1333&gt;[1]Result_notebook_retravaill!G1333,[1]Result_notebook_retravaill!G1333-[1]Result_notebook_retravaill!I1333,[1]Result_notebook_retravaill!J1333))</f>
        <v>0</v>
      </c>
      <c r="L1333" s="3">
        <f>IF([1]Result_notebook_retravaill!I1333&gt;[1]Result_notebook_retravaill!G1333,0,IF([1]Result_notebook_retravaill!I1333+[1]Result_notebook_retravaill!J1333&gt;[1]Result_notebook_retravaill!G1333,0,[1]Result_notebook_retravaill!M1333))</f>
        <v>2995.2738382071152</v>
      </c>
    </row>
    <row r="1334" spans="1:12">
      <c r="A1334">
        <f>[1]Result_notebook_retravaill!A1334</f>
        <v>2039</v>
      </c>
      <c r="B1334" t="str">
        <f>[1]Result_notebook_retravaill!B1334</f>
        <v>Graphite</v>
      </c>
      <c r="C1334" t="str">
        <f>[1]Result_notebook_retravaill!C1334</f>
        <v>Global Net-zero</v>
      </c>
      <c r="D1334" t="str">
        <f>[1]Result_notebook_retravaill!D1334</f>
        <v>Production potential</v>
      </c>
      <c r="E1334" t="str">
        <f>[1]Result_notebook_retravaill!E1334</f>
        <v>Current shares</v>
      </c>
      <c r="F1334" t="str">
        <f>[1]Result_notebook_retravaill!F1334</f>
        <v>Expansion Extractive</v>
      </c>
      <c r="G1334">
        <f>[1]Result_notebook_retravaill!G1334</f>
        <v>2995.2738382071152</v>
      </c>
      <c r="H1334" s="3">
        <f>IF([1]Result_notebook_retravaill!I1334&gt;[1]Result_notebook_retravaill!G1334,[1]Result_notebook_retravaill!I1334/[1]Result_notebook_retravaill!N1334,[1]Result_notebook_retravaill!H1334)</f>
        <v>182894.71931080634</v>
      </c>
      <c r="I1334" s="3">
        <f>[1]Result_notebook_retravaill!K1334</f>
        <v>0</v>
      </c>
      <c r="J1334" s="3">
        <f>MIN(G1334,[1]Result_notebook_retravaill!I1334)</f>
        <v>2995.2738382071152</v>
      </c>
      <c r="K1334" s="3">
        <f>IF([1]Result_notebook_retravaill!I1334&gt;[1]Result_notebook_retravaill!G1334,0,IF([1]Result_notebook_retravaill!I1334+[1]Result_notebook_retravaill!J1334&gt;[1]Result_notebook_retravaill!G1334,[1]Result_notebook_retravaill!G1334-[1]Result_notebook_retravaill!I1334,[1]Result_notebook_retravaill!J1334))</f>
        <v>0</v>
      </c>
      <c r="L1334" s="3">
        <f>IF([1]Result_notebook_retravaill!I1334&gt;[1]Result_notebook_retravaill!G1334,0,IF([1]Result_notebook_retravaill!I1334+[1]Result_notebook_retravaill!J1334&gt;[1]Result_notebook_retravaill!G1334,0,[1]Result_notebook_retravaill!M1334))</f>
        <v>0</v>
      </c>
    </row>
    <row r="1335" spans="1:12">
      <c r="A1335">
        <f>[1]Result_notebook_retravaill!A1335</f>
        <v>2039</v>
      </c>
      <c r="B1335" t="str">
        <f>[1]Result_notebook_retravaill!B1335</f>
        <v>Graphite</v>
      </c>
      <c r="C1335" t="str">
        <f>[1]Result_notebook_retravaill!C1335</f>
        <v>Global Net-zero</v>
      </c>
      <c r="D1335" t="str">
        <f>[1]Result_notebook_retravaill!D1335</f>
        <v>Production potential</v>
      </c>
      <c r="E1335" t="str">
        <f>[1]Result_notebook_retravaill!E1335</f>
        <v>Current shares</v>
      </c>
      <c r="F1335" t="str">
        <f>[1]Result_notebook_retravaill!F1335</f>
        <v>Expansion Extractive+Circularity</v>
      </c>
      <c r="G1335">
        <f>[1]Result_notebook_retravaill!G1335</f>
        <v>2995.2738382071152</v>
      </c>
      <c r="H1335" s="3">
        <f>IF([1]Result_notebook_retravaill!I1335&gt;[1]Result_notebook_retravaill!G1335,[1]Result_notebook_retravaill!I1335/[1]Result_notebook_retravaill!N1335,[1]Result_notebook_retravaill!H1335)</f>
        <v>182894.71931080634</v>
      </c>
      <c r="I1335" s="3">
        <f>[1]Result_notebook_retravaill!K1335</f>
        <v>0</v>
      </c>
      <c r="J1335" s="3">
        <f>MIN(G1335,[1]Result_notebook_retravaill!I1335)</f>
        <v>2995.2738382071152</v>
      </c>
      <c r="K1335" s="3">
        <f>IF([1]Result_notebook_retravaill!I1335&gt;[1]Result_notebook_retravaill!G1335,0,IF([1]Result_notebook_retravaill!I1335+[1]Result_notebook_retravaill!J1335&gt;[1]Result_notebook_retravaill!G1335,[1]Result_notebook_retravaill!G1335-[1]Result_notebook_retravaill!I1335,[1]Result_notebook_retravaill!J1335))</f>
        <v>0</v>
      </c>
      <c r="L1335" s="3">
        <f>IF([1]Result_notebook_retravaill!I1335&gt;[1]Result_notebook_retravaill!G1335,0,IF([1]Result_notebook_retravaill!I1335+[1]Result_notebook_retravaill!J1335&gt;[1]Result_notebook_retravaill!G1335,0,[1]Result_notebook_retravaill!M1335))</f>
        <v>0</v>
      </c>
    </row>
    <row r="1336" spans="1:12">
      <c r="A1336">
        <f>[1]Result_notebook_retravaill!A1336</f>
        <v>2039</v>
      </c>
      <c r="B1336" t="str">
        <f>[1]Result_notebook_retravaill!B1336</f>
        <v>Graphite</v>
      </c>
      <c r="C1336" t="str">
        <f>[1]Result_notebook_retravaill!C1336</f>
        <v>Global Net-zero</v>
      </c>
      <c r="D1336" t="str">
        <f>[1]Result_notebook_retravaill!D1336</f>
        <v>Production potential</v>
      </c>
      <c r="E1336" t="str">
        <f>[1]Result_notebook_retravaill!E1336</f>
        <v>100% CAN</v>
      </c>
      <c r="F1336" t="str">
        <f>[1]Result_notebook_retravaill!F1336</f>
        <v>Integrated</v>
      </c>
      <c r="G1336">
        <f>[1]Result_notebook_retravaill!G1336</f>
        <v>2995.2738382071152</v>
      </c>
      <c r="H1336" s="3">
        <f>IF([1]Result_notebook_retravaill!I1336&gt;[1]Result_notebook_retravaill!G1336,[1]Result_notebook_retravaill!I1336/[1]Result_notebook_retravaill!N1336,[1]Result_notebook_retravaill!H1336)</f>
        <v>182894.71931080634</v>
      </c>
      <c r="I1336" s="3">
        <f>[1]Result_notebook_retravaill!K1336</f>
        <v>0</v>
      </c>
      <c r="J1336" s="3">
        <f>MIN(G1336,[1]Result_notebook_retravaill!I1336)</f>
        <v>2995.2738382071152</v>
      </c>
      <c r="K1336" s="3">
        <f>IF([1]Result_notebook_retravaill!I1336&gt;[1]Result_notebook_retravaill!G1336,0,IF([1]Result_notebook_retravaill!I1336+[1]Result_notebook_retravaill!J1336&gt;[1]Result_notebook_retravaill!G1336,[1]Result_notebook_retravaill!G1336-[1]Result_notebook_retravaill!I1336,[1]Result_notebook_retravaill!J1336))</f>
        <v>0</v>
      </c>
      <c r="L1336" s="3">
        <f>IF([1]Result_notebook_retravaill!I1336&gt;[1]Result_notebook_retravaill!G1336,0,IF([1]Result_notebook_retravaill!I1336+[1]Result_notebook_retravaill!J1336&gt;[1]Result_notebook_retravaill!G1336,0,[1]Result_notebook_retravaill!M1336))</f>
        <v>0</v>
      </c>
    </row>
    <row r="1337" spans="1:12">
      <c r="A1337">
        <f>[1]Result_notebook_retravaill!A1337</f>
        <v>2039</v>
      </c>
      <c r="B1337" t="str">
        <f>[1]Result_notebook_retravaill!B1337</f>
        <v>Lithium</v>
      </c>
      <c r="C1337" t="str">
        <f>[1]Result_notebook_retravaill!C1337</f>
        <v>Canada Net-zero</v>
      </c>
      <c r="D1337" t="str">
        <f>[1]Result_notebook_retravaill!D1337</f>
        <v>Existing production</v>
      </c>
      <c r="E1337" t="str">
        <f>[1]Result_notebook_retravaill!E1337</f>
        <v>Current shares</v>
      </c>
      <c r="F1337" t="str">
        <f>[1]Result_notebook_retravaill!F1337</f>
        <v>NIMBY</v>
      </c>
      <c r="G1337">
        <f>[1]Result_notebook_retravaill!G1337</f>
        <v>83112.060773278674</v>
      </c>
      <c r="H1337" s="3">
        <f>IF([1]Result_notebook_retravaill!I1337&gt;[1]Result_notebook_retravaill!G1337,[1]Result_notebook_retravaill!I1337/[1]Result_notebook_retravaill!N1337,[1]Result_notebook_retravaill!H1337)</f>
        <v>0</v>
      </c>
      <c r="I1337" s="3">
        <f>[1]Result_notebook_retravaill!K1337</f>
        <v>118731.5153903981</v>
      </c>
      <c r="J1337" s="3">
        <f>MIN(G1337,[1]Result_notebook_retravaill!I1337)</f>
        <v>0</v>
      </c>
      <c r="K1337" s="3">
        <f>IF([1]Result_notebook_retravaill!I1337&gt;[1]Result_notebook_retravaill!G1337,0,IF([1]Result_notebook_retravaill!I1337+[1]Result_notebook_retravaill!J1337&gt;[1]Result_notebook_retravaill!G1337,[1]Result_notebook_retravaill!G1337-[1]Result_notebook_retravaill!I1337,[1]Result_notebook_retravaill!J1337))</f>
        <v>0</v>
      </c>
      <c r="L1337" s="3">
        <f>IF([1]Result_notebook_retravaill!I1337&gt;[1]Result_notebook_retravaill!G1337,0,IF([1]Result_notebook_retravaill!I1337+[1]Result_notebook_retravaill!J1337&gt;[1]Result_notebook_retravaill!G1337,0,[1]Result_notebook_retravaill!M1337))</f>
        <v>83112.060773278674</v>
      </c>
    </row>
    <row r="1338" spans="1:12">
      <c r="A1338">
        <f>[1]Result_notebook_retravaill!A1338</f>
        <v>2039</v>
      </c>
      <c r="B1338" t="str">
        <f>[1]Result_notebook_retravaill!B1338</f>
        <v>Lithium</v>
      </c>
      <c r="C1338" t="str">
        <f>[1]Result_notebook_retravaill!C1338</f>
        <v>Canada Net-zero</v>
      </c>
      <c r="D1338" t="str">
        <f>[1]Result_notebook_retravaill!D1338</f>
        <v>Existing production</v>
      </c>
      <c r="E1338" t="str">
        <f>[1]Result_notebook_retravaill!E1338</f>
        <v>Current shares</v>
      </c>
      <c r="F1338" t="str">
        <f>[1]Result_notebook_retravaill!F1338</f>
        <v>Status Quo</v>
      </c>
      <c r="G1338">
        <f>[1]Result_notebook_retravaill!G1338</f>
        <v>83112.060773278674</v>
      </c>
      <c r="H1338" s="3">
        <f>IF([1]Result_notebook_retravaill!I1338&gt;[1]Result_notebook_retravaill!G1338,[1]Result_notebook_retravaill!I1338/[1]Result_notebook_retravaill!N1338,[1]Result_notebook_retravaill!H1338)</f>
        <v>40971</v>
      </c>
      <c r="I1338" s="3">
        <f>[1]Result_notebook_retravaill!K1338</f>
        <v>77760.515390398112</v>
      </c>
      <c r="J1338" s="3">
        <f>MIN(G1338,[1]Result_notebook_retravaill!I1338)</f>
        <v>28645.71336388055</v>
      </c>
      <c r="K1338" s="3">
        <f>IF([1]Result_notebook_retravaill!I1338&gt;[1]Result_notebook_retravaill!G1338,0,IF([1]Result_notebook_retravaill!I1338+[1]Result_notebook_retravaill!J1338&gt;[1]Result_notebook_retravaill!G1338,[1]Result_notebook_retravaill!G1338-[1]Result_notebook_retravaill!I1338,[1]Result_notebook_retravaill!J1338))</f>
        <v>3621.202412360788</v>
      </c>
      <c r="L1338" s="3">
        <f>IF([1]Result_notebook_retravaill!I1338&gt;[1]Result_notebook_retravaill!G1338,0,IF([1]Result_notebook_retravaill!I1338+[1]Result_notebook_retravaill!J1338&gt;[1]Result_notebook_retravaill!G1338,0,[1]Result_notebook_retravaill!M1338))</f>
        <v>50845.144997037336</v>
      </c>
    </row>
    <row r="1339" spans="1:12">
      <c r="A1339">
        <f>[1]Result_notebook_retravaill!A1339</f>
        <v>2039</v>
      </c>
      <c r="B1339" t="str">
        <f>[1]Result_notebook_retravaill!B1339</f>
        <v>Lithium</v>
      </c>
      <c r="C1339" t="str">
        <f>[1]Result_notebook_retravaill!C1339</f>
        <v>Canada Net-zero</v>
      </c>
      <c r="D1339" t="str">
        <f>[1]Result_notebook_retravaill!D1339</f>
        <v>Production potential</v>
      </c>
      <c r="E1339" t="str">
        <f>[1]Result_notebook_retravaill!E1339</f>
        <v>Current shares</v>
      </c>
      <c r="F1339" t="str">
        <f>[1]Result_notebook_retravaill!F1339</f>
        <v>Expansion Extractive</v>
      </c>
      <c r="G1339">
        <f>[1]Result_notebook_retravaill!G1339</f>
        <v>83112.060773278674</v>
      </c>
      <c r="H1339" s="3">
        <f>IF([1]Result_notebook_retravaill!I1339&gt;[1]Result_notebook_retravaill!G1339,[1]Result_notebook_retravaill!I1339/[1]Result_notebook_retravaill!N1339,[1]Result_notebook_retravaill!H1339)</f>
        <v>409858.53004430229</v>
      </c>
      <c r="I1339" s="3">
        <f>[1]Result_notebook_retravaill!K1339</f>
        <v>0</v>
      </c>
      <c r="J1339" s="3">
        <f>MIN(G1339,[1]Result_notebook_retravaill!I1339)</f>
        <v>83112.060773278674</v>
      </c>
      <c r="K1339" s="3">
        <f>IF([1]Result_notebook_retravaill!I1339&gt;[1]Result_notebook_retravaill!G1339,0,IF([1]Result_notebook_retravaill!I1339+[1]Result_notebook_retravaill!J1339&gt;[1]Result_notebook_retravaill!G1339,[1]Result_notebook_retravaill!G1339-[1]Result_notebook_retravaill!I1339,[1]Result_notebook_retravaill!J1339))</f>
        <v>0</v>
      </c>
      <c r="L1339" s="3">
        <f>IF([1]Result_notebook_retravaill!I1339&gt;[1]Result_notebook_retravaill!G1339,0,IF([1]Result_notebook_retravaill!I1339+[1]Result_notebook_retravaill!J1339&gt;[1]Result_notebook_retravaill!G1339,0,[1]Result_notebook_retravaill!M1339))</f>
        <v>0</v>
      </c>
    </row>
    <row r="1340" spans="1:12">
      <c r="A1340">
        <f>[1]Result_notebook_retravaill!A1340</f>
        <v>2039</v>
      </c>
      <c r="B1340" t="str">
        <f>[1]Result_notebook_retravaill!B1340</f>
        <v>Lithium</v>
      </c>
      <c r="C1340" t="str">
        <f>[1]Result_notebook_retravaill!C1340</f>
        <v>Canada Net-zero</v>
      </c>
      <c r="D1340" t="str">
        <f>[1]Result_notebook_retravaill!D1340</f>
        <v>Production potential</v>
      </c>
      <c r="E1340" t="str">
        <f>[1]Result_notebook_retravaill!E1340</f>
        <v>Current shares</v>
      </c>
      <c r="F1340" t="str">
        <f>[1]Result_notebook_retravaill!F1340</f>
        <v>Expansion Extractive+Circularity</v>
      </c>
      <c r="G1340">
        <f>[1]Result_notebook_retravaill!G1340</f>
        <v>83112.060773278674</v>
      </c>
      <c r="H1340" s="3">
        <f>IF([1]Result_notebook_retravaill!I1340&gt;[1]Result_notebook_retravaill!G1340,[1]Result_notebook_retravaill!I1340/[1]Result_notebook_retravaill!N1340,[1]Result_notebook_retravaill!H1340)</f>
        <v>409858.53004430229</v>
      </c>
      <c r="I1340" s="3">
        <f>[1]Result_notebook_retravaill!K1340</f>
        <v>0</v>
      </c>
      <c r="J1340" s="3">
        <f>MIN(G1340,[1]Result_notebook_retravaill!I1340)</f>
        <v>83112.060773278674</v>
      </c>
      <c r="K1340" s="3">
        <f>IF([1]Result_notebook_retravaill!I1340&gt;[1]Result_notebook_retravaill!G1340,0,IF([1]Result_notebook_retravaill!I1340+[1]Result_notebook_retravaill!J1340&gt;[1]Result_notebook_retravaill!G1340,[1]Result_notebook_retravaill!G1340-[1]Result_notebook_retravaill!I1340,[1]Result_notebook_retravaill!J1340))</f>
        <v>0</v>
      </c>
      <c r="L1340" s="3">
        <f>IF([1]Result_notebook_retravaill!I1340&gt;[1]Result_notebook_retravaill!G1340,0,IF([1]Result_notebook_retravaill!I1340+[1]Result_notebook_retravaill!J1340&gt;[1]Result_notebook_retravaill!G1340,0,[1]Result_notebook_retravaill!M1340))</f>
        <v>0</v>
      </c>
    </row>
    <row r="1341" spans="1:12">
      <c r="A1341">
        <f>[1]Result_notebook_retravaill!A1341</f>
        <v>2039</v>
      </c>
      <c r="B1341" t="str">
        <f>[1]Result_notebook_retravaill!B1341</f>
        <v>Lithium</v>
      </c>
      <c r="C1341" t="str">
        <f>[1]Result_notebook_retravaill!C1341</f>
        <v>Canada Net-zero</v>
      </c>
      <c r="D1341" t="str">
        <f>[1]Result_notebook_retravaill!D1341</f>
        <v>Production potential</v>
      </c>
      <c r="E1341" t="str">
        <f>[1]Result_notebook_retravaill!E1341</f>
        <v>100% CAN</v>
      </c>
      <c r="F1341" t="str">
        <f>[1]Result_notebook_retravaill!F1341</f>
        <v>Integrated</v>
      </c>
      <c r="G1341">
        <f>[1]Result_notebook_retravaill!G1341</f>
        <v>83112.060773278674</v>
      </c>
      <c r="H1341" s="3">
        <f>IF([1]Result_notebook_retravaill!I1341&gt;[1]Result_notebook_retravaill!G1341,[1]Result_notebook_retravaill!I1341/[1]Result_notebook_retravaill!N1341,[1]Result_notebook_retravaill!H1341)</f>
        <v>409858.53004430229</v>
      </c>
      <c r="I1341" s="3">
        <f>[1]Result_notebook_retravaill!K1341</f>
        <v>0</v>
      </c>
      <c r="J1341" s="3">
        <f>MIN(G1341,[1]Result_notebook_retravaill!I1341)</f>
        <v>83112.060773278674</v>
      </c>
      <c r="K1341" s="3">
        <f>IF([1]Result_notebook_retravaill!I1341&gt;[1]Result_notebook_retravaill!G1341,0,IF([1]Result_notebook_retravaill!I1341+[1]Result_notebook_retravaill!J1341&gt;[1]Result_notebook_retravaill!G1341,[1]Result_notebook_retravaill!G1341-[1]Result_notebook_retravaill!I1341,[1]Result_notebook_retravaill!J1341))</f>
        <v>0</v>
      </c>
      <c r="L1341" s="3">
        <f>IF([1]Result_notebook_retravaill!I1341&gt;[1]Result_notebook_retravaill!G1341,0,IF([1]Result_notebook_retravaill!I1341+[1]Result_notebook_retravaill!J1341&gt;[1]Result_notebook_retravaill!G1341,0,[1]Result_notebook_retravaill!M1341))</f>
        <v>0</v>
      </c>
    </row>
    <row r="1342" spans="1:12">
      <c r="A1342">
        <f>[1]Result_notebook_retravaill!A1342</f>
        <v>2039</v>
      </c>
      <c r="B1342" t="str">
        <f>[1]Result_notebook_retravaill!B1342</f>
        <v>Lithium</v>
      </c>
      <c r="C1342" t="str">
        <f>[1]Result_notebook_retravaill!C1342</f>
        <v>Current Measures</v>
      </c>
      <c r="D1342" t="str">
        <f>[1]Result_notebook_retravaill!D1342</f>
        <v>Existing production</v>
      </c>
      <c r="E1342" t="str">
        <f>[1]Result_notebook_retravaill!E1342</f>
        <v>Current shares</v>
      </c>
      <c r="F1342" t="str">
        <f>[1]Result_notebook_retravaill!F1342</f>
        <v>NIMBY</v>
      </c>
      <c r="G1342">
        <f>[1]Result_notebook_retravaill!G1342</f>
        <v>30549.47912258418</v>
      </c>
      <c r="H1342" s="3">
        <f>IF([1]Result_notebook_retravaill!I1342&gt;[1]Result_notebook_retravaill!G1342,[1]Result_notebook_retravaill!I1342/[1]Result_notebook_retravaill!N1342,[1]Result_notebook_retravaill!H1342)</f>
        <v>0</v>
      </c>
      <c r="I1342" s="3">
        <f>[1]Result_notebook_retravaill!K1342</f>
        <v>43642.113032263107</v>
      </c>
      <c r="J1342" s="3">
        <f>MIN(G1342,[1]Result_notebook_retravaill!I1342)</f>
        <v>0</v>
      </c>
      <c r="K1342" s="3">
        <f>IF([1]Result_notebook_retravaill!I1342&gt;[1]Result_notebook_retravaill!G1342,0,IF([1]Result_notebook_retravaill!I1342+[1]Result_notebook_retravaill!J1342&gt;[1]Result_notebook_retravaill!G1342,[1]Result_notebook_retravaill!G1342-[1]Result_notebook_retravaill!I1342,[1]Result_notebook_retravaill!J1342))</f>
        <v>0</v>
      </c>
      <c r="L1342" s="3">
        <f>IF([1]Result_notebook_retravaill!I1342&gt;[1]Result_notebook_retravaill!G1342,0,IF([1]Result_notebook_retravaill!I1342+[1]Result_notebook_retravaill!J1342&gt;[1]Result_notebook_retravaill!G1342,0,[1]Result_notebook_retravaill!M1342))</f>
        <v>30549.47912258418</v>
      </c>
    </row>
    <row r="1343" spans="1:12">
      <c r="A1343">
        <f>[1]Result_notebook_retravaill!A1343</f>
        <v>2039</v>
      </c>
      <c r="B1343" t="str">
        <f>[1]Result_notebook_retravaill!B1343</f>
        <v>Lithium</v>
      </c>
      <c r="C1343" t="str">
        <f>[1]Result_notebook_retravaill!C1343</f>
        <v>Current Measures</v>
      </c>
      <c r="D1343" t="str">
        <f>[1]Result_notebook_retravaill!D1343</f>
        <v>Existing production</v>
      </c>
      <c r="E1343" t="str">
        <f>[1]Result_notebook_retravaill!E1343</f>
        <v>Current shares</v>
      </c>
      <c r="F1343" t="str">
        <f>[1]Result_notebook_retravaill!F1343</f>
        <v>Status Quo</v>
      </c>
      <c r="G1343">
        <f>[1]Result_notebook_retravaill!G1343</f>
        <v>30549.47912258418</v>
      </c>
      <c r="H1343" s="3">
        <f>IF([1]Result_notebook_retravaill!I1343&gt;[1]Result_notebook_retravaill!G1343,[1]Result_notebook_retravaill!I1343/[1]Result_notebook_retravaill!N1343,[1]Result_notebook_retravaill!H1343)</f>
        <v>40971</v>
      </c>
      <c r="I1343" s="3">
        <f>[1]Result_notebook_retravaill!K1343</f>
        <v>2671.1130322631138</v>
      </c>
      <c r="J1343" s="3">
        <f>MIN(G1343,[1]Result_notebook_retravaill!I1343)</f>
        <v>28645.71336388055</v>
      </c>
      <c r="K1343" s="3">
        <f>IF([1]Result_notebook_retravaill!I1343&gt;[1]Result_notebook_retravaill!G1343,0,IF([1]Result_notebook_retravaill!I1343+[1]Result_notebook_retravaill!J1343&gt;[1]Result_notebook_retravaill!G1343,[1]Result_notebook_retravaill!G1343-[1]Result_notebook_retravaill!I1343,[1]Result_notebook_retravaill!J1343))</f>
        <v>1903.7657587036301</v>
      </c>
      <c r="L1343" s="3">
        <f>IF([1]Result_notebook_retravaill!I1343&gt;[1]Result_notebook_retravaill!G1343,0,IF([1]Result_notebook_retravaill!I1343+[1]Result_notebook_retravaill!J1343&gt;[1]Result_notebook_retravaill!G1343,0,[1]Result_notebook_retravaill!M1343))</f>
        <v>0</v>
      </c>
    </row>
    <row r="1344" spans="1:12">
      <c r="A1344">
        <f>[1]Result_notebook_retravaill!A1344</f>
        <v>2039</v>
      </c>
      <c r="B1344" t="str">
        <f>[1]Result_notebook_retravaill!B1344</f>
        <v>Lithium</v>
      </c>
      <c r="C1344" t="str">
        <f>[1]Result_notebook_retravaill!C1344</f>
        <v>Current Measures</v>
      </c>
      <c r="D1344" t="str">
        <f>[1]Result_notebook_retravaill!D1344</f>
        <v>Production potential</v>
      </c>
      <c r="E1344" t="str">
        <f>[1]Result_notebook_retravaill!E1344</f>
        <v>Current shares</v>
      </c>
      <c r="F1344" t="str">
        <f>[1]Result_notebook_retravaill!F1344</f>
        <v>Expansion Extractive</v>
      </c>
      <c r="G1344">
        <f>[1]Result_notebook_retravaill!G1344</f>
        <v>30549.47912258418</v>
      </c>
      <c r="H1344" s="3">
        <f>IF([1]Result_notebook_retravaill!I1344&gt;[1]Result_notebook_retravaill!G1344,[1]Result_notebook_retravaill!I1344/[1]Result_notebook_retravaill!N1344,[1]Result_notebook_retravaill!H1344)</f>
        <v>409858.53004430229</v>
      </c>
      <c r="I1344" s="3">
        <f>[1]Result_notebook_retravaill!K1344</f>
        <v>0</v>
      </c>
      <c r="J1344" s="3">
        <f>MIN(G1344,[1]Result_notebook_retravaill!I1344)</f>
        <v>30549.47912258418</v>
      </c>
      <c r="K1344" s="3">
        <f>IF([1]Result_notebook_retravaill!I1344&gt;[1]Result_notebook_retravaill!G1344,0,IF([1]Result_notebook_retravaill!I1344+[1]Result_notebook_retravaill!J1344&gt;[1]Result_notebook_retravaill!G1344,[1]Result_notebook_retravaill!G1344-[1]Result_notebook_retravaill!I1344,[1]Result_notebook_retravaill!J1344))</f>
        <v>0</v>
      </c>
      <c r="L1344" s="3">
        <f>IF([1]Result_notebook_retravaill!I1344&gt;[1]Result_notebook_retravaill!G1344,0,IF([1]Result_notebook_retravaill!I1344+[1]Result_notebook_retravaill!J1344&gt;[1]Result_notebook_retravaill!G1344,0,[1]Result_notebook_retravaill!M1344))</f>
        <v>0</v>
      </c>
    </row>
    <row r="1345" spans="1:12">
      <c r="A1345">
        <f>[1]Result_notebook_retravaill!A1345</f>
        <v>2039</v>
      </c>
      <c r="B1345" t="str">
        <f>[1]Result_notebook_retravaill!B1345</f>
        <v>Lithium</v>
      </c>
      <c r="C1345" t="str">
        <f>[1]Result_notebook_retravaill!C1345</f>
        <v>Current Measures</v>
      </c>
      <c r="D1345" t="str">
        <f>[1]Result_notebook_retravaill!D1345</f>
        <v>Production potential</v>
      </c>
      <c r="E1345" t="str">
        <f>[1]Result_notebook_retravaill!E1345</f>
        <v>Current shares</v>
      </c>
      <c r="F1345" t="str">
        <f>[1]Result_notebook_retravaill!F1345</f>
        <v>Expansion Extractive+Circularity</v>
      </c>
      <c r="G1345">
        <f>[1]Result_notebook_retravaill!G1345</f>
        <v>30549.47912258418</v>
      </c>
      <c r="H1345" s="3">
        <f>IF([1]Result_notebook_retravaill!I1345&gt;[1]Result_notebook_retravaill!G1345,[1]Result_notebook_retravaill!I1345/[1]Result_notebook_retravaill!N1345,[1]Result_notebook_retravaill!H1345)</f>
        <v>409858.53004430229</v>
      </c>
      <c r="I1345" s="3">
        <f>[1]Result_notebook_retravaill!K1345</f>
        <v>0</v>
      </c>
      <c r="J1345" s="3">
        <f>MIN(G1345,[1]Result_notebook_retravaill!I1345)</f>
        <v>30549.47912258418</v>
      </c>
      <c r="K1345" s="3">
        <f>IF([1]Result_notebook_retravaill!I1345&gt;[1]Result_notebook_retravaill!G1345,0,IF([1]Result_notebook_retravaill!I1345+[1]Result_notebook_retravaill!J1345&gt;[1]Result_notebook_retravaill!G1345,[1]Result_notebook_retravaill!G1345-[1]Result_notebook_retravaill!I1345,[1]Result_notebook_retravaill!J1345))</f>
        <v>0</v>
      </c>
      <c r="L1345" s="3">
        <f>IF([1]Result_notebook_retravaill!I1345&gt;[1]Result_notebook_retravaill!G1345,0,IF([1]Result_notebook_retravaill!I1345+[1]Result_notebook_retravaill!J1345&gt;[1]Result_notebook_retravaill!G1345,0,[1]Result_notebook_retravaill!M1345))</f>
        <v>0</v>
      </c>
    </row>
    <row r="1346" spans="1:12">
      <c r="A1346">
        <f>[1]Result_notebook_retravaill!A1346</f>
        <v>2039</v>
      </c>
      <c r="B1346" t="str">
        <f>[1]Result_notebook_retravaill!B1346</f>
        <v>Lithium</v>
      </c>
      <c r="C1346" t="str">
        <f>[1]Result_notebook_retravaill!C1346</f>
        <v>Current Measures</v>
      </c>
      <c r="D1346" t="str">
        <f>[1]Result_notebook_retravaill!D1346</f>
        <v>Production potential</v>
      </c>
      <c r="E1346" t="str">
        <f>[1]Result_notebook_retravaill!E1346</f>
        <v>100% CAN</v>
      </c>
      <c r="F1346" t="str">
        <f>[1]Result_notebook_retravaill!F1346</f>
        <v>Integrated</v>
      </c>
      <c r="G1346">
        <f>[1]Result_notebook_retravaill!G1346</f>
        <v>30549.47912258418</v>
      </c>
      <c r="H1346" s="3">
        <f>IF([1]Result_notebook_retravaill!I1346&gt;[1]Result_notebook_retravaill!G1346,[1]Result_notebook_retravaill!I1346/[1]Result_notebook_retravaill!N1346,[1]Result_notebook_retravaill!H1346)</f>
        <v>409858.53004430229</v>
      </c>
      <c r="I1346" s="3">
        <f>[1]Result_notebook_retravaill!K1346</f>
        <v>0</v>
      </c>
      <c r="J1346" s="3">
        <f>MIN(G1346,[1]Result_notebook_retravaill!I1346)</f>
        <v>30549.47912258418</v>
      </c>
      <c r="K1346" s="3">
        <f>IF([1]Result_notebook_retravaill!I1346&gt;[1]Result_notebook_retravaill!G1346,0,IF([1]Result_notebook_retravaill!I1346+[1]Result_notebook_retravaill!J1346&gt;[1]Result_notebook_retravaill!G1346,[1]Result_notebook_retravaill!G1346-[1]Result_notebook_retravaill!I1346,[1]Result_notebook_retravaill!J1346))</f>
        <v>0</v>
      </c>
      <c r="L1346" s="3">
        <f>IF([1]Result_notebook_retravaill!I1346&gt;[1]Result_notebook_retravaill!G1346,0,IF([1]Result_notebook_retravaill!I1346+[1]Result_notebook_retravaill!J1346&gt;[1]Result_notebook_retravaill!G1346,0,[1]Result_notebook_retravaill!M1346))</f>
        <v>0</v>
      </c>
    </row>
    <row r="1347" spans="1:12">
      <c r="A1347">
        <f>[1]Result_notebook_retravaill!A1347</f>
        <v>2039</v>
      </c>
      <c r="B1347" t="str">
        <f>[1]Result_notebook_retravaill!B1347</f>
        <v>Lithium</v>
      </c>
      <c r="C1347" t="str">
        <f>[1]Result_notebook_retravaill!C1347</f>
        <v>Global Net-zero</v>
      </c>
      <c r="D1347" t="str">
        <f>[1]Result_notebook_retravaill!D1347</f>
        <v>Existing production</v>
      </c>
      <c r="E1347" t="str">
        <f>[1]Result_notebook_retravaill!E1347</f>
        <v>Current shares</v>
      </c>
      <c r="F1347" t="str">
        <f>[1]Result_notebook_retravaill!F1347</f>
        <v>NIMBY</v>
      </c>
      <c r="G1347">
        <f>[1]Result_notebook_retravaill!G1347</f>
        <v>79224.408806461855</v>
      </c>
      <c r="H1347" s="3">
        <f>IF([1]Result_notebook_retravaill!I1347&gt;[1]Result_notebook_retravaill!G1347,[1]Result_notebook_retravaill!I1347/[1]Result_notebook_retravaill!N1347,[1]Result_notebook_retravaill!H1347)</f>
        <v>0</v>
      </c>
      <c r="I1347" s="3">
        <f>[1]Result_notebook_retravaill!K1347</f>
        <v>113177.7268663741</v>
      </c>
      <c r="J1347" s="3">
        <f>MIN(G1347,[1]Result_notebook_retravaill!I1347)</f>
        <v>0</v>
      </c>
      <c r="K1347" s="3">
        <f>IF([1]Result_notebook_retravaill!I1347&gt;[1]Result_notebook_retravaill!G1347,0,IF([1]Result_notebook_retravaill!I1347+[1]Result_notebook_retravaill!J1347&gt;[1]Result_notebook_retravaill!G1347,[1]Result_notebook_retravaill!G1347-[1]Result_notebook_retravaill!I1347,[1]Result_notebook_retravaill!J1347))</f>
        <v>0</v>
      </c>
      <c r="L1347" s="3">
        <f>IF([1]Result_notebook_retravaill!I1347&gt;[1]Result_notebook_retravaill!G1347,0,IF([1]Result_notebook_retravaill!I1347+[1]Result_notebook_retravaill!J1347&gt;[1]Result_notebook_retravaill!G1347,0,[1]Result_notebook_retravaill!M1347))</f>
        <v>79224.408806461855</v>
      </c>
    </row>
    <row r="1348" spans="1:12">
      <c r="A1348">
        <f>[1]Result_notebook_retravaill!A1348</f>
        <v>2039</v>
      </c>
      <c r="B1348" t="str">
        <f>[1]Result_notebook_retravaill!B1348</f>
        <v>Lithium</v>
      </c>
      <c r="C1348" t="str">
        <f>[1]Result_notebook_retravaill!C1348</f>
        <v>Global Net-zero</v>
      </c>
      <c r="D1348" t="str">
        <f>[1]Result_notebook_retravaill!D1348</f>
        <v>Existing production</v>
      </c>
      <c r="E1348" t="str">
        <f>[1]Result_notebook_retravaill!E1348</f>
        <v>Current shares</v>
      </c>
      <c r="F1348" t="str">
        <f>[1]Result_notebook_retravaill!F1348</f>
        <v>Status Quo</v>
      </c>
      <c r="G1348">
        <f>[1]Result_notebook_retravaill!G1348</f>
        <v>79224.408806461855</v>
      </c>
      <c r="H1348" s="3">
        <f>IF([1]Result_notebook_retravaill!I1348&gt;[1]Result_notebook_retravaill!G1348,[1]Result_notebook_retravaill!I1348/[1]Result_notebook_retravaill!N1348,[1]Result_notebook_retravaill!H1348)</f>
        <v>40971</v>
      </c>
      <c r="I1348" s="3">
        <f>[1]Result_notebook_retravaill!K1348</f>
        <v>72206.726866374083</v>
      </c>
      <c r="J1348" s="3">
        <f>MIN(G1348,[1]Result_notebook_retravaill!I1348)</f>
        <v>28645.71336388055</v>
      </c>
      <c r="K1348" s="3">
        <f>IF([1]Result_notebook_retravaill!I1348&gt;[1]Result_notebook_retravaill!G1348,0,IF([1]Result_notebook_retravaill!I1348+[1]Result_notebook_retravaill!J1348&gt;[1]Result_notebook_retravaill!G1348,[1]Result_notebook_retravaill!G1348-[1]Result_notebook_retravaill!I1348,[1]Result_notebook_retravaill!J1348))</f>
        <v>3621.202412360788</v>
      </c>
      <c r="L1348" s="3">
        <f>IF([1]Result_notebook_retravaill!I1348&gt;[1]Result_notebook_retravaill!G1348,0,IF([1]Result_notebook_retravaill!I1348+[1]Result_notebook_retravaill!J1348&gt;[1]Result_notebook_retravaill!G1348,0,[1]Result_notebook_retravaill!M1348))</f>
        <v>46957.493030220518</v>
      </c>
    </row>
    <row r="1349" spans="1:12">
      <c r="A1349">
        <f>[1]Result_notebook_retravaill!A1349</f>
        <v>2039</v>
      </c>
      <c r="B1349" t="str">
        <f>[1]Result_notebook_retravaill!B1349</f>
        <v>Lithium</v>
      </c>
      <c r="C1349" t="str">
        <f>[1]Result_notebook_retravaill!C1349</f>
        <v>Global Net-zero</v>
      </c>
      <c r="D1349" t="str">
        <f>[1]Result_notebook_retravaill!D1349</f>
        <v>Production potential</v>
      </c>
      <c r="E1349" t="str">
        <f>[1]Result_notebook_retravaill!E1349</f>
        <v>Current shares</v>
      </c>
      <c r="F1349" t="str">
        <f>[1]Result_notebook_retravaill!F1349</f>
        <v>Expansion Extractive</v>
      </c>
      <c r="G1349">
        <f>[1]Result_notebook_retravaill!G1349</f>
        <v>79224.408806461855</v>
      </c>
      <c r="H1349" s="3">
        <f>IF([1]Result_notebook_retravaill!I1349&gt;[1]Result_notebook_retravaill!G1349,[1]Result_notebook_retravaill!I1349/[1]Result_notebook_retravaill!N1349,[1]Result_notebook_retravaill!H1349)</f>
        <v>409858.53004430229</v>
      </c>
      <c r="I1349" s="3">
        <f>[1]Result_notebook_retravaill!K1349</f>
        <v>0</v>
      </c>
      <c r="J1349" s="3">
        <f>MIN(G1349,[1]Result_notebook_retravaill!I1349)</f>
        <v>79224.408806461855</v>
      </c>
      <c r="K1349" s="3">
        <f>IF([1]Result_notebook_retravaill!I1349&gt;[1]Result_notebook_retravaill!G1349,0,IF([1]Result_notebook_retravaill!I1349+[1]Result_notebook_retravaill!J1349&gt;[1]Result_notebook_retravaill!G1349,[1]Result_notebook_retravaill!G1349-[1]Result_notebook_retravaill!I1349,[1]Result_notebook_retravaill!J1349))</f>
        <v>0</v>
      </c>
      <c r="L1349" s="3">
        <f>IF([1]Result_notebook_retravaill!I1349&gt;[1]Result_notebook_retravaill!G1349,0,IF([1]Result_notebook_retravaill!I1349+[1]Result_notebook_retravaill!J1349&gt;[1]Result_notebook_retravaill!G1349,0,[1]Result_notebook_retravaill!M1349))</f>
        <v>0</v>
      </c>
    </row>
    <row r="1350" spans="1:12">
      <c r="A1350">
        <f>[1]Result_notebook_retravaill!A1350</f>
        <v>2039</v>
      </c>
      <c r="B1350" t="str">
        <f>[1]Result_notebook_retravaill!B1350</f>
        <v>Lithium</v>
      </c>
      <c r="C1350" t="str">
        <f>[1]Result_notebook_retravaill!C1350</f>
        <v>Global Net-zero</v>
      </c>
      <c r="D1350" t="str">
        <f>[1]Result_notebook_retravaill!D1350</f>
        <v>Production potential</v>
      </c>
      <c r="E1350" t="str">
        <f>[1]Result_notebook_retravaill!E1350</f>
        <v>Current shares</v>
      </c>
      <c r="F1350" t="str">
        <f>[1]Result_notebook_retravaill!F1350</f>
        <v>Expansion Extractive+Circularity</v>
      </c>
      <c r="G1350">
        <f>[1]Result_notebook_retravaill!G1350</f>
        <v>79224.408806461855</v>
      </c>
      <c r="H1350" s="3">
        <f>IF([1]Result_notebook_retravaill!I1350&gt;[1]Result_notebook_retravaill!G1350,[1]Result_notebook_retravaill!I1350/[1]Result_notebook_retravaill!N1350,[1]Result_notebook_retravaill!H1350)</f>
        <v>409858.53004430229</v>
      </c>
      <c r="I1350" s="3">
        <f>[1]Result_notebook_retravaill!K1350</f>
        <v>0</v>
      </c>
      <c r="J1350" s="3">
        <f>MIN(G1350,[1]Result_notebook_retravaill!I1350)</f>
        <v>79224.408806461855</v>
      </c>
      <c r="K1350" s="3">
        <f>IF([1]Result_notebook_retravaill!I1350&gt;[1]Result_notebook_retravaill!G1350,0,IF([1]Result_notebook_retravaill!I1350+[1]Result_notebook_retravaill!J1350&gt;[1]Result_notebook_retravaill!G1350,[1]Result_notebook_retravaill!G1350-[1]Result_notebook_retravaill!I1350,[1]Result_notebook_retravaill!J1350))</f>
        <v>0</v>
      </c>
      <c r="L1350" s="3">
        <f>IF([1]Result_notebook_retravaill!I1350&gt;[1]Result_notebook_retravaill!G1350,0,IF([1]Result_notebook_retravaill!I1350+[1]Result_notebook_retravaill!J1350&gt;[1]Result_notebook_retravaill!G1350,0,[1]Result_notebook_retravaill!M1350))</f>
        <v>0</v>
      </c>
    </row>
    <row r="1351" spans="1:12">
      <c r="A1351">
        <f>[1]Result_notebook_retravaill!A1351</f>
        <v>2039</v>
      </c>
      <c r="B1351" t="str">
        <f>[1]Result_notebook_retravaill!B1351</f>
        <v>Lithium</v>
      </c>
      <c r="C1351" t="str">
        <f>[1]Result_notebook_retravaill!C1351</f>
        <v>Global Net-zero</v>
      </c>
      <c r="D1351" t="str">
        <f>[1]Result_notebook_retravaill!D1351</f>
        <v>Production potential</v>
      </c>
      <c r="E1351" t="str">
        <f>[1]Result_notebook_retravaill!E1351</f>
        <v>100% CAN</v>
      </c>
      <c r="F1351" t="str">
        <f>[1]Result_notebook_retravaill!F1351</f>
        <v>Integrated</v>
      </c>
      <c r="G1351">
        <f>[1]Result_notebook_retravaill!G1351</f>
        <v>79224.408806461855</v>
      </c>
      <c r="H1351" s="3">
        <f>IF([1]Result_notebook_retravaill!I1351&gt;[1]Result_notebook_retravaill!G1351,[1]Result_notebook_retravaill!I1351/[1]Result_notebook_retravaill!N1351,[1]Result_notebook_retravaill!H1351)</f>
        <v>409858.53004430229</v>
      </c>
      <c r="I1351" s="3">
        <f>[1]Result_notebook_retravaill!K1351</f>
        <v>0</v>
      </c>
      <c r="J1351" s="3">
        <f>MIN(G1351,[1]Result_notebook_retravaill!I1351)</f>
        <v>79224.408806461855</v>
      </c>
      <c r="K1351" s="3">
        <f>IF([1]Result_notebook_retravaill!I1351&gt;[1]Result_notebook_retravaill!G1351,0,IF([1]Result_notebook_retravaill!I1351+[1]Result_notebook_retravaill!J1351&gt;[1]Result_notebook_retravaill!G1351,[1]Result_notebook_retravaill!G1351-[1]Result_notebook_retravaill!I1351,[1]Result_notebook_retravaill!J1351))</f>
        <v>0</v>
      </c>
      <c r="L1351" s="3">
        <f>IF([1]Result_notebook_retravaill!I1351&gt;[1]Result_notebook_retravaill!G1351,0,IF([1]Result_notebook_retravaill!I1351+[1]Result_notebook_retravaill!J1351&gt;[1]Result_notebook_retravaill!G1351,0,[1]Result_notebook_retravaill!M1351))</f>
        <v>0</v>
      </c>
    </row>
    <row r="1352" spans="1:12">
      <c r="A1352">
        <f>[1]Result_notebook_retravaill!A1352</f>
        <v>2040</v>
      </c>
      <c r="B1352" t="str">
        <f>[1]Result_notebook_retravaill!B1352</f>
        <v>Cobalt</v>
      </c>
      <c r="C1352" t="str">
        <f>[1]Result_notebook_retravaill!C1352</f>
        <v>Canada Net-zero</v>
      </c>
      <c r="D1352" t="str">
        <f>[1]Result_notebook_retravaill!D1352</f>
        <v>Existing production</v>
      </c>
      <c r="E1352" t="str">
        <f>[1]Result_notebook_retravaill!E1352</f>
        <v>Current shares</v>
      </c>
      <c r="F1352" t="str">
        <f>[1]Result_notebook_retravaill!F1352</f>
        <v>NIMBY</v>
      </c>
      <c r="G1352">
        <f>[1]Result_notebook_retravaill!G1352</f>
        <v>262254.85822449211</v>
      </c>
      <c r="H1352" s="3">
        <f>IF([1]Result_notebook_retravaill!I1352&gt;[1]Result_notebook_retravaill!G1352,[1]Result_notebook_retravaill!I1352/[1]Result_notebook_retravaill!N1352,[1]Result_notebook_retravaill!H1352)</f>
        <v>0</v>
      </c>
      <c r="I1352" s="3">
        <f>[1]Result_notebook_retravaill!K1352</f>
        <v>596033.76869202754</v>
      </c>
      <c r="J1352" s="3">
        <f>MIN(G1352,[1]Result_notebook_retravaill!I1352)</f>
        <v>0</v>
      </c>
      <c r="K1352" s="3">
        <f>IF([1]Result_notebook_retravaill!I1352&gt;[1]Result_notebook_retravaill!G1352,0,IF([1]Result_notebook_retravaill!I1352+[1]Result_notebook_retravaill!J1352&gt;[1]Result_notebook_retravaill!G1352,[1]Result_notebook_retravaill!G1352-[1]Result_notebook_retravaill!I1352,[1]Result_notebook_retravaill!J1352))</f>
        <v>0</v>
      </c>
      <c r="L1352" s="3">
        <f>IF([1]Result_notebook_retravaill!I1352&gt;[1]Result_notebook_retravaill!G1352,0,IF([1]Result_notebook_retravaill!I1352+[1]Result_notebook_retravaill!J1352&gt;[1]Result_notebook_retravaill!G1352,0,[1]Result_notebook_retravaill!M1352))</f>
        <v>262254.85822449211</v>
      </c>
    </row>
    <row r="1353" spans="1:12">
      <c r="A1353">
        <f>[1]Result_notebook_retravaill!A1353</f>
        <v>2040</v>
      </c>
      <c r="B1353" t="str">
        <f>[1]Result_notebook_retravaill!B1353</f>
        <v>Cobalt</v>
      </c>
      <c r="C1353" t="str">
        <f>[1]Result_notebook_retravaill!C1353</f>
        <v>Canada Net-zero</v>
      </c>
      <c r="D1353" t="str">
        <f>[1]Result_notebook_retravaill!D1353</f>
        <v>Existing production</v>
      </c>
      <c r="E1353" t="str">
        <f>[1]Result_notebook_retravaill!E1353</f>
        <v>Current shares</v>
      </c>
      <c r="F1353" t="str">
        <f>[1]Result_notebook_retravaill!F1353</f>
        <v>Status Quo</v>
      </c>
      <c r="G1353">
        <f>[1]Result_notebook_retravaill!G1353</f>
        <v>262254.85822449211</v>
      </c>
      <c r="H1353" s="3">
        <f>IF([1]Result_notebook_retravaill!I1353&gt;[1]Result_notebook_retravaill!G1353,[1]Result_notebook_retravaill!I1353/[1]Result_notebook_retravaill!N1353,[1]Result_notebook_retravaill!H1353)</f>
        <v>261</v>
      </c>
      <c r="I1353" s="3">
        <f>[1]Result_notebook_retravaill!K1353</f>
        <v>595772.76869202754</v>
      </c>
      <c r="J1353" s="3">
        <f>MIN(G1353,[1]Result_notebook_retravaill!I1353)</f>
        <v>110.71145720551</v>
      </c>
      <c r="K1353" s="3">
        <f>IF([1]Result_notebook_retravaill!I1353&gt;[1]Result_notebook_retravaill!G1353,0,IF([1]Result_notebook_retravaill!I1353+[1]Result_notebook_retravaill!J1353&gt;[1]Result_notebook_retravaill!G1353,[1]Result_notebook_retravaill!G1353-[1]Result_notebook_retravaill!I1353,[1]Result_notebook_retravaill!J1353))</f>
        <v>3.9579964387912554</v>
      </c>
      <c r="L1353" s="3">
        <f>IF([1]Result_notebook_retravaill!I1353&gt;[1]Result_notebook_retravaill!G1353,0,IF([1]Result_notebook_retravaill!I1353+[1]Result_notebook_retravaill!J1353&gt;[1]Result_notebook_retravaill!G1353,0,[1]Result_notebook_retravaill!M1353))</f>
        <v>262140.1887708478</v>
      </c>
    </row>
    <row r="1354" spans="1:12">
      <c r="A1354">
        <f>[1]Result_notebook_retravaill!A1354</f>
        <v>2040</v>
      </c>
      <c r="B1354" t="str">
        <f>[1]Result_notebook_retravaill!B1354</f>
        <v>Cobalt</v>
      </c>
      <c r="C1354" t="str">
        <f>[1]Result_notebook_retravaill!C1354</f>
        <v>Canada Net-zero</v>
      </c>
      <c r="D1354" t="str">
        <f>[1]Result_notebook_retravaill!D1354</f>
        <v>Production potential</v>
      </c>
      <c r="E1354" t="str">
        <f>[1]Result_notebook_retravaill!E1354</f>
        <v>Current shares</v>
      </c>
      <c r="F1354" t="str">
        <f>[1]Result_notebook_retravaill!F1354</f>
        <v>Expansion Extractive</v>
      </c>
      <c r="G1354">
        <f>[1]Result_notebook_retravaill!G1354</f>
        <v>262254.85822449211</v>
      </c>
      <c r="H1354" s="3">
        <f>IF([1]Result_notebook_retravaill!I1354&gt;[1]Result_notebook_retravaill!G1354,[1]Result_notebook_retravaill!I1354/[1]Result_notebook_retravaill!N1354,[1]Result_notebook_retravaill!H1354)</f>
        <v>31066.54411043779</v>
      </c>
      <c r="I1354" s="3">
        <f>[1]Result_notebook_retravaill!K1354</f>
        <v>564967.22458158981</v>
      </c>
      <c r="J1354" s="3">
        <f>MIN(G1354,[1]Result_notebook_retravaill!I1354)</f>
        <v>13177.863482014651</v>
      </c>
      <c r="K1354" s="3">
        <f>IF([1]Result_notebook_retravaill!I1354&gt;[1]Result_notebook_retravaill!G1354,0,IF([1]Result_notebook_retravaill!I1354+[1]Result_notebook_retravaill!J1354&gt;[1]Result_notebook_retravaill!G1354,[1]Result_notebook_retravaill!G1354-[1]Result_notebook_retravaill!I1354,[1]Result_notebook_retravaill!J1354))</f>
        <v>471.11598066920487</v>
      </c>
      <c r="L1354" s="3">
        <f>IF([1]Result_notebook_retravaill!I1354&gt;[1]Result_notebook_retravaill!G1354,0,IF([1]Result_notebook_retravaill!I1354+[1]Result_notebook_retravaill!J1354&gt;[1]Result_notebook_retravaill!G1354,0,[1]Result_notebook_retravaill!M1354))</f>
        <v>248605.87876180827</v>
      </c>
    </row>
    <row r="1355" spans="1:12">
      <c r="A1355">
        <f>[1]Result_notebook_retravaill!A1355</f>
        <v>2040</v>
      </c>
      <c r="B1355" t="str">
        <f>[1]Result_notebook_retravaill!B1355</f>
        <v>Cobalt</v>
      </c>
      <c r="C1355" t="str">
        <f>[1]Result_notebook_retravaill!C1355</f>
        <v>Canada Net-zero</v>
      </c>
      <c r="D1355" t="str">
        <f>[1]Result_notebook_retravaill!D1355</f>
        <v>Production potential</v>
      </c>
      <c r="E1355" t="str">
        <f>[1]Result_notebook_retravaill!E1355</f>
        <v>Current shares</v>
      </c>
      <c r="F1355" t="str">
        <f>[1]Result_notebook_retravaill!F1355</f>
        <v>Expansion Extractive+Circularity</v>
      </c>
      <c r="G1355">
        <f>[1]Result_notebook_retravaill!G1355</f>
        <v>262254.85822449211</v>
      </c>
      <c r="H1355" s="3">
        <f>IF([1]Result_notebook_retravaill!I1355&gt;[1]Result_notebook_retravaill!G1355,[1]Result_notebook_retravaill!I1355/[1]Result_notebook_retravaill!N1355,[1]Result_notebook_retravaill!H1355)</f>
        <v>31066.54411043779</v>
      </c>
      <c r="I1355" s="3">
        <f>[1]Result_notebook_retravaill!K1355</f>
        <v>564967.22458158981</v>
      </c>
      <c r="J1355" s="3">
        <f>MIN(G1355,[1]Result_notebook_retravaill!I1355)</f>
        <v>13177.863482014651</v>
      </c>
      <c r="K1355" s="3">
        <f>IF([1]Result_notebook_retravaill!I1355&gt;[1]Result_notebook_retravaill!G1355,0,IF([1]Result_notebook_retravaill!I1355+[1]Result_notebook_retravaill!J1355&gt;[1]Result_notebook_retravaill!G1355,[1]Result_notebook_retravaill!G1355-[1]Result_notebook_retravaill!I1355,[1]Result_notebook_retravaill!J1355))</f>
        <v>471.11598066920487</v>
      </c>
      <c r="L1355" s="3">
        <f>IF([1]Result_notebook_retravaill!I1355&gt;[1]Result_notebook_retravaill!G1355,0,IF([1]Result_notebook_retravaill!I1355+[1]Result_notebook_retravaill!J1355&gt;[1]Result_notebook_retravaill!G1355,0,[1]Result_notebook_retravaill!M1355))</f>
        <v>248605.87876180827</v>
      </c>
    </row>
    <row r="1356" spans="1:12">
      <c r="A1356">
        <f>[1]Result_notebook_retravaill!A1356</f>
        <v>2040</v>
      </c>
      <c r="B1356" t="str">
        <f>[1]Result_notebook_retravaill!B1356</f>
        <v>Cobalt</v>
      </c>
      <c r="C1356" t="str">
        <f>[1]Result_notebook_retravaill!C1356</f>
        <v>Canada Net-zero</v>
      </c>
      <c r="D1356" t="str">
        <f>[1]Result_notebook_retravaill!D1356</f>
        <v>Production potential</v>
      </c>
      <c r="E1356" t="str">
        <f>[1]Result_notebook_retravaill!E1356</f>
        <v>100% CAN</v>
      </c>
      <c r="F1356" t="str">
        <f>[1]Result_notebook_retravaill!F1356</f>
        <v>Integrated</v>
      </c>
      <c r="G1356">
        <f>[1]Result_notebook_retravaill!G1356</f>
        <v>262254.85822449211</v>
      </c>
      <c r="H1356" s="3">
        <f>IF([1]Result_notebook_retravaill!I1356&gt;[1]Result_notebook_retravaill!G1356,[1]Result_notebook_retravaill!I1356/[1]Result_notebook_retravaill!N1356,[1]Result_notebook_retravaill!H1356)</f>
        <v>31066.54411043779</v>
      </c>
      <c r="I1356" s="3">
        <f>[1]Result_notebook_retravaill!K1356</f>
        <v>564967.22458158981</v>
      </c>
      <c r="J1356" s="3">
        <f>MIN(G1356,[1]Result_notebook_retravaill!I1356)</f>
        <v>13648.97946268387</v>
      </c>
      <c r="K1356" s="3">
        <f>IF([1]Result_notebook_retravaill!I1356&gt;[1]Result_notebook_retravaill!G1356,0,IF([1]Result_notebook_retravaill!I1356+[1]Result_notebook_retravaill!J1356&gt;[1]Result_notebook_retravaill!G1356,[1]Result_notebook_retravaill!G1356-[1]Result_notebook_retravaill!I1356,[1]Result_notebook_retravaill!J1356))</f>
        <v>-1.4551915228366852E-11</v>
      </c>
      <c r="L1356" s="3">
        <f>IF([1]Result_notebook_retravaill!I1356&gt;[1]Result_notebook_retravaill!G1356,0,IF([1]Result_notebook_retravaill!I1356+[1]Result_notebook_retravaill!J1356&gt;[1]Result_notebook_retravaill!G1356,0,[1]Result_notebook_retravaill!M1356))</f>
        <v>248605.87876180821</v>
      </c>
    </row>
    <row r="1357" spans="1:12">
      <c r="A1357">
        <f>[1]Result_notebook_retravaill!A1357</f>
        <v>2040</v>
      </c>
      <c r="B1357" t="str">
        <f>[1]Result_notebook_retravaill!B1357</f>
        <v>Cobalt</v>
      </c>
      <c r="C1357" t="str">
        <f>[1]Result_notebook_retravaill!C1357</f>
        <v>Current Measures</v>
      </c>
      <c r="D1357" t="str">
        <f>[1]Result_notebook_retravaill!D1357</f>
        <v>Existing production</v>
      </c>
      <c r="E1357" t="str">
        <f>[1]Result_notebook_retravaill!E1357</f>
        <v>Current shares</v>
      </c>
      <c r="F1357" t="str">
        <f>[1]Result_notebook_retravaill!F1357</f>
        <v>NIMBY</v>
      </c>
      <c r="G1357">
        <f>[1]Result_notebook_retravaill!G1357</f>
        <v>98467.56791655843</v>
      </c>
      <c r="H1357" s="3">
        <f>IF([1]Result_notebook_retravaill!I1357&gt;[1]Result_notebook_retravaill!G1357,[1]Result_notebook_retravaill!I1357/[1]Result_notebook_retravaill!N1357,[1]Result_notebook_retravaill!H1357)</f>
        <v>0</v>
      </c>
      <c r="I1357" s="3">
        <f>[1]Result_notebook_retravaill!K1357</f>
        <v>223789.9270830873</v>
      </c>
      <c r="J1357" s="3">
        <f>MIN(G1357,[1]Result_notebook_retravaill!I1357)</f>
        <v>0</v>
      </c>
      <c r="K1357" s="3">
        <f>IF([1]Result_notebook_retravaill!I1357&gt;[1]Result_notebook_retravaill!G1357,0,IF([1]Result_notebook_retravaill!I1357+[1]Result_notebook_retravaill!J1357&gt;[1]Result_notebook_retravaill!G1357,[1]Result_notebook_retravaill!G1357-[1]Result_notebook_retravaill!I1357,[1]Result_notebook_retravaill!J1357))</f>
        <v>0</v>
      </c>
      <c r="L1357" s="3">
        <f>IF([1]Result_notebook_retravaill!I1357&gt;[1]Result_notebook_retravaill!G1357,0,IF([1]Result_notebook_retravaill!I1357+[1]Result_notebook_retravaill!J1357&gt;[1]Result_notebook_retravaill!G1357,0,[1]Result_notebook_retravaill!M1357))</f>
        <v>98467.56791655843</v>
      </c>
    </row>
    <row r="1358" spans="1:12">
      <c r="A1358">
        <f>[1]Result_notebook_retravaill!A1358</f>
        <v>2040</v>
      </c>
      <c r="B1358" t="str">
        <f>[1]Result_notebook_retravaill!B1358</f>
        <v>Cobalt</v>
      </c>
      <c r="C1358" t="str">
        <f>[1]Result_notebook_retravaill!C1358</f>
        <v>Current Measures</v>
      </c>
      <c r="D1358" t="str">
        <f>[1]Result_notebook_retravaill!D1358</f>
        <v>Existing production</v>
      </c>
      <c r="E1358" t="str">
        <f>[1]Result_notebook_retravaill!E1358</f>
        <v>Current shares</v>
      </c>
      <c r="F1358" t="str">
        <f>[1]Result_notebook_retravaill!F1358</f>
        <v>Status Quo</v>
      </c>
      <c r="G1358">
        <f>[1]Result_notebook_retravaill!G1358</f>
        <v>98467.56791655843</v>
      </c>
      <c r="H1358" s="3">
        <f>IF([1]Result_notebook_retravaill!I1358&gt;[1]Result_notebook_retravaill!G1358,[1]Result_notebook_retravaill!I1358/[1]Result_notebook_retravaill!N1358,[1]Result_notebook_retravaill!H1358)</f>
        <v>261</v>
      </c>
      <c r="I1358" s="3">
        <f>[1]Result_notebook_retravaill!K1358</f>
        <v>223528.9270830873</v>
      </c>
      <c r="J1358" s="3">
        <f>MIN(G1358,[1]Result_notebook_retravaill!I1358)</f>
        <v>110.71145720551</v>
      </c>
      <c r="K1358" s="3">
        <f>IF([1]Result_notebook_retravaill!I1358&gt;[1]Result_notebook_retravaill!G1358,0,IF([1]Result_notebook_retravaill!I1358+[1]Result_notebook_retravaill!J1358&gt;[1]Result_notebook_retravaill!G1358,[1]Result_notebook_retravaill!G1358-[1]Result_notebook_retravaill!I1358,[1]Result_notebook_retravaill!J1358))</f>
        <v>3.9579964387912554</v>
      </c>
      <c r="L1358" s="3">
        <f>IF([1]Result_notebook_retravaill!I1358&gt;[1]Result_notebook_retravaill!G1358,0,IF([1]Result_notebook_retravaill!I1358+[1]Result_notebook_retravaill!J1358&gt;[1]Result_notebook_retravaill!G1358,0,[1]Result_notebook_retravaill!M1358))</f>
        <v>98352.89846291412</v>
      </c>
    </row>
    <row r="1359" spans="1:12">
      <c r="A1359">
        <f>[1]Result_notebook_retravaill!A1359</f>
        <v>2040</v>
      </c>
      <c r="B1359" t="str">
        <f>[1]Result_notebook_retravaill!B1359</f>
        <v>Cobalt</v>
      </c>
      <c r="C1359" t="str">
        <f>[1]Result_notebook_retravaill!C1359</f>
        <v>Current Measures</v>
      </c>
      <c r="D1359" t="str">
        <f>[1]Result_notebook_retravaill!D1359</f>
        <v>Production potential</v>
      </c>
      <c r="E1359" t="str">
        <f>[1]Result_notebook_retravaill!E1359</f>
        <v>Current shares</v>
      </c>
      <c r="F1359" t="str">
        <f>[1]Result_notebook_retravaill!F1359</f>
        <v>Expansion Extractive</v>
      </c>
      <c r="G1359">
        <f>[1]Result_notebook_retravaill!G1359</f>
        <v>98467.56791655843</v>
      </c>
      <c r="H1359" s="3">
        <f>IF([1]Result_notebook_retravaill!I1359&gt;[1]Result_notebook_retravaill!G1359,[1]Result_notebook_retravaill!I1359/[1]Result_notebook_retravaill!N1359,[1]Result_notebook_retravaill!H1359)</f>
        <v>31066.54411043779</v>
      </c>
      <c r="I1359" s="3">
        <f>[1]Result_notebook_retravaill!K1359</f>
        <v>192723.3829726495</v>
      </c>
      <c r="J1359" s="3">
        <f>MIN(G1359,[1]Result_notebook_retravaill!I1359)</f>
        <v>13177.863482014651</v>
      </c>
      <c r="K1359" s="3">
        <f>IF([1]Result_notebook_retravaill!I1359&gt;[1]Result_notebook_retravaill!G1359,0,IF([1]Result_notebook_retravaill!I1359+[1]Result_notebook_retravaill!J1359&gt;[1]Result_notebook_retravaill!G1359,[1]Result_notebook_retravaill!G1359-[1]Result_notebook_retravaill!I1359,[1]Result_notebook_retravaill!J1359))</f>
        <v>471.11598066920487</v>
      </c>
      <c r="L1359" s="3">
        <f>IF([1]Result_notebook_retravaill!I1359&gt;[1]Result_notebook_retravaill!G1359,0,IF([1]Result_notebook_retravaill!I1359+[1]Result_notebook_retravaill!J1359&gt;[1]Result_notebook_retravaill!G1359,0,[1]Result_notebook_retravaill!M1359))</f>
        <v>84818.588453874589</v>
      </c>
    </row>
    <row r="1360" spans="1:12">
      <c r="A1360">
        <f>[1]Result_notebook_retravaill!A1360</f>
        <v>2040</v>
      </c>
      <c r="B1360" t="str">
        <f>[1]Result_notebook_retravaill!B1360</f>
        <v>Cobalt</v>
      </c>
      <c r="C1360" t="str">
        <f>[1]Result_notebook_retravaill!C1360</f>
        <v>Current Measures</v>
      </c>
      <c r="D1360" t="str">
        <f>[1]Result_notebook_retravaill!D1360</f>
        <v>Production potential</v>
      </c>
      <c r="E1360" t="str">
        <f>[1]Result_notebook_retravaill!E1360</f>
        <v>Current shares</v>
      </c>
      <c r="F1360" t="str">
        <f>[1]Result_notebook_retravaill!F1360</f>
        <v>Expansion Extractive+Circularity</v>
      </c>
      <c r="G1360">
        <f>[1]Result_notebook_retravaill!G1360</f>
        <v>98467.56791655843</v>
      </c>
      <c r="H1360" s="3">
        <f>IF([1]Result_notebook_retravaill!I1360&gt;[1]Result_notebook_retravaill!G1360,[1]Result_notebook_retravaill!I1360/[1]Result_notebook_retravaill!N1360,[1]Result_notebook_retravaill!H1360)</f>
        <v>31066.54411043779</v>
      </c>
      <c r="I1360" s="3">
        <f>[1]Result_notebook_retravaill!K1360</f>
        <v>192723.3829726495</v>
      </c>
      <c r="J1360" s="3">
        <f>MIN(G1360,[1]Result_notebook_retravaill!I1360)</f>
        <v>13177.863482014651</v>
      </c>
      <c r="K1360" s="3">
        <f>IF([1]Result_notebook_retravaill!I1360&gt;[1]Result_notebook_retravaill!G1360,0,IF([1]Result_notebook_retravaill!I1360+[1]Result_notebook_retravaill!J1360&gt;[1]Result_notebook_retravaill!G1360,[1]Result_notebook_retravaill!G1360-[1]Result_notebook_retravaill!I1360,[1]Result_notebook_retravaill!J1360))</f>
        <v>471.11598066920487</v>
      </c>
      <c r="L1360" s="3">
        <f>IF([1]Result_notebook_retravaill!I1360&gt;[1]Result_notebook_retravaill!G1360,0,IF([1]Result_notebook_retravaill!I1360+[1]Result_notebook_retravaill!J1360&gt;[1]Result_notebook_retravaill!G1360,0,[1]Result_notebook_retravaill!M1360))</f>
        <v>84818.588453874589</v>
      </c>
    </row>
    <row r="1361" spans="1:12">
      <c r="A1361">
        <f>[1]Result_notebook_retravaill!A1361</f>
        <v>2040</v>
      </c>
      <c r="B1361" t="str">
        <f>[1]Result_notebook_retravaill!B1361</f>
        <v>Cobalt</v>
      </c>
      <c r="C1361" t="str">
        <f>[1]Result_notebook_retravaill!C1361</f>
        <v>Current Measures</v>
      </c>
      <c r="D1361" t="str">
        <f>[1]Result_notebook_retravaill!D1361</f>
        <v>Production potential</v>
      </c>
      <c r="E1361" t="str">
        <f>[1]Result_notebook_retravaill!E1361</f>
        <v>100% CAN</v>
      </c>
      <c r="F1361" t="str">
        <f>[1]Result_notebook_retravaill!F1361</f>
        <v>Integrated</v>
      </c>
      <c r="G1361">
        <f>[1]Result_notebook_retravaill!G1361</f>
        <v>98467.56791655843</v>
      </c>
      <c r="H1361" s="3">
        <f>IF([1]Result_notebook_retravaill!I1361&gt;[1]Result_notebook_retravaill!G1361,[1]Result_notebook_retravaill!I1361/[1]Result_notebook_retravaill!N1361,[1]Result_notebook_retravaill!H1361)</f>
        <v>31066.54411043779</v>
      </c>
      <c r="I1361" s="3">
        <f>[1]Result_notebook_retravaill!K1361</f>
        <v>192723.3829726495</v>
      </c>
      <c r="J1361" s="3">
        <f>MIN(G1361,[1]Result_notebook_retravaill!I1361)</f>
        <v>13648.97946268387</v>
      </c>
      <c r="K1361" s="3">
        <f>IF([1]Result_notebook_retravaill!I1361&gt;[1]Result_notebook_retravaill!G1361,0,IF([1]Result_notebook_retravaill!I1361+[1]Result_notebook_retravaill!J1361&gt;[1]Result_notebook_retravaill!G1361,[1]Result_notebook_retravaill!G1361-[1]Result_notebook_retravaill!I1361,[1]Result_notebook_retravaill!J1361))</f>
        <v>-1.4551915228366852E-11</v>
      </c>
      <c r="L1361" s="3">
        <f>IF([1]Result_notebook_retravaill!I1361&gt;[1]Result_notebook_retravaill!G1361,0,IF([1]Result_notebook_retravaill!I1361+[1]Result_notebook_retravaill!J1361&gt;[1]Result_notebook_retravaill!G1361,0,[1]Result_notebook_retravaill!M1361))</f>
        <v>84818.588453874574</v>
      </c>
    </row>
    <row r="1362" spans="1:12">
      <c r="A1362">
        <f>[1]Result_notebook_retravaill!A1362</f>
        <v>2040</v>
      </c>
      <c r="B1362" t="str">
        <f>[1]Result_notebook_retravaill!B1362</f>
        <v>Cobalt</v>
      </c>
      <c r="C1362" t="str">
        <f>[1]Result_notebook_retravaill!C1362</f>
        <v>Global Net-zero</v>
      </c>
      <c r="D1362" t="str">
        <f>[1]Result_notebook_retravaill!D1362</f>
        <v>Existing production</v>
      </c>
      <c r="E1362" t="str">
        <f>[1]Result_notebook_retravaill!E1362</f>
        <v>Current shares</v>
      </c>
      <c r="F1362" t="str">
        <f>[1]Result_notebook_retravaill!F1362</f>
        <v>NIMBY</v>
      </c>
      <c r="G1362">
        <f>[1]Result_notebook_retravaill!G1362</f>
        <v>249374.18781108601</v>
      </c>
      <c r="H1362" s="3">
        <f>IF([1]Result_notebook_retravaill!I1362&gt;[1]Result_notebook_retravaill!G1362,[1]Result_notebook_retravaill!I1362/[1]Result_notebook_retravaill!N1362,[1]Result_notebook_retravaill!H1362)</f>
        <v>0</v>
      </c>
      <c r="I1362" s="3">
        <f>[1]Result_notebook_retravaill!K1362</f>
        <v>566759.51775246824</v>
      </c>
      <c r="J1362" s="3">
        <f>MIN(G1362,[1]Result_notebook_retravaill!I1362)</f>
        <v>0</v>
      </c>
      <c r="K1362" s="3">
        <f>IF([1]Result_notebook_retravaill!I1362&gt;[1]Result_notebook_retravaill!G1362,0,IF([1]Result_notebook_retravaill!I1362+[1]Result_notebook_retravaill!J1362&gt;[1]Result_notebook_retravaill!G1362,[1]Result_notebook_retravaill!G1362-[1]Result_notebook_retravaill!I1362,[1]Result_notebook_retravaill!J1362))</f>
        <v>0</v>
      </c>
      <c r="L1362" s="3">
        <f>IF([1]Result_notebook_retravaill!I1362&gt;[1]Result_notebook_retravaill!G1362,0,IF([1]Result_notebook_retravaill!I1362+[1]Result_notebook_retravaill!J1362&gt;[1]Result_notebook_retravaill!G1362,0,[1]Result_notebook_retravaill!M1362))</f>
        <v>249374.18781108601</v>
      </c>
    </row>
    <row r="1363" spans="1:12">
      <c r="A1363">
        <f>[1]Result_notebook_retravaill!A1363</f>
        <v>2040</v>
      </c>
      <c r="B1363" t="str">
        <f>[1]Result_notebook_retravaill!B1363</f>
        <v>Cobalt</v>
      </c>
      <c r="C1363" t="str">
        <f>[1]Result_notebook_retravaill!C1363</f>
        <v>Global Net-zero</v>
      </c>
      <c r="D1363" t="str">
        <f>[1]Result_notebook_retravaill!D1363</f>
        <v>Existing production</v>
      </c>
      <c r="E1363" t="str">
        <f>[1]Result_notebook_retravaill!E1363</f>
        <v>Current shares</v>
      </c>
      <c r="F1363" t="str">
        <f>[1]Result_notebook_retravaill!F1363</f>
        <v>Status Quo</v>
      </c>
      <c r="G1363">
        <f>[1]Result_notebook_retravaill!G1363</f>
        <v>249374.18781108601</v>
      </c>
      <c r="H1363" s="3">
        <f>IF([1]Result_notebook_retravaill!I1363&gt;[1]Result_notebook_retravaill!G1363,[1]Result_notebook_retravaill!I1363/[1]Result_notebook_retravaill!N1363,[1]Result_notebook_retravaill!H1363)</f>
        <v>261</v>
      </c>
      <c r="I1363" s="3">
        <f>[1]Result_notebook_retravaill!K1363</f>
        <v>566498.51775246824</v>
      </c>
      <c r="J1363" s="3">
        <f>MIN(G1363,[1]Result_notebook_retravaill!I1363)</f>
        <v>110.71145720551</v>
      </c>
      <c r="K1363" s="3">
        <f>IF([1]Result_notebook_retravaill!I1363&gt;[1]Result_notebook_retravaill!G1363,0,IF([1]Result_notebook_retravaill!I1363+[1]Result_notebook_retravaill!J1363&gt;[1]Result_notebook_retravaill!G1363,[1]Result_notebook_retravaill!G1363-[1]Result_notebook_retravaill!I1363,[1]Result_notebook_retravaill!J1363))</f>
        <v>3.9579964387912554</v>
      </c>
      <c r="L1363" s="3">
        <f>IF([1]Result_notebook_retravaill!I1363&gt;[1]Result_notebook_retravaill!G1363,0,IF([1]Result_notebook_retravaill!I1363+[1]Result_notebook_retravaill!J1363&gt;[1]Result_notebook_retravaill!G1363,0,[1]Result_notebook_retravaill!M1363))</f>
        <v>249259.51835744173</v>
      </c>
    </row>
    <row r="1364" spans="1:12">
      <c r="A1364">
        <f>[1]Result_notebook_retravaill!A1364</f>
        <v>2040</v>
      </c>
      <c r="B1364" t="str">
        <f>[1]Result_notebook_retravaill!B1364</f>
        <v>Cobalt</v>
      </c>
      <c r="C1364" t="str">
        <f>[1]Result_notebook_retravaill!C1364</f>
        <v>Global Net-zero</v>
      </c>
      <c r="D1364" t="str">
        <f>[1]Result_notebook_retravaill!D1364</f>
        <v>Production potential</v>
      </c>
      <c r="E1364" t="str">
        <f>[1]Result_notebook_retravaill!E1364</f>
        <v>Current shares</v>
      </c>
      <c r="F1364" t="str">
        <f>[1]Result_notebook_retravaill!F1364</f>
        <v>Expansion Extractive</v>
      </c>
      <c r="G1364">
        <f>[1]Result_notebook_retravaill!G1364</f>
        <v>249374.18781108601</v>
      </c>
      <c r="H1364" s="3">
        <f>IF([1]Result_notebook_retravaill!I1364&gt;[1]Result_notebook_retravaill!G1364,[1]Result_notebook_retravaill!I1364/[1]Result_notebook_retravaill!N1364,[1]Result_notebook_retravaill!H1364)</f>
        <v>31066.54411043779</v>
      </c>
      <c r="I1364" s="3">
        <f>[1]Result_notebook_retravaill!K1364</f>
        <v>535692.9736420305</v>
      </c>
      <c r="J1364" s="3">
        <f>MIN(G1364,[1]Result_notebook_retravaill!I1364)</f>
        <v>13177.863482014651</v>
      </c>
      <c r="K1364" s="3">
        <f>IF([1]Result_notebook_retravaill!I1364&gt;[1]Result_notebook_retravaill!G1364,0,IF([1]Result_notebook_retravaill!I1364+[1]Result_notebook_retravaill!J1364&gt;[1]Result_notebook_retravaill!G1364,[1]Result_notebook_retravaill!G1364-[1]Result_notebook_retravaill!I1364,[1]Result_notebook_retravaill!J1364))</f>
        <v>471.11598066920487</v>
      </c>
      <c r="L1364" s="3">
        <f>IF([1]Result_notebook_retravaill!I1364&gt;[1]Result_notebook_retravaill!G1364,0,IF([1]Result_notebook_retravaill!I1364+[1]Result_notebook_retravaill!J1364&gt;[1]Result_notebook_retravaill!G1364,0,[1]Result_notebook_retravaill!M1364))</f>
        <v>235725.20834840217</v>
      </c>
    </row>
    <row r="1365" spans="1:12">
      <c r="A1365">
        <f>[1]Result_notebook_retravaill!A1365</f>
        <v>2040</v>
      </c>
      <c r="B1365" t="str">
        <f>[1]Result_notebook_retravaill!B1365</f>
        <v>Cobalt</v>
      </c>
      <c r="C1365" t="str">
        <f>[1]Result_notebook_retravaill!C1365</f>
        <v>Global Net-zero</v>
      </c>
      <c r="D1365" t="str">
        <f>[1]Result_notebook_retravaill!D1365</f>
        <v>Production potential</v>
      </c>
      <c r="E1365" t="str">
        <f>[1]Result_notebook_retravaill!E1365</f>
        <v>Current shares</v>
      </c>
      <c r="F1365" t="str">
        <f>[1]Result_notebook_retravaill!F1365</f>
        <v>Expansion Extractive+Circularity</v>
      </c>
      <c r="G1365">
        <f>[1]Result_notebook_retravaill!G1365</f>
        <v>249374.18781108601</v>
      </c>
      <c r="H1365" s="3">
        <f>IF([1]Result_notebook_retravaill!I1365&gt;[1]Result_notebook_retravaill!G1365,[1]Result_notebook_retravaill!I1365/[1]Result_notebook_retravaill!N1365,[1]Result_notebook_retravaill!H1365)</f>
        <v>31066.54411043779</v>
      </c>
      <c r="I1365" s="3">
        <f>[1]Result_notebook_retravaill!K1365</f>
        <v>535692.9736420305</v>
      </c>
      <c r="J1365" s="3">
        <f>MIN(G1365,[1]Result_notebook_retravaill!I1365)</f>
        <v>13177.863482014651</v>
      </c>
      <c r="K1365" s="3">
        <f>IF([1]Result_notebook_retravaill!I1365&gt;[1]Result_notebook_retravaill!G1365,0,IF([1]Result_notebook_retravaill!I1365+[1]Result_notebook_retravaill!J1365&gt;[1]Result_notebook_retravaill!G1365,[1]Result_notebook_retravaill!G1365-[1]Result_notebook_retravaill!I1365,[1]Result_notebook_retravaill!J1365))</f>
        <v>471.11598066920487</v>
      </c>
      <c r="L1365" s="3">
        <f>IF([1]Result_notebook_retravaill!I1365&gt;[1]Result_notebook_retravaill!G1365,0,IF([1]Result_notebook_retravaill!I1365+[1]Result_notebook_retravaill!J1365&gt;[1]Result_notebook_retravaill!G1365,0,[1]Result_notebook_retravaill!M1365))</f>
        <v>235725.20834840217</v>
      </c>
    </row>
    <row r="1366" spans="1:12">
      <c r="A1366">
        <f>[1]Result_notebook_retravaill!A1366</f>
        <v>2040</v>
      </c>
      <c r="B1366" t="str">
        <f>[1]Result_notebook_retravaill!B1366</f>
        <v>Cobalt</v>
      </c>
      <c r="C1366" t="str">
        <f>[1]Result_notebook_retravaill!C1366</f>
        <v>Global Net-zero</v>
      </c>
      <c r="D1366" t="str">
        <f>[1]Result_notebook_retravaill!D1366</f>
        <v>Production potential</v>
      </c>
      <c r="E1366" t="str">
        <f>[1]Result_notebook_retravaill!E1366</f>
        <v>100% CAN</v>
      </c>
      <c r="F1366" t="str">
        <f>[1]Result_notebook_retravaill!F1366</f>
        <v>Integrated</v>
      </c>
      <c r="G1366">
        <f>[1]Result_notebook_retravaill!G1366</f>
        <v>249374.18781108601</v>
      </c>
      <c r="H1366" s="3">
        <f>IF([1]Result_notebook_retravaill!I1366&gt;[1]Result_notebook_retravaill!G1366,[1]Result_notebook_retravaill!I1366/[1]Result_notebook_retravaill!N1366,[1]Result_notebook_retravaill!H1366)</f>
        <v>31066.54411043779</v>
      </c>
      <c r="I1366" s="3">
        <f>[1]Result_notebook_retravaill!K1366</f>
        <v>535692.9736420305</v>
      </c>
      <c r="J1366" s="3">
        <f>MIN(G1366,[1]Result_notebook_retravaill!I1366)</f>
        <v>13648.97946268387</v>
      </c>
      <c r="K1366" s="3">
        <f>IF([1]Result_notebook_retravaill!I1366&gt;[1]Result_notebook_retravaill!G1366,0,IF([1]Result_notebook_retravaill!I1366+[1]Result_notebook_retravaill!J1366&gt;[1]Result_notebook_retravaill!G1366,[1]Result_notebook_retravaill!G1366-[1]Result_notebook_retravaill!I1366,[1]Result_notebook_retravaill!J1366))</f>
        <v>-1.4551915228366852E-11</v>
      </c>
      <c r="L1366" s="3">
        <f>IF([1]Result_notebook_retravaill!I1366&gt;[1]Result_notebook_retravaill!G1366,0,IF([1]Result_notebook_retravaill!I1366+[1]Result_notebook_retravaill!J1366&gt;[1]Result_notebook_retravaill!G1366,0,[1]Result_notebook_retravaill!M1366))</f>
        <v>235725.20834840211</v>
      </c>
    </row>
    <row r="1367" spans="1:12">
      <c r="A1367">
        <f>[1]Result_notebook_retravaill!A1367</f>
        <v>2040</v>
      </c>
      <c r="B1367" t="str">
        <f>[1]Result_notebook_retravaill!B1367</f>
        <v>Copper</v>
      </c>
      <c r="C1367" t="str">
        <f>[1]Result_notebook_retravaill!C1367</f>
        <v>Canada Net-zero</v>
      </c>
      <c r="D1367" t="str">
        <f>[1]Result_notebook_retravaill!D1367</f>
        <v>Existing production</v>
      </c>
      <c r="E1367" t="str">
        <f>[1]Result_notebook_retravaill!E1367</f>
        <v>Current shares</v>
      </c>
      <c r="F1367" t="str">
        <f>[1]Result_notebook_retravaill!F1367</f>
        <v>NIMBY</v>
      </c>
      <c r="G1367">
        <f>[1]Result_notebook_retravaill!G1367</f>
        <v>1618702.5825368459</v>
      </c>
      <c r="H1367" s="3">
        <f>IF([1]Result_notebook_retravaill!I1367&gt;[1]Result_notebook_retravaill!G1367,[1]Result_notebook_retravaill!I1367/[1]Result_notebook_retravaill!N1367,[1]Result_notebook_retravaill!H1367)</f>
        <v>0</v>
      </c>
      <c r="I1367" s="3">
        <f>[1]Result_notebook_retravaill!K1367</f>
        <v>1950244.0753455979</v>
      </c>
      <c r="J1367" s="3">
        <f>MIN(G1367,[1]Result_notebook_retravaill!I1367)</f>
        <v>0</v>
      </c>
      <c r="K1367" s="3">
        <f>IF([1]Result_notebook_retravaill!I1367&gt;[1]Result_notebook_retravaill!G1367,0,IF([1]Result_notebook_retravaill!I1367+[1]Result_notebook_retravaill!J1367&gt;[1]Result_notebook_retravaill!G1367,[1]Result_notebook_retravaill!G1367-[1]Result_notebook_retravaill!I1367,[1]Result_notebook_retravaill!J1367))</f>
        <v>0</v>
      </c>
      <c r="L1367" s="3">
        <f>IF([1]Result_notebook_retravaill!I1367&gt;[1]Result_notebook_retravaill!G1367,0,IF([1]Result_notebook_retravaill!I1367+[1]Result_notebook_retravaill!J1367&gt;[1]Result_notebook_retravaill!G1367,0,[1]Result_notebook_retravaill!M1367))</f>
        <v>1618702.5825368459</v>
      </c>
    </row>
    <row r="1368" spans="1:12">
      <c r="A1368">
        <f>[1]Result_notebook_retravaill!A1368</f>
        <v>2040</v>
      </c>
      <c r="B1368" t="str">
        <f>[1]Result_notebook_retravaill!B1368</f>
        <v>Copper</v>
      </c>
      <c r="C1368" t="str">
        <f>[1]Result_notebook_retravaill!C1368</f>
        <v>Canada Net-zero</v>
      </c>
      <c r="D1368" t="str">
        <f>[1]Result_notebook_retravaill!D1368</f>
        <v>Existing production</v>
      </c>
      <c r="E1368" t="str">
        <f>[1]Result_notebook_retravaill!E1368</f>
        <v>Current shares</v>
      </c>
      <c r="F1368" t="str">
        <f>[1]Result_notebook_retravaill!F1368</f>
        <v>Status Quo</v>
      </c>
      <c r="G1368">
        <f>[1]Result_notebook_retravaill!G1368</f>
        <v>1618702.5825368459</v>
      </c>
      <c r="H1368" s="3">
        <f>IF([1]Result_notebook_retravaill!I1368&gt;[1]Result_notebook_retravaill!G1368,[1]Result_notebook_retravaill!I1368/[1]Result_notebook_retravaill!N1368,[1]Result_notebook_retravaill!H1368)</f>
        <v>183019</v>
      </c>
      <c r="I1368" s="3">
        <f>[1]Result_notebook_retravaill!K1368</f>
        <v>1767225.0753455979</v>
      </c>
      <c r="J1368" s="3">
        <f>MIN(G1368,[1]Result_notebook_retravaill!I1368)</f>
        <v>96196.376374307525</v>
      </c>
      <c r="K1368" s="3">
        <f>IF([1]Result_notebook_retravaill!I1368&gt;[1]Result_notebook_retravaill!G1368,0,IF([1]Result_notebook_retravaill!I1368+[1]Result_notebook_retravaill!J1368&gt;[1]Result_notebook_retravaill!G1368,[1]Result_notebook_retravaill!G1368-[1]Result_notebook_retravaill!I1368,[1]Result_notebook_retravaill!J1368))</f>
        <v>56577.958371455112</v>
      </c>
      <c r="L1368" s="3">
        <f>IF([1]Result_notebook_retravaill!I1368&gt;[1]Result_notebook_retravaill!G1368,0,IF([1]Result_notebook_retravaill!I1368+[1]Result_notebook_retravaill!J1368&gt;[1]Result_notebook_retravaill!G1368,0,[1]Result_notebook_retravaill!M1368))</f>
        <v>1465928.2477910828</v>
      </c>
    </row>
    <row r="1369" spans="1:12">
      <c r="A1369">
        <f>[1]Result_notebook_retravaill!A1369</f>
        <v>2040</v>
      </c>
      <c r="B1369" t="str">
        <f>[1]Result_notebook_retravaill!B1369</f>
        <v>Copper</v>
      </c>
      <c r="C1369" t="str">
        <f>[1]Result_notebook_retravaill!C1369</f>
        <v>Canada Net-zero</v>
      </c>
      <c r="D1369" t="str">
        <f>[1]Result_notebook_retravaill!D1369</f>
        <v>Production potential</v>
      </c>
      <c r="E1369" t="str">
        <f>[1]Result_notebook_retravaill!E1369</f>
        <v>Current shares</v>
      </c>
      <c r="F1369" t="str">
        <f>[1]Result_notebook_retravaill!F1369</f>
        <v>Expansion Extractive</v>
      </c>
      <c r="G1369">
        <f>[1]Result_notebook_retravaill!G1369</f>
        <v>1618702.5825368459</v>
      </c>
      <c r="H1369" s="3">
        <f>IF([1]Result_notebook_retravaill!I1369&gt;[1]Result_notebook_retravaill!G1369,[1]Result_notebook_retravaill!I1369/[1]Result_notebook_retravaill!N1369,[1]Result_notebook_retravaill!H1369)</f>
        <v>1130208.8349072579</v>
      </c>
      <c r="I1369" s="3">
        <f>[1]Result_notebook_retravaill!K1369</f>
        <v>820035.2404383393</v>
      </c>
      <c r="J1369" s="3">
        <f>MIN(G1369,[1]Result_notebook_retravaill!I1369)</f>
        <v>594047.58229640755</v>
      </c>
      <c r="K1369" s="3">
        <f>IF([1]Result_notebook_retravaill!I1369&gt;[1]Result_notebook_retravaill!G1369,0,IF([1]Result_notebook_retravaill!I1369+[1]Result_notebook_retravaill!J1369&gt;[1]Result_notebook_retravaill!G1369,[1]Result_notebook_retravaill!G1369-[1]Result_notebook_retravaill!I1369,[1]Result_notebook_retravaill!J1369))</f>
        <v>349389.45362193859</v>
      </c>
      <c r="L1369" s="3">
        <f>IF([1]Result_notebook_retravaill!I1369&gt;[1]Result_notebook_retravaill!G1369,0,IF([1]Result_notebook_retravaill!I1369+[1]Result_notebook_retravaill!J1369&gt;[1]Result_notebook_retravaill!G1369,0,[1]Result_notebook_retravaill!M1369))</f>
        <v>675265.54661849944</v>
      </c>
    </row>
    <row r="1370" spans="1:12">
      <c r="A1370">
        <f>[1]Result_notebook_retravaill!A1370</f>
        <v>2040</v>
      </c>
      <c r="B1370" t="str">
        <f>[1]Result_notebook_retravaill!B1370</f>
        <v>Copper</v>
      </c>
      <c r="C1370" t="str">
        <f>[1]Result_notebook_retravaill!C1370</f>
        <v>Canada Net-zero</v>
      </c>
      <c r="D1370" t="str">
        <f>[1]Result_notebook_retravaill!D1370</f>
        <v>Production potential</v>
      </c>
      <c r="E1370" t="str">
        <f>[1]Result_notebook_retravaill!E1370</f>
        <v>Current shares</v>
      </c>
      <c r="F1370" t="str">
        <f>[1]Result_notebook_retravaill!F1370</f>
        <v>Expansion Extractive+Circularity</v>
      </c>
      <c r="G1370">
        <f>[1]Result_notebook_retravaill!G1370</f>
        <v>1618702.5825368459</v>
      </c>
      <c r="H1370" s="3">
        <f>IF([1]Result_notebook_retravaill!I1370&gt;[1]Result_notebook_retravaill!G1370,[1]Result_notebook_retravaill!I1370/[1]Result_notebook_retravaill!N1370,[1]Result_notebook_retravaill!H1370)</f>
        <v>1130208.8349072579</v>
      </c>
      <c r="I1370" s="3">
        <f>[1]Result_notebook_retravaill!K1370</f>
        <v>820035.2404383393</v>
      </c>
      <c r="J1370" s="3">
        <f>MIN(G1370,[1]Result_notebook_retravaill!I1370)</f>
        <v>594047.58229640755</v>
      </c>
      <c r="K1370" s="3">
        <f>IF([1]Result_notebook_retravaill!I1370&gt;[1]Result_notebook_retravaill!G1370,0,IF([1]Result_notebook_retravaill!I1370+[1]Result_notebook_retravaill!J1370&gt;[1]Result_notebook_retravaill!G1370,[1]Result_notebook_retravaill!G1370-[1]Result_notebook_retravaill!I1370,[1]Result_notebook_retravaill!J1370))</f>
        <v>349389.45362193859</v>
      </c>
      <c r="L1370" s="3">
        <f>IF([1]Result_notebook_retravaill!I1370&gt;[1]Result_notebook_retravaill!G1370,0,IF([1]Result_notebook_retravaill!I1370+[1]Result_notebook_retravaill!J1370&gt;[1]Result_notebook_retravaill!G1370,0,[1]Result_notebook_retravaill!M1370))</f>
        <v>675265.54661849944</v>
      </c>
    </row>
    <row r="1371" spans="1:12">
      <c r="A1371">
        <f>[1]Result_notebook_retravaill!A1371</f>
        <v>2040</v>
      </c>
      <c r="B1371" t="str">
        <f>[1]Result_notebook_retravaill!B1371</f>
        <v>Copper</v>
      </c>
      <c r="C1371" t="str">
        <f>[1]Result_notebook_retravaill!C1371</f>
        <v>Canada Net-zero</v>
      </c>
      <c r="D1371" t="str">
        <f>[1]Result_notebook_retravaill!D1371</f>
        <v>Production potential</v>
      </c>
      <c r="E1371" t="str">
        <f>[1]Result_notebook_retravaill!E1371</f>
        <v>100% CAN</v>
      </c>
      <c r="F1371" t="str">
        <f>[1]Result_notebook_retravaill!F1371</f>
        <v>Integrated</v>
      </c>
      <c r="G1371">
        <f>[1]Result_notebook_retravaill!G1371</f>
        <v>1618702.5825368459</v>
      </c>
      <c r="H1371" s="3">
        <f>IF([1]Result_notebook_retravaill!I1371&gt;[1]Result_notebook_retravaill!G1371,[1]Result_notebook_retravaill!I1371/[1]Result_notebook_retravaill!N1371,[1]Result_notebook_retravaill!H1371)</f>
        <v>1130208.8349072579</v>
      </c>
      <c r="I1371" s="3">
        <f>[1]Result_notebook_retravaill!K1371</f>
        <v>820035.2404383393</v>
      </c>
      <c r="J1371" s="3">
        <f>MIN(G1371,[1]Result_notebook_retravaill!I1371)</f>
        <v>943437.03591834707</v>
      </c>
      <c r="K1371" s="3">
        <f>IF([1]Result_notebook_retravaill!I1371&gt;[1]Result_notebook_retravaill!G1371,0,IF([1]Result_notebook_retravaill!I1371+[1]Result_notebook_retravaill!J1371&gt;[1]Result_notebook_retravaill!G1371,[1]Result_notebook_retravaill!G1371-[1]Result_notebook_retravaill!I1371,[1]Result_notebook_retravaill!J1371))</f>
        <v>-9.3132257461547852E-10</v>
      </c>
      <c r="L1371" s="3">
        <f>IF([1]Result_notebook_retravaill!I1371&gt;[1]Result_notebook_retravaill!G1371,0,IF([1]Result_notebook_retravaill!I1371+[1]Result_notebook_retravaill!J1371&gt;[1]Result_notebook_retravaill!G1371,0,[1]Result_notebook_retravaill!M1371))</f>
        <v>675265.54661849979</v>
      </c>
    </row>
    <row r="1372" spans="1:12">
      <c r="A1372">
        <f>[1]Result_notebook_retravaill!A1372</f>
        <v>2040</v>
      </c>
      <c r="B1372" t="str">
        <f>[1]Result_notebook_retravaill!B1372</f>
        <v>Copper</v>
      </c>
      <c r="C1372" t="str">
        <f>[1]Result_notebook_retravaill!C1372</f>
        <v>Current Measures</v>
      </c>
      <c r="D1372" t="str">
        <f>[1]Result_notebook_retravaill!D1372</f>
        <v>Existing production</v>
      </c>
      <c r="E1372" t="str">
        <f>[1]Result_notebook_retravaill!E1372</f>
        <v>Current shares</v>
      </c>
      <c r="F1372" t="str">
        <f>[1]Result_notebook_retravaill!F1372</f>
        <v>NIMBY</v>
      </c>
      <c r="G1372">
        <f>[1]Result_notebook_retravaill!G1372</f>
        <v>1207361.2871372779</v>
      </c>
      <c r="H1372" s="3">
        <f>IF([1]Result_notebook_retravaill!I1372&gt;[1]Result_notebook_retravaill!G1372,[1]Result_notebook_retravaill!I1372/[1]Result_notebook_retravaill!N1372,[1]Result_notebook_retravaill!H1372)</f>
        <v>0</v>
      </c>
      <c r="I1372" s="3">
        <f>[1]Result_notebook_retravaill!K1372</f>
        <v>1454652.153177443</v>
      </c>
      <c r="J1372" s="3">
        <f>MIN(G1372,[1]Result_notebook_retravaill!I1372)</f>
        <v>0</v>
      </c>
      <c r="K1372" s="3">
        <f>IF([1]Result_notebook_retravaill!I1372&gt;[1]Result_notebook_retravaill!G1372,0,IF([1]Result_notebook_retravaill!I1372+[1]Result_notebook_retravaill!J1372&gt;[1]Result_notebook_retravaill!G1372,[1]Result_notebook_retravaill!G1372-[1]Result_notebook_retravaill!I1372,[1]Result_notebook_retravaill!J1372))</f>
        <v>0</v>
      </c>
      <c r="L1372" s="3">
        <f>IF([1]Result_notebook_retravaill!I1372&gt;[1]Result_notebook_retravaill!G1372,0,IF([1]Result_notebook_retravaill!I1372+[1]Result_notebook_retravaill!J1372&gt;[1]Result_notebook_retravaill!G1372,0,[1]Result_notebook_retravaill!M1372))</f>
        <v>1207361.2871372779</v>
      </c>
    </row>
    <row r="1373" spans="1:12">
      <c r="A1373">
        <f>[1]Result_notebook_retravaill!A1373</f>
        <v>2040</v>
      </c>
      <c r="B1373" t="str">
        <f>[1]Result_notebook_retravaill!B1373</f>
        <v>Copper</v>
      </c>
      <c r="C1373" t="str">
        <f>[1]Result_notebook_retravaill!C1373</f>
        <v>Current Measures</v>
      </c>
      <c r="D1373" t="str">
        <f>[1]Result_notebook_retravaill!D1373</f>
        <v>Existing production</v>
      </c>
      <c r="E1373" t="str">
        <f>[1]Result_notebook_retravaill!E1373</f>
        <v>Current shares</v>
      </c>
      <c r="F1373" t="str">
        <f>[1]Result_notebook_retravaill!F1373</f>
        <v>Status Quo</v>
      </c>
      <c r="G1373">
        <f>[1]Result_notebook_retravaill!G1373</f>
        <v>1207361.2871372779</v>
      </c>
      <c r="H1373" s="3">
        <f>IF([1]Result_notebook_retravaill!I1373&gt;[1]Result_notebook_retravaill!G1373,[1]Result_notebook_retravaill!I1373/[1]Result_notebook_retravaill!N1373,[1]Result_notebook_retravaill!H1373)</f>
        <v>183019</v>
      </c>
      <c r="I1373" s="3">
        <f>[1]Result_notebook_retravaill!K1373</f>
        <v>1271633.153177443</v>
      </c>
      <c r="J1373" s="3">
        <f>MIN(G1373,[1]Result_notebook_retravaill!I1373)</f>
        <v>96196.376374307525</v>
      </c>
      <c r="K1373" s="3">
        <f>IF([1]Result_notebook_retravaill!I1373&gt;[1]Result_notebook_retravaill!G1373,0,IF([1]Result_notebook_retravaill!I1373+[1]Result_notebook_retravaill!J1373&gt;[1]Result_notebook_retravaill!G1373,[1]Result_notebook_retravaill!G1373-[1]Result_notebook_retravaill!I1373,[1]Result_notebook_retravaill!J1373))</f>
        <v>56577.958371455112</v>
      </c>
      <c r="L1373" s="3">
        <f>IF([1]Result_notebook_retravaill!I1373&gt;[1]Result_notebook_retravaill!G1373,0,IF([1]Result_notebook_retravaill!I1373+[1]Result_notebook_retravaill!J1373&gt;[1]Result_notebook_retravaill!G1373,0,[1]Result_notebook_retravaill!M1373))</f>
        <v>1054586.952391515</v>
      </c>
    </row>
    <row r="1374" spans="1:12">
      <c r="A1374">
        <f>[1]Result_notebook_retravaill!A1374</f>
        <v>2040</v>
      </c>
      <c r="B1374" t="str">
        <f>[1]Result_notebook_retravaill!B1374</f>
        <v>Copper</v>
      </c>
      <c r="C1374" t="str">
        <f>[1]Result_notebook_retravaill!C1374</f>
        <v>Current Measures</v>
      </c>
      <c r="D1374" t="str">
        <f>[1]Result_notebook_retravaill!D1374</f>
        <v>Production potential</v>
      </c>
      <c r="E1374" t="str">
        <f>[1]Result_notebook_retravaill!E1374</f>
        <v>Current shares</v>
      </c>
      <c r="F1374" t="str">
        <f>[1]Result_notebook_retravaill!F1374</f>
        <v>Expansion Extractive</v>
      </c>
      <c r="G1374">
        <f>[1]Result_notebook_retravaill!G1374</f>
        <v>1207361.2871372779</v>
      </c>
      <c r="H1374" s="3">
        <f>IF([1]Result_notebook_retravaill!I1374&gt;[1]Result_notebook_retravaill!G1374,[1]Result_notebook_retravaill!I1374/[1]Result_notebook_retravaill!N1374,[1]Result_notebook_retravaill!H1374)</f>
        <v>1130208.8349072579</v>
      </c>
      <c r="I1374" s="3">
        <f>[1]Result_notebook_retravaill!K1374</f>
        <v>324443.31827018497</v>
      </c>
      <c r="J1374" s="3">
        <f>MIN(G1374,[1]Result_notebook_retravaill!I1374)</f>
        <v>594047.58229640755</v>
      </c>
      <c r="K1374" s="3">
        <f>IF([1]Result_notebook_retravaill!I1374&gt;[1]Result_notebook_retravaill!G1374,0,IF([1]Result_notebook_retravaill!I1374+[1]Result_notebook_retravaill!J1374&gt;[1]Result_notebook_retravaill!G1374,[1]Result_notebook_retravaill!G1374-[1]Result_notebook_retravaill!I1374,[1]Result_notebook_retravaill!J1374))</f>
        <v>349389.45362193859</v>
      </c>
      <c r="L1374" s="3">
        <f>IF([1]Result_notebook_retravaill!I1374&gt;[1]Result_notebook_retravaill!G1374,0,IF([1]Result_notebook_retravaill!I1374+[1]Result_notebook_retravaill!J1374&gt;[1]Result_notebook_retravaill!G1374,0,[1]Result_notebook_retravaill!M1374))</f>
        <v>263924.25121893175</v>
      </c>
    </row>
    <row r="1375" spans="1:12">
      <c r="A1375">
        <f>[1]Result_notebook_retravaill!A1375</f>
        <v>2040</v>
      </c>
      <c r="B1375" t="str">
        <f>[1]Result_notebook_retravaill!B1375</f>
        <v>Copper</v>
      </c>
      <c r="C1375" t="str">
        <f>[1]Result_notebook_retravaill!C1375</f>
        <v>Current Measures</v>
      </c>
      <c r="D1375" t="str">
        <f>[1]Result_notebook_retravaill!D1375</f>
        <v>Production potential</v>
      </c>
      <c r="E1375" t="str">
        <f>[1]Result_notebook_retravaill!E1375</f>
        <v>Current shares</v>
      </c>
      <c r="F1375" t="str">
        <f>[1]Result_notebook_retravaill!F1375</f>
        <v>Expansion Extractive+Circularity</v>
      </c>
      <c r="G1375">
        <f>[1]Result_notebook_retravaill!G1375</f>
        <v>1207361.2871372779</v>
      </c>
      <c r="H1375" s="3">
        <f>IF([1]Result_notebook_retravaill!I1375&gt;[1]Result_notebook_retravaill!G1375,[1]Result_notebook_retravaill!I1375/[1]Result_notebook_retravaill!N1375,[1]Result_notebook_retravaill!H1375)</f>
        <v>1130208.8349072579</v>
      </c>
      <c r="I1375" s="3">
        <f>[1]Result_notebook_retravaill!K1375</f>
        <v>324443.31827018497</v>
      </c>
      <c r="J1375" s="3">
        <f>MIN(G1375,[1]Result_notebook_retravaill!I1375)</f>
        <v>594047.58229640755</v>
      </c>
      <c r="K1375" s="3">
        <f>IF([1]Result_notebook_retravaill!I1375&gt;[1]Result_notebook_retravaill!G1375,0,IF([1]Result_notebook_retravaill!I1375+[1]Result_notebook_retravaill!J1375&gt;[1]Result_notebook_retravaill!G1375,[1]Result_notebook_retravaill!G1375-[1]Result_notebook_retravaill!I1375,[1]Result_notebook_retravaill!J1375))</f>
        <v>349389.45362193859</v>
      </c>
      <c r="L1375" s="3">
        <f>IF([1]Result_notebook_retravaill!I1375&gt;[1]Result_notebook_retravaill!G1375,0,IF([1]Result_notebook_retravaill!I1375+[1]Result_notebook_retravaill!J1375&gt;[1]Result_notebook_retravaill!G1375,0,[1]Result_notebook_retravaill!M1375))</f>
        <v>263924.25121893175</v>
      </c>
    </row>
    <row r="1376" spans="1:12">
      <c r="A1376">
        <f>[1]Result_notebook_retravaill!A1376</f>
        <v>2040</v>
      </c>
      <c r="B1376" t="str">
        <f>[1]Result_notebook_retravaill!B1376</f>
        <v>Copper</v>
      </c>
      <c r="C1376" t="str">
        <f>[1]Result_notebook_retravaill!C1376</f>
        <v>Current Measures</v>
      </c>
      <c r="D1376" t="str">
        <f>[1]Result_notebook_retravaill!D1376</f>
        <v>Production potential</v>
      </c>
      <c r="E1376" t="str">
        <f>[1]Result_notebook_retravaill!E1376</f>
        <v>100% CAN</v>
      </c>
      <c r="F1376" t="str">
        <f>[1]Result_notebook_retravaill!F1376</f>
        <v>Integrated</v>
      </c>
      <c r="G1376">
        <f>[1]Result_notebook_retravaill!G1376</f>
        <v>1207361.2871372779</v>
      </c>
      <c r="H1376" s="3">
        <f>IF([1]Result_notebook_retravaill!I1376&gt;[1]Result_notebook_retravaill!G1376,[1]Result_notebook_retravaill!I1376/[1]Result_notebook_retravaill!N1376,[1]Result_notebook_retravaill!H1376)</f>
        <v>1130208.8349072579</v>
      </c>
      <c r="I1376" s="3">
        <f>[1]Result_notebook_retravaill!K1376</f>
        <v>324443.31827018497</v>
      </c>
      <c r="J1376" s="3">
        <f>MIN(G1376,[1]Result_notebook_retravaill!I1376)</f>
        <v>943437.03591834707</v>
      </c>
      <c r="K1376" s="3">
        <f>IF([1]Result_notebook_retravaill!I1376&gt;[1]Result_notebook_retravaill!G1376,0,IF([1]Result_notebook_retravaill!I1376+[1]Result_notebook_retravaill!J1376&gt;[1]Result_notebook_retravaill!G1376,[1]Result_notebook_retravaill!G1376-[1]Result_notebook_retravaill!I1376,[1]Result_notebook_retravaill!J1376))</f>
        <v>-9.3132257461547852E-10</v>
      </c>
      <c r="L1376" s="3">
        <f>IF([1]Result_notebook_retravaill!I1376&gt;[1]Result_notebook_retravaill!G1376,0,IF([1]Result_notebook_retravaill!I1376+[1]Result_notebook_retravaill!J1376&gt;[1]Result_notebook_retravaill!G1376,0,[1]Result_notebook_retravaill!M1376))</f>
        <v>263924.25121893175</v>
      </c>
    </row>
    <row r="1377" spans="1:12">
      <c r="A1377">
        <f>[1]Result_notebook_retravaill!A1377</f>
        <v>2040</v>
      </c>
      <c r="B1377" t="str">
        <f>[1]Result_notebook_retravaill!B1377</f>
        <v>Copper</v>
      </c>
      <c r="C1377" t="str">
        <f>[1]Result_notebook_retravaill!C1377</f>
        <v>Global Net-zero</v>
      </c>
      <c r="D1377" t="str">
        <f>[1]Result_notebook_retravaill!D1377</f>
        <v>Existing production</v>
      </c>
      <c r="E1377" t="str">
        <f>[1]Result_notebook_retravaill!E1377</f>
        <v>Current shares</v>
      </c>
      <c r="F1377" t="str">
        <f>[1]Result_notebook_retravaill!F1377</f>
        <v>NIMBY</v>
      </c>
      <c r="G1377">
        <f>[1]Result_notebook_retravaill!G1377</f>
        <v>1514395.2601676511</v>
      </c>
      <c r="H1377" s="3">
        <f>IF([1]Result_notebook_retravaill!I1377&gt;[1]Result_notebook_retravaill!G1377,[1]Result_notebook_retravaill!I1377/[1]Result_notebook_retravaill!N1377,[1]Result_notebook_retravaill!H1377)</f>
        <v>0</v>
      </c>
      <c r="I1377" s="3">
        <f>[1]Result_notebook_retravaill!K1377</f>
        <v>1824572.6026116279</v>
      </c>
      <c r="J1377" s="3">
        <f>MIN(G1377,[1]Result_notebook_retravaill!I1377)</f>
        <v>0</v>
      </c>
      <c r="K1377" s="3">
        <f>IF([1]Result_notebook_retravaill!I1377&gt;[1]Result_notebook_retravaill!G1377,0,IF([1]Result_notebook_retravaill!I1377+[1]Result_notebook_retravaill!J1377&gt;[1]Result_notebook_retravaill!G1377,[1]Result_notebook_retravaill!G1377-[1]Result_notebook_retravaill!I1377,[1]Result_notebook_retravaill!J1377))</f>
        <v>0</v>
      </c>
      <c r="L1377" s="3">
        <f>IF([1]Result_notebook_retravaill!I1377&gt;[1]Result_notebook_retravaill!G1377,0,IF([1]Result_notebook_retravaill!I1377+[1]Result_notebook_retravaill!J1377&gt;[1]Result_notebook_retravaill!G1377,0,[1]Result_notebook_retravaill!M1377))</f>
        <v>1514395.2601676511</v>
      </c>
    </row>
    <row r="1378" spans="1:12">
      <c r="A1378">
        <f>[1]Result_notebook_retravaill!A1378</f>
        <v>2040</v>
      </c>
      <c r="B1378" t="str">
        <f>[1]Result_notebook_retravaill!B1378</f>
        <v>Copper</v>
      </c>
      <c r="C1378" t="str">
        <f>[1]Result_notebook_retravaill!C1378</f>
        <v>Global Net-zero</v>
      </c>
      <c r="D1378" t="str">
        <f>[1]Result_notebook_retravaill!D1378</f>
        <v>Existing production</v>
      </c>
      <c r="E1378" t="str">
        <f>[1]Result_notebook_retravaill!E1378</f>
        <v>Current shares</v>
      </c>
      <c r="F1378" t="str">
        <f>[1]Result_notebook_retravaill!F1378</f>
        <v>Status Quo</v>
      </c>
      <c r="G1378">
        <f>[1]Result_notebook_retravaill!G1378</f>
        <v>1514395.2601676511</v>
      </c>
      <c r="H1378" s="3">
        <f>IF([1]Result_notebook_retravaill!I1378&gt;[1]Result_notebook_retravaill!G1378,[1]Result_notebook_retravaill!I1378/[1]Result_notebook_retravaill!N1378,[1]Result_notebook_retravaill!H1378)</f>
        <v>183019</v>
      </c>
      <c r="I1378" s="3">
        <f>[1]Result_notebook_retravaill!K1378</f>
        <v>1641553.6026116279</v>
      </c>
      <c r="J1378" s="3">
        <f>MIN(G1378,[1]Result_notebook_retravaill!I1378)</f>
        <v>96196.376374307525</v>
      </c>
      <c r="K1378" s="3">
        <f>IF([1]Result_notebook_retravaill!I1378&gt;[1]Result_notebook_retravaill!G1378,0,IF([1]Result_notebook_retravaill!I1378+[1]Result_notebook_retravaill!J1378&gt;[1]Result_notebook_retravaill!G1378,[1]Result_notebook_retravaill!G1378-[1]Result_notebook_retravaill!I1378,[1]Result_notebook_retravaill!J1378))</f>
        <v>56577.958371455112</v>
      </c>
      <c r="L1378" s="3">
        <f>IF([1]Result_notebook_retravaill!I1378&gt;[1]Result_notebook_retravaill!G1378,0,IF([1]Result_notebook_retravaill!I1378+[1]Result_notebook_retravaill!J1378&gt;[1]Result_notebook_retravaill!G1378,0,[1]Result_notebook_retravaill!M1378))</f>
        <v>1361620.9254218889</v>
      </c>
    </row>
    <row r="1379" spans="1:12">
      <c r="A1379">
        <f>[1]Result_notebook_retravaill!A1379</f>
        <v>2040</v>
      </c>
      <c r="B1379" t="str">
        <f>[1]Result_notebook_retravaill!B1379</f>
        <v>Copper</v>
      </c>
      <c r="C1379" t="str">
        <f>[1]Result_notebook_retravaill!C1379</f>
        <v>Global Net-zero</v>
      </c>
      <c r="D1379" t="str">
        <f>[1]Result_notebook_retravaill!D1379</f>
        <v>Production potential</v>
      </c>
      <c r="E1379" t="str">
        <f>[1]Result_notebook_retravaill!E1379</f>
        <v>Current shares</v>
      </c>
      <c r="F1379" t="str">
        <f>[1]Result_notebook_retravaill!F1379</f>
        <v>Expansion Extractive</v>
      </c>
      <c r="G1379">
        <f>[1]Result_notebook_retravaill!G1379</f>
        <v>1514395.2601676511</v>
      </c>
      <c r="H1379" s="3">
        <f>IF([1]Result_notebook_retravaill!I1379&gt;[1]Result_notebook_retravaill!G1379,[1]Result_notebook_retravaill!I1379/[1]Result_notebook_retravaill!N1379,[1]Result_notebook_retravaill!H1379)</f>
        <v>1130208.8349072579</v>
      </c>
      <c r="I1379" s="3">
        <f>[1]Result_notebook_retravaill!K1379</f>
        <v>694363.7677043695</v>
      </c>
      <c r="J1379" s="3">
        <f>MIN(G1379,[1]Result_notebook_retravaill!I1379)</f>
        <v>594047.58229640755</v>
      </c>
      <c r="K1379" s="3">
        <f>IF([1]Result_notebook_retravaill!I1379&gt;[1]Result_notebook_retravaill!G1379,0,IF([1]Result_notebook_retravaill!I1379+[1]Result_notebook_retravaill!J1379&gt;[1]Result_notebook_retravaill!G1379,[1]Result_notebook_retravaill!G1379-[1]Result_notebook_retravaill!I1379,[1]Result_notebook_retravaill!J1379))</f>
        <v>349389.45362193859</v>
      </c>
      <c r="L1379" s="3">
        <f>IF([1]Result_notebook_retravaill!I1379&gt;[1]Result_notebook_retravaill!G1379,0,IF([1]Result_notebook_retravaill!I1379+[1]Result_notebook_retravaill!J1379&gt;[1]Result_notebook_retravaill!G1379,0,[1]Result_notebook_retravaill!M1379))</f>
        <v>570958.22424930497</v>
      </c>
    </row>
    <row r="1380" spans="1:12">
      <c r="A1380">
        <f>[1]Result_notebook_retravaill!A1380</f>
        <v>2040</v>
      </c>
      <c r="B1380" t="str">
        <f>[1]Result_notebook_retravaill!B1380</f>
        <v>Copper</v>
      </c>
      <c r="C1380" t="str">
        <f>[1]Result_notebook_retravaill!C1380</f>
        <v>Global Net-zero</v>
      </c>
      <c r="D1380" t="str">
        <f>[1]Result_notebook_retravaill!D1380</f>
        <v>Production potential</v>
      </c>
      <c r="E1380" t="str">
        <f>[1]Result_notebook_retravaill!E1380</f>
        <v>Current shares</v>
      </c>
      <c r="F1380" t="str">
        <f>[1]Result_notebook_retravaill!F1380</f>
        <v>Expansion Extractive+Circularity</v>
      </c>
      <c r="G1380">
        <f>[1]Result_notebook_retravaill!G1380</f>
        <v>1514395.2601676511</v>
      </c>
      <c r="H1380" s="3">
        <f>IF([1]Result_notebook_retravaill!I1380&gt;[1]Result_notebook_retravaill!G1380,[1]Result_notebook_retravaill!I1380/[1]Result_notebook_retravaill!N1380,[1]Result_notebook_retravaill!H1380)</f>
        <v>1130208.8349072579</v>
      </c>
      <c r="I1380" s="3">
        <f>[1]Result_notebook_retravaill!K1380</f>
        <v>694363.7677043695</v>
      </c>
      <c r="J1380" s="3">
        <f>MIN(G1380,[1]Result_notebook_retravaill!I1380)</f>
        <v>594047.58229640755</v>
      </c>
      <c r="K1380" s="3">
        <f>IF([1]Result_notebook_retravaill!I1380&gt;[1]Result_notebook_retravaill!G1380,0,IF([1]Result_notebook_retravaill!I1380+[1]Result_notebook_retravaill!J1380&gt;[1]Result_notebook_retravaill!G1380,[1]Result_notebook_retravaill!G1380-[1]Result_notebook_retravaill!I1380,[1]Result_notebook_retravaill!J1380))</f>
        <v>349389.45362193859</v>
      </c>
      <c r="L1380" s="3">
        <f>IF([1]Result_notebook_retravaill!I1380&gt;[1]Result_notebook_retravaill!G1380,0,IF([1]Result_notebook_retravaill!I1380+[1]Result_notebook_retravaill!J1380&gt;[1]Result_notebook_retravaill!G1380,0,[1]Result_notebook_retravaill!M1380))</f>
        <v>570958.22424930497</v>
      </c>
    </row>
    <row r="1381" spans="1:12">
      <c r="A1381">
        <f>[1]Result_notebook_retravaill!A1381</f>
        <v>2040</v>
      </c>
      <c r="B1381" t="str">
        <f>[1]Result_notebook_retravaill!B1381</f>
        <v>Copper</v>
      </c>
      <c r="C1381" t="str">
        <f>[1]Result_notebook_retravaill!C1381</f>
        <v>Global Net-zero</v>
      </c>
      <c r="D1381" t="str">
        <f>[1]Result_notebook_retravaill!D1381</f>
        <v>Production potential</v>
      </c>
      <c r="E1381" t="str">
        <f>[1]Result_notebook_retravaill!E1381</f>
        <v>100% CAN</v>
      </c>
      <c r="F1381" t="str">
        <f>[1]Result_notebook_retravaill!F1381</f>
        <v>Integrated</v>
      </c>
      <c r="G1381">
        <f>[1]Result_notebook_retravaill!G1381</f>
        <v>1514395.2601676511</v>
      </c>
      <c r="H1381" s="3">
        <f>IF([1]Result_notebook_retravaill!I1381&gt;[1]Result_notebook_retravaill!G1381,[1]Result_notebook_retravaill!I1381/[1]Result_notebook_retravaill!N1381,[1]Result_notebook_retravaill!H1381)</f>
        <v>1130208.8349072579</v>
      </c>
      <c r="I1381" s="3">
        <f>[1]Result_notebook_retravaill!K1381</f>
        <v>694363.7677043695</v>
      </c>
      <c r="J1381" s="3">
        <f>MIN(G1381,[1]Result_notebook_retravaill!I1381)</f>
        <v>943437.03591834707</v>
      </c>
      <c r="K1381" s="3">
        <f>IF([1]Result_notebook_retravaill!I1381&gt;[1]Result_notebook_retravaill!G1381,0,IF([1]Result_notebook_retravaill!I1381+[1]Result_notebook_retravaill!J1381&gt;[1]Result_notebook_retravaill!G1381,[1]Result_notebook_retravaill!G1381-[1]Result_notebook_retravaill!I1381,[1]Result_notebook_retravaill!J1381))</f>
        <v>-9.3132257461547852E-10</v>
      </c>
      <c r="L1381" s="3">
        <f>IF([1]Result_notebook_retravaill!I1381&gt;[1]Result_notebook_retravaill!G1381,0,IF([1]Result_notebook_retravaill!I1381+[1]Result_notebook_retravaill!J1381&gt;[1]Result_notebook_retravaill!G1381,0,[1]Result_notebook_retravaill!M1381))</f>
        <v>570958.22424930497</v>
      </c>
    </row>
    <row r="1382" spans="1:12">
      <c r="A1382">
        <f>[1]Result_notebook_retravaill!A1382</f>
        <v>2040</v>
      </c>
      <c r="B1382" t="str">
        <f>[1]Result_notebook_retravaill!B1382</f>
        <v>Neodymium</v>
      </c>
      <c r="C1382" t="str">
        <f>[1]Result_notebook_retravaill!C1382</f>
        <v>Canada Net-zero</v>
      </c>
      <c r="D1382" t="str">
        <f>[1]Result_notebook_retravaill!D1382</f>
        <v>Existing production</v>
      </c>
      <c r="E1382" t="str">
        <f>[1]Result_notebook_retravaill!E1382</f>
        <v>Current shares</v>
      </c>
      <c r="F1382" t="str">
        <f>[1]Result_notebook_retravaill!F1382</f>
        <v>NIMBY</v>
      </c>
      <c r="G1382">
        <f>[1]Result_notebook_retravaill!G1382</f>
        <v>7369.5086049161637</v>
      </c>
      <c r="H1382" s="3">
        <f>IF([1]Result_notebook_retravaill!I1382&gt;[1]Result_notebook_retravaill!G1382,[1]Result_notebook_retravaill!I1382/[1]Result_notebook_retravaill!N1382,[1]Result_notebook_retravaill!H1382)</f>
        <v>0</v>
      </c>
      <c r="I1382" s="3">
        <f>[1]Result_notebook_retravaill!K1382</f>
        <v>12282.514341526939</v>
      </c>
      <c r="J1382" s="3">
        <f>MIN(G1382,[1]Result_notebook_retravaill!I1382)</f>
        <v>0</v>
      </c>
      <c r="K1382" s="3">
        <f>IF([1]Result_notebook_retravaill!I1382&gt;[1]Result_notebook_retravaill!G1382,0,IF([1]Result_notebook_retravaill!I1382+[1]Result_notebook_retravaill!J1382&gt;[1]Result_notebook_retravaill!G1382,[1]Result_notebook_retravaill!G1382-[1]Result_notebook_retravaill!I1382,[1]Result_notebook_retravaill!J1382))</f>
        <v>0</v>
      </c>
      <c r="L1382" s="3">
        <f>IF([1]Result_notebook_retravaill!I1382&gt;[1]Result_notebook_retravaill!G1382,0,IF([1]Result_notebook_retravaill!I1382+[1]Result_notebook_retravaill!J1382&gt;[1]Result_notebook_retravaill!G1382,0,[1]Result_notebook_retravaill!M1382))</f>
        <v>7369.5086049161637</v>
      </c>
    </row>
    <row r="1383" spans="1:12">
      <c r="A1383">
        <f>[1]Result_notebook_retravaill!A1383</f>
        <v>2040</v>
      </c>
      <c r="B1383" t="str">
        <f>[1]Result_notebook_retravaill!B1383</f>
        <v>Neodymium</v>
      </c>
      <c r="C1383" t="str">
        <f>[1]Result_notebook_retravaill!C1383</f>
        <v>Canada Net-zero</v>
      </c>
      <c r="D1383" t="str">
        <f>[1]Result_notebook_retravaill!D1383</f>
        <v>Existing production</v>
      </c>
      <c r="E1383" t="str">
        <f>[1]Result_notebook_retravaill!E1383</f>
        <v>Current shares</v>
      </c>
      <c r="F1383" t="str">
        <f>[1]Result_notebook_retravaill!F1383</f>
        <v>Status Quo</v>
      </c>
      <c r="G1383">
        <f>[1]Result_notebook_retravaill!G1383</f>
        <v>7369.5086049161637</v>
      </c>
      <c r="H1383" s="3">
        <f>IF([1]Result_notebook_retravaill!I1383&gt;[1]Result_notebook_retravaill!G1383,[1]Result_notebook_retravaill!I1383/[1]Result_notebook_retravaill!N1383,[1]Result_notebook_retravaill!H1383)</f>
        <v>0</v>
      </c>
      <c r="I1383" s="3">
        <f>[1]Result_notebook_retravaill!K1383</f>
        <v>12282.514341526939</v>
      </c>
      <c r="J1383" s="3">
        <f>MIN(G1383,[1]Result_notebook_retravaill!I1383)</f>
        <v>0</v>
      </c>
      <c r="K1383" s="3">
        <f>IF([1]Result_notebook_retravaill!I1383&gt;[1]Result_notebook_retravaill!G1383,0,IF([1]Result_notebook_retravaill!I1383+[1]Result_notebook_retravaill!J1383&gt;[1]Result_notebook_retravaill!G1383,[1]Result_notebook_retravaill!G1383-[1]Result_notebook_retravaill!I1383,[1]Result_notebook_retravaill!J1383))</f>
        <v>0</v>
      </c>
      <c r="L1383" s="3">
        <f>IF([1]Result_notebook_retravaill!I1383&gt;[1]Result_notebook_retravaill!G1383,0,IF([1]Result_notebook_retravaill!I1383+[1]Result_notebook_retravaill!J1383&gt;[1]Result_notebook_retravaill!G1383,0,[1]Result_notebook_retravaill!M1383))</f>
        <v>7369.5086049161637</v>
      </c>
    </row>
    <row r="1384" spans="1:12">
      <c r="A1384">
        <f>[1]Result_notebook_retravaill!A1384</f>
        <v>2040</v>
      </c>
      <c r="B1384" t="str">
        <f>[1]Result_notebook_retravaill!B1384</f>
        <v>Neodymium</v>
      </c>
      <c r="C1384" t="str">
        <f>[1]Result_notebook_retravaill!C1384</f>
        <v>Canada Net-zero</v>
      </c>
      <c r="D1384" t="str">
        <f>[1]Result_notebook_retravaill!D1384</f>
        <v>Production potential</v>
      </c>
      <c r="E1384" t="str">
        <f>[1]Result_notebook_retravaill!E1384</f>
        <v>Current shares</v>
      </c>
      <c r="F1384" t="str">
        <f>[1]Result_notebook_retravaill!F1384</f>
        <v>Expansion Extractive</v>
      </c>
      <c r="G1384">
        <f>[1]Result_notebook_retravaill!G1384</f>
        <v>7369.5086049161637</v>
      </c>
      <c r="H1384" s="3">
        <f>IF([1]Result_notebook_retravaill!I1384&gt;[1]Result_notebook_retravaill!G1384,[1]Result_notebook_retravaill!I1384/[1]Result_notebook_retravaill!N1384,[1]Result_notebook_retravaill!H1384)</f>
        <v>431.78438910419823</v>
      </c>
      <c r="I1384" s="3">
        <f>[1]Result_notebook_retravaill!K1384</f>
        <v>11850.72995242274</v>
      </c>
      <c r="J1384" s="3">
        <f>MIN(G1384,[1]Result_notebook_retravaill!I1384)</f>
        <v>258.44191825419398</v>
      </c>
      <c r="K1384" s="3">
        <f>IF([1]Result_notebook_retravaill!I1384&gt;[1]Result_notebook_retravaill!G1384,0,IF([1]Result_notebook_retravaill!I1384+[1]Result_notebook_retravaill!J1384&gt;[1]Result_notebook_retravaill!G1384,[1]Result_notebook_retravaill!G1384-[1]Result_notebook_retravaill!I1384,[1]Result_notebook_retravaill!J1384))</f>
        <v>173.34247085000425</v>
      </c>
      <c r="L1384" s="3">
        <f>IF([1]Result_notebook_retravaill!I1384&gt;[1]Result_notebook_retravaill!G1384,0,IF([1]Result_notebook_retravaill!I1384+[1]Result_notebook_retravaill!J1384&gt;[1]Result_notebook_retravaill!G1384,0,[1]Result_notebook_retravaill!M1384))</f>
        <v>6937.7242158119643</v>
      </c>
    </row>
    <row r="1385" spans="1:12">
      <c r="A1385">
        <f>[1]Result_notebook_retravaill!A1385</f>
        <v>2040</v>
      </c>
      <c r="B1385" t="str">
        <f>[1]Result_notebook_retravaill!B1385</f>
        <v>Neodymium</v>
      </c>
      <c r="C1385" t="str">
        <f>[1]Result_notebook_retravaill!C1385</f>
        <v>Canada Net-zero</v>
      </c>
      <c r="D1385" t="str">
        <f>[1]Result_notebook_retravaill!D1385</f>
        <v>Production potential</v>
      </c>
      <c r="E1385" t="str">
        <f>[1]Result_notebook_retravaill!E1385</f>
        <v>Current shares</v>
      </c>
      <c r="F1385" t="str">
        <f>[1]Result_notebook_retravaill!F1385</f>
        <v>Expansion Extractive+Circularity</v>
      </c>
      <c r="G1385">
        <f>[1]Result_notebook_retravaill!G1385</f>
        <v>7369.5086049161637</v>
      </c>
      <c r="H1385" s="3">
        <f>IF([1]Result_notebook_retravaill!I1385&gt;[1]Result_notebook_retravaill!G1385,[1]Result_notebook_retravaill!I1385/[1]Result_notebook_retravaill!N1385,[1]Result_notebook_retravaill!H1385)</f>
        <v>431.78438910419823</v>
      </c>
      <c r="I1385" s="3">
        <f>[1]Result_notebook_retravaill!K1385</f>
        <v>11850.72995242274</v>
      </c>
      <c r="J1385" s="3">
        <f>MIN(G1385,[1]Result_notebook_retravaill!I1385)</f>
        <v>258.44191825419398</v>
      </c>
      <c r="K1385" s="3">
        <f>IF([1]Result_notebook_retravaill!I1385&gt;[1]Result_notebook_retravaill!G1385,0,IF([1]Result_notebook_retravaill!I1385+[1]Result_notebook_retravaill!J1385&gt;[1]Result_notebook_retravaill!G1385,[1]Result_notebook_retravaill!G1385-[1]Result_notebook_retravaill!I1385,[1]Result_notebook_retravaill!J1385))</f>
        <v>173.34247085000425</v>
      </c>
      <c r="L1385" s="3">
        <f>IF([1]Result_notebook_retravaill!I1385&gt;[1]Result_notebook_retravaill!G1385,0,IF([1]Result_notebook_retravaill!I1385+[1]Result_notebook_retravaill!J1385&gt;[1]Result_notebook_retravaill!G1385,0,[1]Result_notebook_retravaill!M1385))</f>
        <v>6937.7242158119643</v>
      </c>
    </row>
    <row r="1386" spans="1:12">
      <c r="A1386">
        <f>[1]Result_notebook_retravaill!A1386</f>
        <v>2040</v>
      </c>
      <c r="B1386" t="str">
        <f>[1]Result_notebook_retravaill!B1386</f>
        <v>Neodymium</v>
      </c>
      <c r="C1386" t="str">
        <f>[1]Result_notebook_retravaill!C1386</f>
        <v>Canada Net-zero</v>
      </c>
      <c r="D1386" t="str">
        <f>[1]Result_notebook_retravaill!D1386</f>
        <v>Production potential</v>
      </c>
      <c r="E1386" t="str">
        <f>[1]Result_notebook_retravaill!E1386</f>
        <v>100% CAN</v>
      </c>
      <c r="F1386" t="str">
        <f>[1]Result_notebook_retravaill!F1386</f>
        <v>Integrated</v>
      </c>
      <c r="G1386">
        <f>[1]Result_notebook_retravaill!G1386</f>
        <v>7369.5086049161637</v>
      </c>
      <c r="H1386" s="3">
        <f>IF([1]Result_notebook_retravaill!I1386&gt;[1]Result_notebook_retravaill!G1386,[1]Result_notebook_retravaill!I1386/[1]Result_notebook_retravaill!N1386,[1]Result_notebook_retravaill!H1386)</f>
        <v>431.78438910419823</v>
      </c>
      <c r="I1386" s="3">
        <f>[1]Result_notebook_retravaill!K1386</f>
        <v>11850.72995242274</v>
      </c>
      <c r="J1386" s="3">
        <f>MIN(G1386,[1]Result_notebook_retravaill!I1386)</f>
        <v>258.44191825419398</v>
      </c>
      <c r="K1386" s="3">
        <f>IF([1]Result_notebook_retravaill!I1386&gt;[1]Result_notebook_retravaill!G1386,0,IF([1]Result_notebook_retravaill!I1386+[1]Result_notebook_retravaill!J1386&gt;[1]Result_notebook_retravaill!G1386,[1]Result_notebook_retravaill!G1386-[1]Result_notebook_retravaill!I1386,[1]Result_notebook_retravaill!J1386))</f>
        <v>173.34247085000425</v>
      </c>
      <c r="L1386" s="3">
        <f>IF([1]Result_notebook_retravaill!I1386&gt;[1]Result_notebook_retravaill!G1386,0,IF([1]Result_notebook_retravaill!I1386+[1]Result_notebook_retravaill!J1386&gt;[1]Result_notebook_retravaill!G1386,0,[1]Result_notebook_retravaill!M1386))</f>
        <v>6937.7242158119643</v>
      </c>
    </row>
    <row r="1387" spans="1:12">
      <c r="A1387">
        <f>[1]Result_notebook_retravaill!A1387</f>
        <v>2040</v>
      </c>
      <c r="B1387" t="str">
        <f>[1]Result_notebook_retravaill!B1387</f>
        <v>Neodymium</v>
      </c>
      <c r="C1387" t="str">
        <f>[1]Result_notebook_retravaill!C1387</f>
        <v>Current Measures</v>
      </c>
      <c r="D1387" t="str">
        <f>[1]Result_notebook_retravaill!D1387</f>
        <v>Existing production</v>
      </c>
      <c r="E1387" t="str">
        <f>[1]Result_notebook_retravaill!E1387</f>
        <v>Current shares</v>
      </c>
      <c r="F1387" t="str">
        <f>[1]Result_notebook_retravaill!F1387</f>
        <v>NIMBY</v>
      </c>
      <c r="G1387">
        <f>[1]Result_notebook_retravaill!G1387</f>
        <v>2445.526520040336</v>
      </c>
      <c r="H1387" s="3">
        <f>IF([1]Result_notebook_retravaill!I1387&gt;[1]Result_notebook_retravaill!G1387,[1]Result_notebook_retravaill!I1387/[1]Result_notebook_retravaill!N1387,[1]Result_notebook_retravaill!H1387)</f>
        <v>0</v>
      </c>
      <c r="I1387" s="3">
        <f>[1]Result_notebook_retravaill!K1387</f>
        <v>4075.87753340056</v>
      </c>
      <c r="J1387" s="3">
        <f>MIN(G1387,[1]Result_notebook_retravaill!I1387)</f>
        <v>0</v>
      </c>
      <c r="K1387" s="3">
        <f>IF([1]Result_notebook_retravaill!I1387&gt;[1]Result_notebook_retravaill!G1387,0,IF([1]Result_notebook_retravaill!I1387+[1]Result_notebook_retravaill!J1387&gt;[1]Result_notebook_retravaill!G1387,[1]Result_notebook_retravaill!G1387-[1]Result_notebook_retravaill!I1387,[1]Result_notebook_retravaill!J1387))</f>
        <v>0</v>
      </c>
      <c r="L1387" s="3">
        <f>IF([1]Result_notebook_retravaill!I1387&gt;[1]Result_notebook_retravaill!G1387,0,IF([1]Result_notebook_retravaill!I1387+[1]Result_notebook_retravaill!J1387&gt;[1]Result_notebook_retravaill!G1387,0,[1]Result_notebook_retravaill!M1387))</f>
        <v>2445.526520040336</v>
      </c>
    </row>
    <row r="1388" spans="1:12">
      <c r="A1388">
        <f>[1]Result_notebook_retravaill!A1388</f>
        <v>2040</v>
      </c>
      <c r="B1388" t="str">
        <f>[1]Result_notebook_retravaill!B1388</f>
        <v>Neodymium</v>
      </c>
      <c r="C1388" t="str">
        <f>[1]Result_notebook_retravaill!C1388</f>
        <v>Current Measures</v>
      </c>
      <c r="D1388" t="str">
        <f>[1]Result_notebook_retravaill!D1388</f>
        <v>Existing production</v>
      </c>
      <c r="E1388" t="str">
        <f>[1]Result_notebook_retravaill!E1388</f>
        <v>Current shares</v>
      </c>
      <c r="F1388" t="str">
        <f>[1]Result_notebook_retravaill!F1388</f>
        <v>Status Quo</v>
      </c>
      <c r="G1388">
        <f>[1]Result_notebook_retravaill!G1388</f>
        <v>2445.526520040336</v>
      </c>
      <c r="H1388" s="3">
        <f>IF([1]Result_notebook_retravaill!I1388&gt;[1]Result_notebook_retravaill!G1388,[1]Result_notebook_retravaill!I1388/[1]Result_notebook_retravaill!N1388,[1]Result_notebook_retravaill!H1388)</f>
        <v>0</v>
      </c>
      <c r="I1388" s="3">
        <f>[1]Result_notebook_retravaill!K1388</f>
        <v>4075.87753340056</v>
      </c>
      <c r="J1388" s="3">
        <f>MIN(G1388,[1]Result_notebook_retravaill!I1388)</f>
        <v>0</v>
      </c>
      <c r="K1388" s="3">
        <f>IF([1]Result_notebook_retravaill!I1388&gt;[1]Result_notebook_retravaill!G1388,0,IF([1]Result_notebook_retravaill!I1388+[1]Result_notebook_retravaill!J1388&gt;[1]Result_notebook_retravaill!G1388,[1]Result_notebook_retravaill!G1388-[1]Result_notebook_retravaill!I1388,[1]Result_notebook_retravaill!J1388))</f>
        <v>0</v>
      </c>
      <c r="L1388" s="3">
        <f>IF([1]Result_notebook_retravaill!I1388&gt;[1]Result_notebook_retravaill!G1388,0,IF([1]Result_notebook_retravaill!I1388+[1]Result_notebook_retravaill!J1388&gt;[1]Result_notebook_retravaill!G1388,0,[1]Result_notebook_retravaill!M1388))</f>
        <v>2445.526520040336</v>
      </c>
    </row>
    <row r="1389" spans="1:12">
      <c r="A1389">
        <f>[1]Result_notebook_retravaill!A1389</f>
        <v>2040</v>
      </c>
      <c r="B1389" t="str">
        <f>[1]Result_notebook_retravaill!B1389</f>
        <v>Neodymium</v>
      </c>
      <c r="C1389" t="str">
        <f>[1]Result_notebook_retravaill!C1389</f>
        <v>Current Measures</v>
      </c>
      <c r="D1389" t="str">
        <f>[1]Result_notebook_retravaill!D1389</f>
        <v>Production potential</v>
      </c>
      <c r="E1389" t="str">
        <f>[1]Result_notebook_retravaill!E1389</f>
        <v>Current shares</v>
      </c>
      <c r="F1389" t="str">
        <f>[1]Result_notebook_retravaill!F1389</f>
        <v>Expansion Extractive</v>
      </c>
      <c r="G1389">
        <f>[1]Result_notebook_retravaill!G1389</f>
        <v>2445.526520040336</v>
      </c>
      <c r="H1389" s="3">
        <f>IF([1]Result_notebook_retravaill!I1389&gt;[1]Result_notebook_retravaill!G1389,[1]Result_notebook_retravaill!I1389/[1]Result_notebook_retravaill!N1389,[1]Result_notebook_retravaill!H1389)</f>
        <v>431.78438910419823</v>
      </c>
      <c r="I1389" s="3">
        <f>[1]Result_notebook_retravaill!K1389</f>
        <v>3644.093144296362</v>
      </c>
      <c r="J1389" s="3">
        <f>MIN(G1389,[1]Result_notebook_retravaill!I1389)</f>
        <v>258.44191825419398</v>
      </c>
      <c r="K1389" s="3">
        <f>IF([1]Result_notebook_retravaill!I1389&gt;[1]Result_notebook_retravaill!G1389,0,IF([1]Result_notebook_retravaill!I1389+[1]Result_notebook_retravaill!J1389&gt;[1]Result_notebook_retravaill!G1389,[1]Result_notebook_retravaill!G1389-[1]Result_notebook_retravaill!I1389,[1]Result_notebook_retravaill!J1389))</f>
        <v>173.34247085000425</v>
      </c>
      <c r="L1389" s="3">
        <f>IF([1]Result_notebook_retravaill!I1389&gt;[1]Result_notebook_retravaill!G1389,0,IF([1]Result_notebook_retravaill!I1389+[1]Result_notebook_retravaill!J1389&gt;[1]Result_notebook_retravaill!G1389,0,[1]Result_notebook_retravaill!M1389))</f>
        <v>2013.7421309361375</v>
      </c>
    </row>
    <row r="1390" spans="1:12">
      <c r="A1390">
        <f>[1]Result_notebook_retravaill!A1390</f>
        <v>2040</v>
      </c>
      <c r="B1390" t="str">
        <f>[1]Result_notebook_retravaill!B1390</f>
        <v>Neodymium</v>
      </c>
      <c r="C1390" t="str">
        <f>[1]Result_notebook_retravaill!C1390</f>
        <v>Current Measures</v>
      </c>
      <c r="D1390" t="str">
        <f>[1]Result_notebook_retravaill!D1390</f>
        <v>Production potential</v>
      </c>
      <c r="E1390" t="str">
        <f>[1]Result_notebook_retravaill!E1390</f>
        <v>Current shares</v>
      </c>
      <c r="F1390" t="str">
        <f>[1]Result_notebook_retravaill!F1390</f>
        <v>Expansion Extractive+Circularity</v>
      </c>
      <c r="G1390">
        <f>[1]Result_notebook_retravaill!G1390</f>
        <v>2445.526520040336</v>
      </c>
      <c r="H1390" s="3">
        <f>IF([1]Result_notebook_retravaill!I1390&gt;[1]Result_notebook_retravaill!G1390,[1]Result_notebook_retravaill!I1390/[1]Result_notebook_retravaill!N1390,[1]Result_notebook_retravaill!H1390)</f>
        <v>431.78438910419823</v>
      </c>
      <c r="I1390" s="3">
        <f>[1]Result_notebook_retravaill!K1390</f>
        <v>3644.093144296362</v>
      </c>
      <c r="J1390" s="3">
        <f>MIN(G1390,[1]Result_notebook_retravaill!I1390)</f>
        <v>258.44191825419398</v>
      </c>
      <c r="K1390" s="3">
        <f>IF([1]Result_notebook_retravaill!I1390&gt;[1]Result_notebook_retravaill!G1390,0,IF([1]Result_notebook_retravaill!I1390+[1]Result_notebook_retravaill!J1390&gt;[1]Result_notebook_retravaill!G1390,[1]Result_notebook_retravaill!G1390-[1]Result_notebook_retravaill!I1390,[1]Result_notebook_retravaill!J1390))</f>
        <v>173.34247085000425</v>
      </c>
      <c r="L1390" s="3">
        <f>IF([1]Result_notebook_retravaill!I1390&gt;[1]Result_notebook_retravaill!G1390,0,IF([1]Result_notebook_retravaill!I1390+[1]Result_notebook_retravaill!J1390&gt;[1]Result_notebook_retravaill!G1390,0,[1]Result_notebook_retravaill!M1390))</f>
        <v>2013.7421309361375</v>
      </c>
    </row>
    <row r="1391" spans="1:12">
      <c r="A1391">
        <f>[1]Result_notebook_retravaill!A1391</f>
        <v>2040</v>
      </c>
      <c r="B1391" t="str">
        <f>[1]Result_notebook_retravaill!B1391</f>
        <v>Neodymium</v>
      </c>
      <c r="C1391" t="str">
        <f>[1]Result_notebook_retravaill!C1391</f>
        <v>Current Measures</v>
      </c>
      <c r="D1391" t="str">
        <f>[1]Result_notebook_retravaill!D1391</f>
        <v>Production potential</v>
      </c>
      <c r="E1391" t="str">
        <f>[1]Result_notebook_retravaill!E1391</f>
        <v>100% CAN</v>
      </c>
      <c r="F1391" t="str">
        <f>[1]Result_notebook_retravaill!F1391</f>
        <v>Integrated</v>
      </c>
      <c r="G1391">
        <f>[1]Result_notebook_retravaill!G1391</f>
        <v>2445.526520040336</v>
      </c>
      <c r="H1391" s="3">
        <f>IF([1]Result_notebook_retravaill!I1391&gt;[1]Result_notebook_retravaill!G1391,[1]Result_notebook_retravaill!I1391/[1]Result_notebook_retravaill!N1391,[1]Result_notebook_retravaill!H1391)</f>
        <v>431.78438910419823</v>
      </c>
      <c r="I1391" s="3">
        <f>[1]Result_notebook_retravaill!K1391</f>
        <v>3644.093144296362</v>
      </c>
      <c r="J1391" s="3">
        <f>MIN(G1391,[1]Result_notebook_retravaill!I1391)</f>
        <v>258.44191825419398</v>
      </c>
      <c r="K1391" s="3">
        <f>IF([1]Result_notebook_retravaill!I1391&gt;[1]Result_notebook_retravaill!G1391,0,IF([1]Result_notebook_retravaill!I1391+[1]Result_notebook_retravaill!J1391&gt;[1]Result_notebook_retravaill!G1391,[1]Result_notebook_retravaill!G1391-[1]Result_notebook_retravaill!I1391,[1]Result_notebook_retravaill!J1391))</f>
        <v>173.34247085000425</v>
      </c>
      <c r="L1391" s="3">
        <f>IF([1]Result_notebook_retravaill!I1391&gt;[1]Result_notebook_retravaill!G1391,0,IF([1]Result_notebook_retravaill!I1391+[1]Result_notebook_retravaill!J1391&gt;[1]Result_notebook_retravaill!G1391,0,[1]Result_notebook_retravaill!M1391))</f>
        <v>2013.7421309361375</v>
      </c>
    </row>
    <row r="1392" spans="1:12">
      <c r="A1392">
        <f>[1]Result_notebook_retravaill!A1392</f>
        <v>2040</v>
      </c>
      <c r="B1392" t="str">
        <f>[1]Result_notebook_retravaill!B1392</f>
        <v>Neodymium</v>
      </c>
      <c r="C1392" t="str">
        <f>[1]Result_notebook_retravaill!C1392</f>
        <v>Global Net-zero</v>
      </c>
      <c r="D1392" t="str">
        <f>[1]Result_notebook_retravaill!D1392</f>
        <v>Existing production</v>
      </c>
      <c r="E1392" t="str">
        <f>[1]Result_notebook_retravaill!E1392</f>
        <v>Current shares</v>
      </c>
      <c r="F1392" t="str">
        <f>[1]Result_notebook_retravaill!F1392</f>
        <v>NIMBY</v>
      </c>
      <c r="G1392">
        <f>[1]Result_notebook_retravaill!G1392</f>
        <v>7054.8876969569083</v>
      </c>
      <c r="H1392" s="3">
        <f>IF([1]Result_notebook_retravaill!I1392&gt;[1]Result_notebook_retravaill!G1392,[1]Result_notebook_retravaill!I1392/[1]Result_notebook_retravaill!N1392,[1]Result_notebook_retravaill!H1392)</f>
        <v>0</v>
      </c>
      <c r="I1392" s="3">
        <f>[1]Result_notebook_retravaill!K1392</f>
        <v>11758.14616159485</v>
      </c>
      <c r="J1392" s="3">
        <f>MIN(G1392,[1]Result_notebook_retravaill!I1392)</f>
        <v>0</v>
      </c>
      <c r="K1392" s="3">
        <f>IF([1]Result_notebook_retravaill!I1392&gt;[1]Result_notebook_retravaill!G1392,0,IF([1]Result_notebook_retravaill!I1392+[1]Result_notebook_retravaill!J1392&gt;[1]Result_notebook_retravaill!G1392,[1]Result_notebook_retravaill!G1392-[1]Result_notebook_retravaill!I1392,[1]Result_notebook_retravaill!J1392))</f>
        <v>0</v>
      </c>
      <c r="L1392" s="3">
        <f>IF([1]Result_notebook_retravaill!I1392&gt;[1]Result_notebook_retravaill!G1392,0,IF([1]Result_notebook_retravaill!I1392+[1]Result_notebook_retravaill!J1392&gt;[1]Result_notebook_retravaill!G1392,0,[1]Result_notebook_retravaill!M1392))</f>
        <v>7054.8876969569083</v>
      </c>
    </row>
    <row r="1393" spans="1:12">
      <c r="A1393">
        <f>[1]Result_notebook_retravaill!A1393</f>
        <v>2040</v>
      </c>
      <c r="B1393" t="str">
        <f>[1]Result_notebook_retravaill!B1393</f>
        <v>Neodymium</v>
      </c>
      <c r="C1393" t="str">
        <f>[1]Result_notebook_retravaill!C1393</f>
        <v>Global Net-zero</v>
      </c>
      <c r="D1393" t="str">
        <f>[1]Result_notebook_retravaill!D1393</f>
        <v>Existing production</v>
      </c>
      <c r="E1393" t="str">
        <f>[1]Result_notebook_retravaill!E1393</f>
        <v>Current shares</v>
      </c>
      <c r="F1393" t="str">
        <f>[1]Result_notebook_retravaill!F1393</f>
        <v>Status Quo</v>
      </c>
      <c r="G1393">
        <f>[1]Result_notebook_retravaill!G1393</f>
        <v>7054.8876969569083</v>
      </c>
      <c r="H1393" s="3">
        <f>IF([1]Result_notebook_retravaill!I1393&gt;[1]Result_notebook_retravaill!G1393,[1]Result_notebook_retravaill!I1393/[1]Result_notebook_retravaill!N1393,[1]Result_notebook_retravaill!H1393)</f>
        <v>0</v>
      </c>
      <c r="I1393" s="3">
        <f>[1]Result_notebook_retravaill!K1393</f>
        <v>11758.14616159485</v>
      </c>
      <c r="J1393" s="3">
        <f>MIN(G1393,[1]Result_notebook_retravaill!I1393)</f>
        <v>0</v>
      </c>
      <c r="K1393" s="3">
        <f>IF([1]Result_notebook_retravaill!I1393&gt;[1]Result_notebook_retravaill!G1393,0,IF([1]Result_notebook_retravaill!I1393+[1]Result_notebook_retravaill!J1393&gt;[1]Result_notebook_retravaill!G1393,[1]Result_notebook_retravaill!G1393-[1]Result_notebook_retravaill!I1393,[1]Result_notebook_retravaill!J1393))</f>
        <v>0</v>
      </c>
      <c r="L1393" s="3">
        <f>IF([1]Result_notebook_retravaill!I1393&gt;[1]Result_notebook_retravaill!G1393,0,IF([1]Result_notebook_retravaill!I1393+[1]Result_notebook_retravaill!J1393&gt;[1]Result_notebook_retravaill!G1393,0,[1]Result_notebook_retravaill!M1393))</f>
        <v>7054.8876969569083</v>
      </c>
    </row>
    <row r="1394" spans="1:12">
      <c r="A1394">
        <f>[1]Result_notebook_retravaill!A1394</f>
        <v>2040</v>
      </c>
      <c r="B1394" t="str">
        <f>[1]Result_notebook_retravaill!B1394</f>
        <v>Neodymium</v>
      </c>
      <c r="C1394" t="str">
        <f>[1]Result_notebook_retravaill!C1394</f>
        <v>Global Net-zero</v>
      </c>
      <c r="D1394" t="str">
        <f>[1]Result_notebook_retravaill!D1394</f>
        <v>Production potential</v>
      </c>
      <c r="E1394" t="str">
        <f>[1]Result_notebook_retravaill!E1394</f>
        <v>Current shares</v>
      </c>
      <c r="F1394" t="str">
        <f>[1]Result_notebook_retravaill!F1394</f>
        <v>Expansion Extractive</v>
      </c>
      <c r="G1394">
        <f>[1]Result_notebook_retravaill!G1394</f>
        <v>7054.8876969569083</v>
      </c>
      <c r="H1394" s="3">
        <f>IF([1]Result_notebook_retravaill!I1394&gt;[1]Result_notebook_retravaill!G1394,[1]Result_notebook_retravaill!I1394/[1]Result_notebook_retravaill!N1394,[1]Result_notebook_retravaill!H1394)</f>
        <v>431.78438910419823</v>
      </c>
      <c r="I1394" s="3">
        <f>[1]Result_notebook_retravaill!K1394</f>
        <v>11326.361772490651</v>
      </c>
      <c r="J1394" s="3">
        <f>MIN(G1394,[1]Result_notebook_retravaill!I1394)</f>
        <v>258.44191825419398</v>
      </c>
      <c r="K1394" s="3">
        <f>IF([1]Result_notebook_retravaill!I1394&gt;[1]Result_notebook_retravaill!G1394,0,IF([1]Result_notebook_retravaill!I1394+[1]Result_notebook_retravaill!J1394&gt;[1]Result_notebook_retravaill!G1394,[1]Result_notebook_retravaill!G1394-[1]Result_notebook_retravaill!I1394,[1]Result_notebook_retravaill!J1394))</f>
        <v>173.34247085000425</v>
      </c>
      <c r="L1394" s="3">
        <f>IF([1]Result_notebook_retravaill!I1394&gt;[1]Result_notebook_retravaill!G1394,0,IF([1]Result_notebook_retravaill!I1394+[1]Result_notebook_retravaill!J1394&gt;[1]Result_notebook_retravaill!G1394,0,[1]Result_notebook_retravaill!M1394))</f>
        <v>6623.1033078527098</v>
      </c>
    </row>
    <row r="1395" spans="1:12">
      <c r="A1395">
        <f>[1]Result_notebook_retravaill!A1395</f>
        <v>2040</v>
      </c>
      <c r="B1395" t="str">
        <f>[1]Result_notebook_retravaill!B1395</f>
        <v>Neodymium</v>
      </c>
      <c r="C1395" t="str">
        <f>[1]Result_notebook_retravaill!C1395</f>
        <v>Global Net-zero</v>
      </c>
      <c r="D1395" t="str">
        <f>[1]Result_notebook_retravaill!D1395</f>
        <v>Production potential</v>
      </c>
      <c r="E1395" t="str">
        <f>[1]Result_notebook_retravaill!E1395</f>
        <v>Current shares</v>
      </c>
      <c r="F1395" t="str">
        <f>[1]Result_notebook_retravaill!F1395</f>
        <v>Expansion Extractive+Circularity</v>
      </c>
      <c r="G1395">
        <f>[1]Result_notebook_retravaill!G1395</f>
        <v>7054.8876969569083</v>
      </c>
      <c r="H1395" s="3">
        <f>IF([1]Result_notebook_retravaill!I1395&gt;[1]Result_notebook_retravaill!G1395,[1]Result_notebook_retravaill!I1395/[1]Result_notebook_retravaill!N1395,[1]Result_notebook_retravaill!H1395)</f>
        <v>431.78438910419823</v>
      </c>
      <c r="I1395" s="3">
        <f>[1]Result_notebook_retravaill!K1395</f>
        <v>11326.361772490651</v>
      </c>
      <c r="J1395" s="3">
        <f>MIN(G1395,[1]Result_notebook_retravaill!I1395)</f>
        <v>258.44191825419398</v>
      </c>
      <c r="K1395" s="3">
        <f>IF([1]Result_notebook_retravaill!I1395&gt;[1]Result_notebook_retravaill!G1395,0,IF([1]Result_notebook_retravaill!I1395+[1]Result_notebook_retravaill!J1395&gt;[1]Result_notebook_retravaill!G1395,[1]Result_notebook_retravaill!G1395-[1]Result_notebook_retravaill!I1395,[1]Result_notebook_retravaill!J1395))</f>
        <v>173.34247085000425</v>
      </c>
      <c r="L1395" s="3">
        <f>IF([1]Result_notebook_retravaill!I1395&gt;[1]Result_notebook_retravaill!G1395,0,IF([1]Result_notebook_retravaill!I1395+[1]Result_notebook_retravaill!J1395&gt;[1]Result_notebook_retravaill!G1395,0,[1]Result_notebook_retravaill!M1395))</f>
        <v>6623.1033078527098</v>
      </c>
    </row>
    <row r="1396" spans="1:12">
      <c r="A1396">
        <f>[1]Result_notebook_retravaill!A1396</f>
        <v>2040</v>
      </c>
      <c r="B1396" t="str">
        <f>[1]Result_notebook_retravaill!B1396</f>
        <v>Neodymium</v>
      </c>
      <c r="C1396" t="str">
        <f>[1]Result_notebook_retravaill!C1396</f>
        <v>Global Net-zero</v>
      </c>
      <c r="D1396" t="str">
        <f>[1]Result_notebook_retravaill!D1396</f>
        <v>Production potential</v>
      </c>
      <c r="E1396" t="str">
        <f>[1]Result_notebook_retravaill!E1396</f>
        <v>100% CAN</v>
      </c>
      <c r="F1396" t="str">
        <f>[1]Result_notebook_retravaill!F1396</f>
        <v>Integrated</v>
      </c>
      <c r="G1396">
        <f>[1]Result_notebook_retravaill!G1396</f>
        <v>7054.8876969569083</v>
      </c>
      <c r="H1396" s="3">
        <f>IF([1]Result_notebook_retravaill!I1396&gt;[1]Result_notebook_retravaill!G1396,[1]Result_notebook_retravaill!I1396/[1]Result_notebook_retravaill!N1396,[1]Result_notebook_retravaill!H1396)</f>
        <v>431.78438910419823</v>
      </c>
      <c r="I1396" s="3">
        <f>[1]Result_notebook_retravaill!K1396</f>
        <v>11326.361772490651</v>
      </c>
      <c r="J1396" s="3">
        <f>MIN(G1396,[1]Result_notebook_retravaill!I1396)</f>
        <v>258.44191825419398</v>
      </c>
      <c r="K1396" s="3">
        <f>IF([1]Result_notebook_retravaill!I1396&gt;[1]Result_notebook_retravaill!G1396,0,IF([1]Result_notebook_retravaill!I1396+[1]Result_notebook_retravaill!J1396&gt;[1]Result_notebook_retravaill!G1396,[1]Result_notebook_retravaill!G1396-[1]Result_notebook_retravaill!I1396,[1]Result_notebook_retravaill!J1396))</f>
        <v>173.34247085000425</v>
      </c>
      <c r="L1396" s="3">
        <f>IF([1]Result_notebook_retravaill!I1396&gt;[1]Result_notebook_retravaill!G1396,0,IF([1]Result_notebook_retravaill!I1396+[1]Result_notebook_retravaill!J1396&gt;[1]Result_notebook_retravaill!G1396,0,[1]Result_notebook_retravaill!M1396))</f>
        <v>6623.1033078527098</v>
      </c>
    </row>
    <row r="1397" spans="1:12">
      <c r="A1397">
        <f>[1]Result_notebook_retravaill!A1397</f>
        <v>2040</v>
      </c>
      <c r="B1397" t="str">
        <f>[1]Result_notebook_retravaill!B1397</f>
        <v>Nickel</v>
      </c>
      <c r="C1397" t="str">
        <f>[1]Result_notebook_retravaill!C1397</f>
        <v>Canada Net-zero</v>
      </c>
      <c r="D1397" t="str">
        <f>[1]Result_notebook_retravaill!D1397</f>
        <v>Existing production</v>
      </c>
      <c r="E1397" t="str">
        <f>[1]Result_notebook_retravaill!E1397</f>
        <v>Current shares</v>
      </c>
      <c r="F1397" t="str">
        <f>[1]Result_notebook_retravaill!F1397</f>
        <v>NIMBY</v>
      </c>
      <c r="G1397">
        <f>[1]Result_notebook_retravaill!G1397</f>
        <v>203217.24889181441</v>
      </c>
      <c r="H1397" s="3">
        <f>IF([1]Result_notebook_retravaill!I1397&gt;[1]Result_notebook_retravaill!G1397,[1]Result_notebook_retravaill!I1397/[1]Result_notebook_retravaill!N1397,[1]Result_notebook_retravaill!H1397)</f>
        <v>0</v>
      </c>
      <c r="I1397" s="3">
        <f>[1]Result_notebook_retravaill!K1397</f>
        <v>257237.0239136891</v>
      </c>
      <c r="J1397" s="3">
        <f>MIN(G1397,[1]Result_notebook_retravaill!I1397)</f>
        <v>0</v>
      </c>
      <c r="K1397" s="3">
        <f>IF([1]Result_notebook_retravaill!I1397&gt;[1]Result_notebook_retravaill!G1397,0,IF([1]Result_notebook_retravaill!I1397+[1]Result_notebook_retravaill!J1397&gt;[1]Result_notebook_retravaill!G1397,[1]Result_notebook_retravaill!G1397-[1]Result_notebook_retravaill!I1397,[1]Result_notebook_retravaill!J1397))</f>
        <v>0</v>
      </c>
      <c r="L1397" s="3">
        <f>IF([1]Result_notebook_retravaill!I1397&gt;[1]Result_notebook_retravaill!G1397,0,IF([1]Result_notebook_retravaill!I1397+[1]Result_notebook_retravaill!J1397&gt;[1]Result_notebook_retravaill!G1397,0,[1]Result_notebook_retravaill!M1397))</f>
        <v>203217.24889181441</v>
      </c>
    </row>
    <row r="1398" spans="1:12">
      <c r="A1398">
        <f>[1]Result_notebook_retravaill!A1398</f>
        <v>2040</v>
      </c>
      <c r="B1398" t="str">
        <f>[1]Result_notebook_retravaill!B1398</f>
        <v>Nickel</v>
      </c>
      <c r="C1398" t="str">
        <f>[1]Result_notebook_retravaill!C1398</f>
        <v>Canada Net-zero</v>
      </c>
      <c r="D1398" t="str">
        <f>[1]Result_notebook_retravaill!D1398</f>
        <v>Existing production</v>
      </c>
      <c r="E1398" t="str">
        <f>[1]Result_notebook_retravaill!E1398</f>
        <v>Current shares</v>
      </c>
      <c r="F1398" t="str">
        <f>[1]Result_notebook_retravaill!F1398</f>
        <v>Status Quo</v>
      </c>
      <c r="G1398">
        <f>[1]Result_notebook_retravaill!G1398</f>
        <v>203217.24889181441</v>
      </c>
      <c r="H1398" s="3">
        <f>IF([1]Result_notebook_retravaill!I1398&gt;[1]Result_notebook_retravaill!G1398,[1]Result_notebook_retravaill!I1398/[1]Result_notebook_retravaill!N1398,[1]Result_notebook_retravaill!H1398)</f>
        <v>37000</v>
      </c>
      <c r="I1398" s="3">
        <f>[1]Result_notebook_retravaill!K1398</f>
        <v>220237.0239136891</v>
      </c>
      <c r="J1398" s="3">
        <f>MIN(G1398,[1]Result_notebook_retravaill!I1398)</f>
        <v>20752.561586838339</v>
      </c>
      <c r="K1398" s="3">
        <f>IF([1]Result_notebook_retravaill!I1398&gt;[1]Result_notebook_retravaill!G1398,0,IF([1]Result_notebook_retravaill!I1398+[1]Result_notebook_retravaill!J1398&gt;[1]Result_notebook_retravaill!G1398,[1]Result_notebook_retravaill!G1398-[1]Result_notebook_retravaill!I1398,[1]Result_notebook_retravaill!J1398))</f>
        <v>5116.7458370366039</v>
      </c>
      <c r="L1398" s="3">
        <f>IF([1]Result_notebook_retravaill!I1398&gt;[1]Result_notebook_retravaill!G1398,0,IF([1]Result_notebook_retravaill!I1398+[1]Result_notebook_retravaill!J1398&gt;[1]Result_notebook_retravaill!G1398,0,[1]Result_notebook_retravaill!M1398))</f>
        <v>177347.9414679395</v>
      </c>
    </row>
    <row r="1399" spans="1:12">
      <c r="A1399">
        <f>[1]Result_notebook_retravaill!A1399</f>
        <v>2040</v>
      </c>
      <c r="B1399" t="str">
        <f>[1]Result_notebook_retravaill!B1399</f>
        <v>Nickel</v>
      </c>
      <c r="C1399" t="str">
        <f>[1]Result_notebook_retravaill!C1399</f>
        <v>Canada Net-zero</v>
      </c>
      <c r="D1399" t="str">
        <f>[1]Result_notebook_retravaill!D1399</f>
        <v>Production potential</v>
      </c>
      <c r="E1399" t="str">
        <f>[1]Result_notebook_retravaill!E1399</f>
        <v>Current shares</v>
      </c>
      <c r="F1399" t="str">
        <f>[1]Result_notebook_retravaill!F1399</f>
        <v>Expansion Extractive</v>
      </c>
      <c r="G1399">
        <f>[1]Result_notebook_retravaill!G1399</f>
        <v>203217.24889181441</v>
      </c>
      <c r="H1399" s="3">
        <f>IF([1]Result_notebook_retravaill!I1399&gt;[1]Result_notebook_retravaill!G1399,[1]Result_notebook_retravaill!I1399/[1]Result_notebook_retravaill!N1399,[1]Result_notebook_retravaill!H1399)</f>
        <v>282129.47885281307</v>
      </c>
      <c r="I1399" s="3">
        <f>[1]Result_notebook_retravaill!K1399</f>
        <v>0</v>
      </c>
      <c r="J1399" s="3">
        <f>MIN(G1399,[1]Result_notebook_retravaill!I1399)</f>
        <v>158240.7941988002</v>
      </c>
      <c r="K1399" s="3">
        <f>IF([1]Result_notebook_retravaill!I1399&gt;[1]Result_notebook_retravaill!G1399,0,IF([1]Result_notebook_retravaill!I1399+[1]Result_notebook_retravaill!J1399&gt;[1]Result_notebook_retravaill!G1399,[1]Result_notebook_retravaill!G1399-[1]Result_notebook_retravaill!I1399,[1]Result_notebook_retravaill!J1399))</f>
        <v>39015.8063898767</v>
      </c>
      <c r="L1399" s="3">
        <f>IF([1]Result_notebook_retravaill!I1399&gt;[1]Result_notebook_retravaill!G1399,0,IF([1]Result_notebook_retravaill!I1399+[1]Result_notebook_retravaill!J1399&gt;[1]Result_notebook_retravaill!G1399,0,[1]Result_notebook_retravaill!M1399))</f>
        <v>5960.648303137481</v>
      </c>
    </row>
    <row r="1400" spans="1:12">
      <c r="A1400">
        <f>[1]Result_notebook_retravaill!A1400</f>
        <v>2040</v>
      </c>
      <c r="B1400" t="str">
        <f>[1]Result_notebook_retravaill!B1400</f>
        <v>Nickel</v>
      </c>
      <c r="C1400" t="str">
        <f>[1]Result_notebook_retravaill!C1400</f>
        <v>Canada Net-zero</v>
      </c>
      <c r="D1400" t="str">
        <f>[1]Result_notebook_retravaill!D1400</f>
        <v>Production potential</v>
      </c>
      <c r="E1400" t="str">
        <f>[1]Result_notebook_retravaill!E1400</f>
        <v>Current shares</v>
      </c>
      <c r="F1400" t="str">
        <f>[1]Result_notebook_retravaill!F1400</f>
        <v>Expansion Extractive+Circularity</v>
      </c>
      <c r="G1400">
        <f>[1]Result_notebook_retravaill!G1400</f>
        <v>203217.24889181441</v>
      </c>
      <c r="H1400" s="3">
        <f>IF([1]Result_notebook_retravaill!I1400&gt;[1]Result_notebook_retravaill!G1400,[1]Result_notebook_retravaill!I1400/[1]Result_notebook_retravaill!N1400,[1]Result_notebook_retravaill!H1400)</f>
        <v>282129.47885281307</v>
      </c>
      <c r="I1400" s="3">
        <f>[1]Result_notebook_retravaill!K1400</f>
        <v>0</v>
      </c>
      <c r="J1400" s="3">
        <f>MIN(G1400,[1]Result_notebook_retravaill!I1400)</f>
        <v>158240.7941988002</v>
      </c>
      <c r="K1400" s="3">
        <f>IF([1]Result_notebook_retravaill!I1400&gt;[1]Result_notebook_retravaill!G1400,0,IF([1]Result_notebook_retravaill!I1400+[1]Result_notebook_retravaill!J1400&gt;[1]Result_notebook_retravaill!G1400,[1]Result_notebook_retravaill!G1400-[1]Result_notebook_retravaill!I1400,[1]Result_notebook_retravaill!J1400))</f>
        <v>39015.8063898767</v>
      </c>
      <c r="L1400" s="3">
        <f>IF([1]Result_notebook_retravaill!I1400&gt;[1]Result_notebook_retravaill!G1400,0,IF([1]Result_notebook_retravaill!I1400+[1]Result_notebook_retravaill!J1400&gt;[1]Result_notebook_retravaill!G1400,0,[1]Result_notebook_retravaill!M1400))</f>
        <v>5960.648303137481</v>
      </c>
    </row>
    <row r="1401" spans="1:12">
      <c r="A1401">
        <f>[1]Result_notebook_retravaill!A1401</f>
        <v>2040</v>
      </c>
      <c r="B1401" t="str">
        <f>[1]Result_notebook_retravaill!B1401</f>
        <v>Nickel</v>
      </c>
      <c r="C1401" t="str">
        <f>[1]Result_notebook_retravaill!C1401</f>
        <v>Canada Net-zero</v>
      </c>
      <c r="D1401" t="str">
        <f>[1]Result_notebook_retravaill!D1401</f>
        <v>Production potential</v>
      </c>
      <c r="E1401" t="str">
        <f>[1]Result_notebook_retravaill!E1401</f>
        <v>100% CAN</v>
      </c>
      <c r="F1401" t="str">
        <f>[1]Result_notebook_retravaill!F1401</f>
        <v>Integrated</v>
      </c>
      <c r="G1401">
        <f>[1]Result_notebook_retravaill!G1401</f>
        <v>203217.24889181441</v>
      </c>
      <c r="H1401" s="3">
        <f>IF([1]Result_notebook_retravaill!I1401&gt;[1]Result_notebook_retravaill!G1401,[1]Result_notebook_retravaill!I1401/[1]Result_notebook_retravaill!N1401,[1]Result_notebook_retravaill!H1401)</f>
        <v>317794.42936188669</v>
      </c>
      <c r="I1401" s="3">
        <f>[1]Result_notebook_retravaill!K1401</f>
        <v>0</v>
      </c>
      <c r="J1401" s="3">
        <f>MIN(G1401,[1]Result_notebook_retravaill!I1401)</f>
        <v>203217.24889181441</v>
      </c>
      <c r="K1401" s="3">
        <f>IF([1]Result_notebook_retravaill!I1401&gt;[1]Result_notebook_retravaill!G1401,0,IF([1]Result_notebook_retravaill!I1401+[1]Result_notebook_retravaill!J1401&gt;[1]Result_notebook_retravaill!G1401,[1]Result_notebook_retravaill!G1401-[1]Result_notebook_retravaill!I1401,[1]Result_notebook_retravaill!J1401))</f>
        <v>0</v>
      </c>
      <c r="L1401" s="3">
        <f>IF([1]Result_notebook_retravaill!I1401&gt;[1]Result_notebook_retravaill!G1401,0,IF([1]Result_notebook_retravaill!I1401+[1]Result_notebook_retravaill!J1401&gt;[1]Result_notebook_retravaill!G1401,0,[1]Result_notebook_retravaill!M1401))</f>
        <v>0</v>
      </c>
    </row>
    <row r="1402" spans="1:12">
      <c r="A1402">
        <f>[1]Result_notebook_retravaill!A1402</f>
        <v>2040</v>
      </c>
      <c r="B1402" t="str">
        <f>[1]Result_notebook_retravaill!B1402</f>
        <v>Nickel</v>
      </c>
      <c r="C1402" t="str">
        <f>[1]Result_notebook_retravaill!C1402</f>
        <v>Current Measures</v>
      </c>
      <c r="D1402" t="str">
        <f>[1]Result_notebook_retravaill!D1402</f>
        <v>Existing production</v>
      </c>
      <c r="E1402" t="str">
        <f>[1]Result_notebook_retravaill!E1402</f>
        <v>Current shares</v>
      </c>
      <c r="F1402" t="str">
        <f>[1]Result_notebook_retravaill!F1402</f>
        <v>NIMBY</v>
      </c>
      <c r="G1402">
        <f>[1]Result_notebook_retravaill!G1402</f>
        <v>79345.878987390839</v>
      </c>
      <c r="H1402" s="3">
        <f>IF([1]Result_notebook_retravaill!I1402&gt;[1]Result_notebook_retravaill!G1402,[1]Result_notebook_retravaill!I1402/[1]Result_notebook_retravaill!N1402,[1]Result_notebook_retravaill!H1402)</f>
        <v>0</v>
      </c>
      <c r="I1402" s="3">
        <f>[1]Result_notebook_retravaill!K1402</f>
        <v>100437.8215030264</v>
      </c>
      <c r="J1402" s="3">
        <f>MIN(G1402,[1]Result_notebook_retravaill!I1402)</f>
        <v>0</v>
      </c>
      <c r="K1402" s="3">
        <f>IF([1]Result_notebook_retravaill!I1402&gt;[1]Result_notebook_retravaill!G1402,0,IF([1]Result_notebook_retravaill!I1402+[1]Result_notebook_retravaill!J1402&gt;[1]Result_notebook_retravaill!G1402,[1]Result_notebook_retravaill!G1402-[1]Result_notebook_retravaill!I1402,[1]Result_notebook_retravaill!J1402))</f>
        <v>0</v>
      </c>
      <c r="L1402" s="3">
        <f>IF([1]Result_notebook_retravaill!I1402&gt;[1]Result_notebook_retravaill!G1402,0,IF([1]Result_notebook_retravaill!I1402+[1]Result_notebook_retravaill!J1402&gt;[1]Result_notebook_retravaill!G1402,0,[1]Result_notebook_retravaill!M1402))</f>
        <v>79345.878987390839</v>
      </c>
    </row>
    <row r="1403" spans="1:12">
      <c r="A1403">
        <f>[1]Result_notebook_retravaill!A1403</f>
        <v>2040</v>
      </c>
      <c r="B1403" t="str">
        <f>[1]Result_notebook_retravaill!B1403</f>
        <v>Nickel</v>
      </c>
      <c r="C1403" t="str">
        <f>[1]Result_notebook_retravaill!C1403</f>
        <v>Current Measures</v>
      </c>
      <c r="D1403" t="str">
        <f>[1]Result_notebook_retravaill!D1403</f>
        <v>Existing production</v>
      </c>
      <c r="E1403" t="str">
        <f>[1]Result_notebook_retravaill!E1403</f>
        <v>Current shares</v>
      </c>
      <c r="F1403" t="str">
        <f>[1]Result_notebook_retravaill!F1403</f>
        <v>Status Quo</v>
      </c>
      <c r="G1403">
        <f>[1]Result_notebook_retravaill!G1403</f>
        <v>79345.878987390839</v>
      </c>
      <c r="H1403" s="3">
        <f>IF([1]Result_notebook_retravaill!I1403&gt;[1]Result_notebook_retravaill!G1403,[1]Result_notebook_retravaill!I1403/[1]Result_notebook_retravaill!N1403,[1]Result_notebook_retravaill!H1403)</f>
        <v>37000</v>
      </c>
      <c r="I1403" s="3">
        <f>[1]Result_notebook_retravaill!K1403</f>
        <v>63437.821503026367</v>
      </c>
      <c r="J1403" s="3">
        <f>MIN(G1403,[1]Result_notebook_retravaill!I1403)</f>
        <v>20752.561586838339</v>
      </c>
      <c r="K1403" s="3">
        <f>IF([1]Result_notebook_retravaill!I1403&gt;[1]Result_notebook_retravaill!G1403,0,IF([1]Result_notebook_retravaill!I1403+[1]Result_notebook_retravaill!J1403&gt;[1]Result_notebook_retravaill!G1403,[1]Result_notebook_retravaill!G1403-[1]Result_notebook_retravaill!I1403,[1]Result_notebook_retravaill!J1403))</f>
        <v>5116.7458370366039</v>
      </c>
      <c r="L1403" s="3">
        <f>IF([1]Result_notebook_retravaill!I1403&gt;[1]Result_notebook_retravaill!G1403,0,IF([1]Result_notebook_retravaill!I1403+[1]Result_notebook_retravaill!J1403&gt;[1]Result_notebook_retravaill!G1403,0,[1]Result_notebook_retravaill!M1403))</f>
        <v>53476.571563515899</v>
      </c>
    </row>
    <row r="1404" spans="1:12">
      <c r="A1404">
        <f>[1]Result_notebook_retravaill!A1404</f>
        <v>2040</v>
      </c>
      <c r="B1404" t="str">
        <f>[1]Result_notebook_retravaill!B1404</f>
        <v>Nickel</v>
      </c>
      <c r="C1404" t="str">
        <f>[1]Result_notebook_retravaill!C1404</f>
        <v>Current Measures</v>
      </c>
      <c r="D1404" t="str">
        <f>[1]Result_notebook_retravaill!D1404</f>
        <v>Production potential</v>
      </c>
      <c r="E1404" t="str">
        <f>[1]Result_notebook_retravaill!E1404</f>
        <v>Current shares</v>
      </c>
      <c r="F1404" t="str">
        <f>[1]Result_notebook_retravaill!F1404</f>
        <v>Expansion Extractive</v>
      </c>
      <c r="G1404">
        <f>[1]Result_notebook_retravaill!G1404</f>
        <v>79345.878987390839</v>
      </c>
      <c r="H1404" s="3">
        <f>IF([1]Result_notebook_retravaill!I1404&gt;[1]Result_notebook_retravaill!G1404,[1]Result_notebook_retravaill!I1404/[1]Result_notebook_retravaill!N1404,[1]Result_notebook_retravaill!H1404)</f>
        <v>226326.48371374936</v>
      </c>
      <c r="I1404" s="3">
        <f>[1]Result_notebook_retravaill!K1404</f>
        <v>0</v>
      </c>
      <c r="J1404" s="3">
        <f>MIN(G1404,[1]Result_notebook_retravaill!I1404)</f>
        <v>79345.878987390839</v>
      </c>
      <c r="K1404" s="3">
        <f>IF([1]Result_notebook_retravaill!I1404&gt;[1]Result_notebook_retravaill!G1404,0,IF([1]Result_notebook_retravaill!I1404+[1]Result_notebook_retravaill!J1404&gt;[1]Result_notebook_retravaill!G1404,[1]Result_notebook_retravaill!G1404-[1]Result_notebook_retravaill!I1404,[1]Result_notebook_retravaill!J1404))</f>
        <v>0</v>
      </c>
      <c r="L1404" s="3">
        <f>IF([1]Result_notebook_retravaill!I1404&gt;[1]Result_notebook_retravaill!G1404,0,IF([1]Result_notebook_retravaill!I1404+[1]Result_notebook_retravaill!J1404&gt;[1]Result_notebook_retravaill!G1404,0,[1]Result_notebook_retravaill!M1404))</f>
        <v>0</v>
      </c>
    </row>
    <row r="1405" spans="1:12">
      <c r="A1405">
        <f>[1]Result_notebook_retravaill!A1405</f>
        <v>2040</v>
      </c>
      <c r="B1405" t="str">
        <f>[1]Result_notebook_retravaill!B1405</f>
        <v>Nickel</v>
      </c>
      <c r="C1405" t="str">
        <f>[1]Result_notebook_retravaill!C1405</f>
        <v>Current Measures</v>
      </c>
      <c r="D1405" t="str">
        <f>[1]Result_notebook_retravaill!D1405</f>
        <v>Production potential</v>
      </c>
      <c r="E1405" t="str">
        <f>[1]Result_notebook_retravaill!E1405</f>
        <v>Current shares</v>
      </c>
      <c r="F1405" t="str">
        <f>[1]Result_notebook_retravaill!F1405</f>
        <v>Expansion Extractive+Circularity</v>
      </c>
      <c r="G1405">
        <f>[1]Result_notebook_retravaill!G1405</f>
        <v>79345.878987390839</v>
      </c>
      <c r="H1405" s="3">
        <f>IF([1]Result_notebook_retravaill!I1405&gt;[1]Result_notebook_retravaill!G1405,[1]Result_notebook_retravaill!I1405/[1]Result_notebook_retravaill!N1405,[1]Result_notebook_retravaill!H1405)</f>
        <v>226326.48371374936</v>
      </c>
      <c r="I1405" s="3">
        <f>[1]Result_notebook_retravaill!K1405</f>
        <v>0</v>
      </c>
      <c r="J1405" s="3">
        <f>MIN(G1405,[1]Result_notebook_retravaill!I1405)</f>
        <v>79345.878987390839</v>
      </c>
      <c r="K1405" s="3">
        <f>IF([1]Result_notebook_retravaill!I1405&gt;[1]Result_notebook_retravaill!G1405,0,IF([1]Result_notebook_retravaill!I1405+[1]Result_notebook_retravaill!J1405&gt;[1]Result_notebook_retravaill!G1405,[1]Result_notebook_retravaill!G1405-[1]Result_notebook_retravaill!I1405,[1]Result_notebook_retravaill!J1405))</f>
        <v>0</v>
      </c>
      <c r="L1405" s="3">
        <f>IF([1]Result_notebook_retravaill!I1405&gt;[1]Result_notebook_retravaill!G1405,0,IF([1]Result_notebook_retravaill!I1405+[1]Result_notebook_retravaill!J1405&gt;[1]Result_notebook_retravaill!G1405,0,[1]Result_notebook_retravaill!M1405))</f>
        <v>0</v>
      </c>
    </row>
    <row r="1406" spans="1:12">
      <c r="A1406">
        <f>[1]Result_notebook_retravaill!A1406</f>
        <v>2040</v>
      </c>
      <c r="B1406" t="str">
        <f>[1]Result_notebook_retravaill!B1406</f>
        <v>Nickel</v>
      </c>
      <c r="C1406" t="str">
        <f>[1]Result_notebook_retravaill!C1406</f>
        <v>Current Measures</v>
      </c>
      <c r="D1406" t="str">
        <f>[1]Result_notebook_retravaill!D1406</f>
        <v>Production potential</v>
      </c>
      <c r="E1406" t="str">
        <f>[1]Result_notebook_retravaill!E1406</f>
        <v>100% CAN</v>
      </c>
      <c r="F1406" t="str">
        <f>[1]Result_notebook_retravaill!F1406</f>
        <v>Integrated</v>
      </c>
      <c r="G1406">
        <f>[1]Result_notebook_retravaill!G1406</f>
        <v>79345.878987390839</v>
      </c>
      <c r="H1406" s="3">
        <f>IF([1]Result_notebook_retravaill!I1406&gt;[1]Result_notebook_retravaill!G1406,[1]Result_notebook_retravaill!I1406/[1]Result_notebook_retravaill!N1406,[1]Result_notebook_retravaill!H1406)</f>
        <v>317794.42936188669</v>
      </c>
      <c r="I1406" s="3">
        <f>[1]Result_notebook_retravaill!K1406</f>
        <v>0</v>
      </c>
      <c r="J1406" s="3">
        <f>MIN(G1406,[1]Result_notebook_retravaill!I1406)</f>
        <v>79345.878987390839</v>
      </c>
      <c r="K1406" s="3">
        <f>IF([1]Result_notebook_retravaill!I1406&gt;[1]Result_notebook_retravaill!G1406,0,IF([1]Result_notebook_retravaill!I1406+[1]Result_notebook_retravaill!J1406&gt;[1]Result_notebook_retravaill!G1406,[1]Result_notebook_retravaill!G1406-[1]Result_notebook_retravaill!I1406,[1]Result_notebook_retravaill!J1406))</f>
        <v>0</v>
      </c>
      <c r="L1406" s="3">
        <f>IF([1]Result_notebook_retravaill!I1406&gt;[1]Result_notebook_retravaill!G1406,0,IF([1]Result_notebook_retravaill!I1406+[1]Result_notebook_retravaill!J1406&gt;[1]Result_notebook_retravaill!G1406,0,[1]Result_notebook_retravaill!M1406))</f>
        <v>0</v>
      </c>
    </row>
    <row r="1407" spans="1:12">
      <c r="A1407">
        <f>[1]Result_notebook_retravaill!A1407</f>
        <v>2040</v>
      </c>
      <c r="B1407" t="str">
        <f>[1]Result_notebook_retravaill!B1407</f>
        <v>Nickel</v>
      </c>
      <c r="C1407" t="str">
        <f>[1]Result_notebook_retravaill!C1407</f>
        <v>Global Net-zero</v>
      </c>
      <c r="D1407" t="str">
        <f>[1]Result_notebook_retravaill!D1407</f>
        <v>Existing production</v>
      </c>
      <c r="E1407" t="str">
        <f>[1]Result_notebook_retravaill!E1407</f>
        <v>Current shares</v>
      </c>
      <c r="F1407" t="str">
        <f>[1]Result_notebook_retravaill!F1407</f>
        <v>NIMBY</v>
      </c>
      <c r="G1407">
        <f>[1]Result_notebook_retravaill!G1407</f>
        <v>194473.94809899441</v>
      </c>
      <c r="H1407" s="3">
        <f>IF([1]Result_notebook_retravaill!I1407&gt;[1]Result_notebook_retravaill!G1407,[1]Result_notebook_retravaill!I1407/[1]Result_notebook_retravaill!N1407,[1]Result_notebook_retravaill!H1407)</f>
        <v>0</v>
      </c>
      <c r="I1407" s="3">
        <f>[1]Result_notebook_retravaill!K1407</f>
        <v>246169.5545556891</v>
      </c>
      <c r="J1407" s="3">
        <f>MIN(G1407,[1]Result_notebook_retravaill!I1407)</f>
        <v>0</v>
      </c>
      <c r="K1407" s="3">
        <f>IF([1]Result_notebook_retravaill!I1407&gt;[1]Result_notebook_retravaill!G1407,0,IF([1]Result_notebook_retravaill!I1407+[1]Result_notebook_retravaill!J1407&gt;[1]Result_notebook_retravaill!G1407,[1]Result_notebook_retravaill!G1407-[1]Result_notebook_retravaill!I1407,[1]Result_notebook_retravaill!J1407))</f>
        <v>0</v>
      </c>
      <c r="L1407" s="3">
        <f>IF([1]Result_notebook_retravaill!I1407&gt;[1]Result_notebook_retravaill!G1407,0,IF([1]Result_notebook_retravaill!I1407+[1]Result_notebook_retravaill!J1407&gt;[1]Result_notebook_retravaill!G1407,0,[1]Result_notebook_retravaill!M1407))</f>
        <v>194473.94809899441</v>
      </c>
    </row>
    <row r="1408" spans="1:12">
      <c r="A1408">
        <f>[1]Result_notebook_retravaill!A1408</f>
        <v>2040</v>
      </c>
      <c r="B1408" t="str">
        <f>[1]Result_notebook_retravaill!B1408</f>
        <v>Nickel</v>
      </c>
      <c r="C1408" t="str">
        <f>[1]Result_notebook_retravaill!C1408</f>
        <v>Global Net-zero</v>
      </c>
      <c r="D1408" t="str">
        <f>[1]Result_notebook_retravaill!D1408</f>
        <v>Existing production</v>
      </c>
      <c r="E1408" t="str">
        <f>[1]Result_notebook_retravaill!E1408</f>
        <v>Current shares</v>
      </c>
      <c r="F1408" t="str">
        <f>[1]Result_notebook_retravaill!F1408</f>
        <v>Status Quo</v>
      </c>
      <c r="G1408">
        <f>[1]Result_notebook_retravaill!G1408</f>
        <v>194473.94809899441</v>
      </c>
      <c r="H1408" s="3">
        <f>IF([1]Result_notebook_retravaill!I1408&gt;[1]Result_notebook_retravaill!G1408,[1]Result_notebook_retravaill!I1408/[1]Result_notebook_retravaill!N1408,[1]Result_notebook_retravaill!H1408)</f>
        <v>37000</v>
      </c>
      <c r="I1408" s="3">
        <f>[1]Result_notebook_retravaill!K1408</f>
        <v>209169.5545556891</v>
      </c>
      <c r="J1408" s="3">
        <f>MIN(G1408,[1]Result_notebook_retravaill!I1408)</f>
        <v>20752.561586838339</v>
      </c>
      <c r="K1408" s="3">
        <f>IF([1]Result_notebook_retravaill!I1408&gt;[1]Result_notebook_retravaill!G1408,0,IF([1]Result_notebook_retravaill!I1408+[1]Result_notebook_retravaill!J1408&gt;[1]Result_notebook_retravaill!G1408,[1]Result_notebook_retravaill!G1408-[1]Result_notebook_retravaill!I1408,[1]Result_notebook_retravaill!J1408))</f>
        <v>5116.7458370366039</v>
      </c>
      <c r="L1408" s="3">
        <f>IF([1]Result_notebook_retravaill!I1408&gt;[1]Result_notebook_retravaill!G1408,0,IF([1]Result_notebook_retravaill!I1408+[1]Result_notebook_retravaill!J1408&gt;[1]Result_notebook_retravaill!G1408,0,[1]Result_notebook_retravaill!M1408))</f>
        <v>168604.6406751195</v>
      </c>
    </row>
    <row r="1409" spans="1:12">
      <c r="A1409">
        <f>[1]Result_notebook_retravaill!A1409</f>
        <v>2040</v>
      </c>
      <c r="B1409" t="str">
        <f>[1]Result_notebook_retravaill!B1409</f>
        <v>Nickel</v>
      </c>
      <c r="C1409" t="str">
        <f>[1]Result_notebook_retravaill!C1409</f>
        <v>Global Net-zero</v>
      </c>
      <c r="D1409" t="str">
        <f>[1]Result_notebook_retravaill!D1409</f>
        <v>Production potential</v>
      </c>
      <c r="E1409" t="str">
        <f>[1]Result_notebook_retravaill!E1409</f>
        <v>Current shares</v>
      </c>
      <c r="F1409" t="str">
        <f>[1]Result_notebook_retravaill!F1409</f>
        <v>Expansion Extractive</v>
      </c>
      <c r="G1409">
        <f>[1]Result_notebook_retravaill!G1409</f>
        <v>194473.94809899441</v>
      </c>
      <c r="H1409" s="3">
        <f>IF([1]Result_notebook_retravaill!I1409&gt;[1]Result_notebook_retravaill!G1409,[1]Result_notebook_retravaill!I1409/[1]Result_notebook_retravaill!N1409,[1]Result_notebook_retravaill!H1409)</f>
        <v>282129.47885281307</v>
      </c>
      <c r="I1409" s="3">
        <f>[1]Result_notebook_retravaill!K1409</f>
        <v>0</v>
      </c>
      <c r="J1409" s="3">
        <f>MIN(G1409,[1]Result_notebook_retravaill!I1409)</f>
        <v>158240.7941988002</v>
      </c>
      <c r="K1409" s="3">
        <f>IF([1]Result_notebook_retravaill!I1409&gt;[1]Result_notebook_retravaill!G1409,0,IF([1]Result_notebook_retravaill!I1409+[1]Result_notebook_retravaill!J1409&gt;[1]Result_notebook_retravaill!G1409,[1]Result_notebook_retravaill!G1409-[1]Result_notebook_retravaill!I1409,[1]Result_notebook_retravaill!J1409))</f>
        <v>36233.153900194215</v>
      </c>
      <c r="L1409" s="3">
        <f>IF([1]Result_notebook_retravaill!I1409&gt;[1]Result_notebook_retravaill!G1409,0,IF([1]Result_notebook_retravaill!I1409+[1]Result_notebook_retravaill!J1409&gt;[1]Result_notebook_retravaill!G1409,0,[1]Result_notebook_retravaill!M1409))</f>
        <v>0</v>
      </c>
    </row>
    <row r="1410" spans="1:12">
      <c r="A1410">
        <f>[1]Result_notebook_retravaill!A1410</f>
        <v>2040</v>
      </c>
      <c r="B1410" t="str">
        <f>[1]Result_notebook_retravaill!B1410</f>
        <v>Nickel</v>
      </c>
      <c r="C1410" t="str">
        <f>[1]Result_notebook_retravaill!C1410</f>
        <v>Global Net-zero</v>
      </c>
      <c r="D1410" t="str">
        <f>[1]Result_notebook_retravaill!D1410</f>
        <v>Production potential</v>
      </c>
      <c r="E1410" t="str">
        <f>[1]Result_notebook_retravaill!E1410</f>
        <v>Current shares</v>
      </c>
      <c r="F1410" t="str">
        <f>[1]Result_notebook_retravaill!F1410</f>
        <v>Expansion Extractive+Circularity</v>
      </c>
      <c r="G1410">
        <f>[1]Result_notebook_retravaill!G1410</f>
        <v>194473.94809899441</v>
      </c>
      <c r="H1410" s="3">
        <f>IF([1]Result_notebook_retravaill!I1410&gt;[1]Result_notebook_retravaill!G1410,[1]Result_notebook_retravaill!I1410/[1]Result_notebook_retravaill!N1410,[1]Result_notebook_retravaill!H1410)</f>
        <v>282129.47885281307</v>
      </c>
      <c r="I1410" s="3">
        <f>[1]Result_notebook_retravaill!K1410</f>
        <v>0</v>
      </c>
      <c r="J1410" s="3">
        <f>MIN(G1410,[1]Result_notebook_retravaill!I1410)</f>
        <v>158240.7941988002</v>
      </c>
      <c r="K1410" s="3">
        <f>IF([1]Result_notebook_retravaill!I1410&gt;[1]Result_notebook_retravaill!G1410,0,IF([1]Result_notebook_retravaill!I1410+[1]Result_notebook_retravaill!J1410&gt;[1]Result_notebook_retravaill!G1410,[1]Result_notebook_retravaill!G1410-[1]Result_notebook_retravaill!I1410,[1]Result_notebook_retravaill!J1410))</f>
        <v>36233.153900194215</v>
      </c>
      <c r="L1410" s="3">
        <f>IF([1]Result_notebook_retravaill!I1410&gt;[1]Result_notebook_retravaill!G1410,0,IF([1]Result_notebook_retravaill!I1410+[1]Result_notebook_retravaill!J1410&gt;[1]Result_notebook_retravaill!G1410,0,[1]Result_notebook_retravaill!M1410))</f>
        <v>0</v>
      </c>
    </row>
    <row r="1411" spans="1:12">
      <c r="A1411">
        <f>[1]Result_notebook_retravaill!A1411</f>
        <v>2040</v>
      </c>
      <c r="B1411" t="str">
        <f>[1]Result_notebook_retravaill!B1411</f>
        <v>Nickel</v>
      </c>
      <c r="C1411" t="str">
        <f>[1]Result_notebook_retravaill!C1411</f>
        <v>Global Net-zero</v>
      </c>
      <c r="D1411" t="str">
        <f>[1]Result_notebook_retravaill!D1411</f>
        <v>Production potential</v>
      </c>
      <c r="E1411" t="str">
        <f>[1]Result_notebook_retravaill!E1411</f>
        <v>100% CAN</v>
      </c>
      <c r="F1411" t="str">
        <f>[1]Result_notebook_retravaill!F1411</f>
        <v>Integrated</v>
      </c>
      <c r="G1411">
        <f>[1]Result_notebook_retravaill!G1411</f>
        <v>194473.94809899441</v>
      </c>
      <c r="H1411" s="3">
        <f>IF([1]Result_notebook_retravaill!I1411&gt;[1]Result_notebook_retravaill!G1411,[1]Result_notebook_retravaill!I1411/[1]Result_notebook_retravaill!N1411,[1]Result_notebook_retravaill!H1411)</f>
        <v>317794.42936188669</v>
      </c>
      <c r="I1411" s="3">
        <f>[1]Result_notebook_retravaill!K1411</f>
        <v>0</v>
      </c>
      <c r="J1411" s="3">
        <f>MIN(G1411,[1]Result_notebook_retravaill!I1411)</f>
        <v>194473.94809899441</v>
      </c>
      <c r="K1411" s="3">
        <f>IF([1]Result_notebook_retravaill!I1411&gt;[1]Result_notebook_retravaill!G1411,0,IF([1]Result_notebook_retravaill!I1411+[1]Result_notebook_retravaill!J1411&gt;[1]Result_notebook_retravaill!G1411,[1]Result_notebook_retravaill!G1411-[1]Result_notebook_retravaill!I1411,[1]Result_notebook_retravaill!J1411))</f>
        <v>0</v>
      </c>
      <c r="L1411" s="3">
        <f>IF([1]Result_notebook_retravaill!I1411&gt;[1]Result_notebook_retravaill!G1411,0,IF([1]Result_notebook_retravaill!I1411+[1]Result_notebook_retravaill!J1411&gt;[1]Result_notebook_retravaill!G1411,0,[1]Result_notebook_retravaill!M1411))</f>
        <v>0</v>
      </c>
    </row>
    <row r="1412" spans="1:12">
      <c r="A1412">
        <f>[1]Result_notebook_retravaill!A1412</f>
        <v>2040</v>
      </c>
      <c r="B1412" t="str">
        <f>[1]Result_notebook_retravaill!B1412</f>
        <v>Graphite</v>
      </c>
      <c r="C1412" t="str">
        <f>[1]Result_notebook_retravaill!C1412</f>
        <v>Canada Net-zero</v>
      </c>
      <c r="D1412" t="str">
        <f>[1]Result_notebook_retravaill!D1412</f>
        <v>Existing production</v>
      </c>
      <c r="E1412" t="str">
        <f>[1]Result_notebook_retravaill!E1412</f>
        <v>Current shares</v>
      </c>
      <c r="F1412" t="str">
        <f>[1]Result_notebook_retravaill!F1412</f>
        <v>NIMBY</v>
      </c>
      <c r="G1412">
        <f>[1]Result_notebook_retravaill!G1412</f>
        <v>3008.0333095996998</v>
      </c>
      <c r="H1412" s="3">
        <f>IF([1]Result_notebook_retravaill!I1412&gt;[1]Result_notebook_retravaill!G1412,[1]Result_notebook_retravaill!I1412/[1]Result_notebook_retravaill!N1412,[1]Result_notebook_retravaill!H1412)</f>
        <v>0</v>
      </c>
      <c r="I1412" s="3">
        <f>[1]Result_notebook_retravaill!K1412</f>
        <v>3008.0333095996998</v>
      </c>
      <c r="J1412" s="3">
        <f>MIN(G1412,[1]Result_notebook_retravaill!I1412)</f>
        <v>0</v>
      </c>
      <c r="K1412" s="3">
        <f>IF([1]Result_notebook_retravaill!I1412&gt;[1]Result_notebook_retravaill!G1412,0,IF([1]Result_notebook_retravaill!I1412+[1]Result_notebook_retravaill!J1412&gt;[1]Result_notebook_retravaill!G1412,[1]Result_notebook_retravaill!G1412-[1]Result_notebook_retravaill!I1412,[1]Result_notebook_retravaill!J1412))</f>
        <v>0</v>
      </c>
      <c r="L1412" s="3">
        <f>IF([1]Result_notebook_retravaill!I1412&gt;[1]Result_notebook_retravaill!G1412,0,IF([1]Result_notebook_retravaill!I1412+[1]Result_notebook_retravaill!J1412&gt;[1]Result_notebook_retravaill!G1412,0,[1]Result_notebook_retravaill!M1412))</f>
        <v>3008.0333095996998</v>
      </c>
    </row>
    <row r="1413" spans="1:12">
      <c r="A1413">
        <f>[1]Result_notebook_retravaill!A1413</f>
        <v>2040</v>
      </c>
      <c r="B1413" t="str">
        <f>[1]Result_notebook_retravaill!B1413</f>
        <v>Graphite</v>
      </c>
      <c r="C1413" t="str">
        <f>[1]Result_notebook_retravaill!C1413</f>
        <v>Canada Net-zero</v>
      </c>
      <c r="D1413" t="str">
        <f>[1]Result_notebook_retravaill!D1413</f>
        <v>Existing production</v>
      </c>
      <c r="E1413" t="str">
        <f>[1]Result_notebook_retravaill!E1413</f>
        <v>Current shares</v>
      </c>
      <c r="F1413" t="str">
        <f>[1]Result_notebook_retravaill!F1413</f>
        <v>Status Quo</v>
      </c>
      <c r="G1413">
        <f>[1]Result_notebook_retravaill!G1413</f>
        <v>3008.0333095996998</v>
      </c>
      <c r="H1413" s="3">
        <f>IF([1]Result_notebook_retravaill!I1413&gt;[1]Result_notebook_retravaill!G1413,[1]Result_notebook_retravaill!I1413/[1]Result_notebook_retravaill!N1413,[1]Result_notebook_retravaill!H1413)</f>
        <v>0</v>
      </c>
      <c r="I1413" s="3">
        <f>[1]Result_notebook_retravaill!K1413</f>
        <v>3008.0333095996998</v>
      </c>
      <c r="J1413" s="3">
        <f>MIN(G1413,[1]Result_notebook_retravaill!I1413)</f>
        <v>0</v>
      </c>
      <c r="K1413" s="3">
        <f>IF([1]Result_notebook_retravaill!I1413&gt;[1]Result_notebook_retravaill!G1413,0,IF([1]Result_notebook_retravaill!I1413+[1]Result_notebook_retravaill!J1413&gt;[1]Result_notebook_retravaill!G1413,[1]Result_notebook_retravaill!G1413-[1]Result_notebook_retravaill!I1413,[1]Result_notebook_retravaill!J1413))</f>
        <v>0</v>
      </c>
      <c r="L1413" s="3">
        <f>IF([1]Result_notebook_retravaill!I1413&gt;[1]Result_notebook_retravaill!G1413,0,IF([1]Result_notebook_retravaill!I1413+[1]Result_notebook_retravaill!J1413&gt;[1]Result_notebook_retravaill!G1413,0,[1]Result_notebook_retravaill!M1413))</f>
        <v>3008.0333095996998</v>
      </c>
    </row>
    <row r="1414" spans="1:12">
      <c r="A1414">
        <f>[1]Result_notebook_retravaill!A1414</f>
        <v>2040</v>
      </c>
      <c r="B1414" t="str">
        <f>[1]Result_notebook_retravaill!B1414</f>
        <v>Graphite</v>
      </c>
      <c r="C1414" t="str">
        <f>[1]Result_notebook_retravaill!C1414</f>
        <v>Canada Net-zero</v>
      </c>
      <c r="D1414" t="str">
        <f>[1]Result_notebook_retravaill!D1414</f>
        <v>Production potential</v>
      </c>
      <c r="E1414" t="str">
        <f>[1]Result_notebook_retravaill!E1414</f>
        <v>Current shares</v>
      </c>
      <c r="F1414" t="str">
        <f>[1]Result_notebook_retravaill!F1414</f>
        <v>Expansion Extractive</v>
      </c>
      <c r="G1414">
        <f>[1]Result_notebook_retravaill!G1414</f>
        <v>3008.0333095996998</v>
      </c>
      <c r="H1414" s="3">
        <f>IF([1]Result_notebook_retravaill!I1414&gt;[1]Result_notebook_retravaill!G1414,[1]Result_notebook_retravaill!I1414/[1]Result_notebook_retravaill!N1414,[1]Result_notebook_retravaill!H1414)</f>
        <v>220736.10314267522</v>
      </c>
      <c r="I1414" s="3">
        <f>[1]Result_notebook_retravaill!K1414</f>
        <v>0</v>
      </c>
      <c r="J1414" s="3">
        <f>MIN(G1414,[1]Result_notebook_retravaill!I1414)</f>
        <v>3008.0333095996998</v>
      </c>
      <c r="K1414" s="3">
        <f>IF([1]Result_notebook_retravaill!I1414&gt;[1]Result_notebook_retravaill!G1414,0,IF([1]Result_notebook_retravaill!I1414+[1]Result_notebook_retravaill!J1414&gt;[1]Result_notebook_retravaill!G1414,[1]Result_notebook_retravaill!G1414-[1]Result_notebook_retravaill!I1414,[1]Result_notebook_retravaill!J1414))</f>
        <v>0</v>
      </c>
      <c r="L1414" s="3">
        <f>IF([1]Result_notebook_retravaill!I1414&gt;[1]Result_notebook_retravaill!G1414,0,IF([1]Result_notebook_retravaill!I1414+[1]Result_notebook_retravaill!J1414&gt;[1]Result_notebook_retravaill!G1414,0,[1]Result_notebook_retravaill!M1414))</f>
        <v>0</v>
      </c>
    </row>
    <row r="1415" spans="1:12">
      <c r="A1415">
        <f>[1]Result_notebook_retravaill!A1415</f>
        <v>2040</v>
      </c>
      <c r="B1415" t="str">
        <f>[1]Result_notebook_retravaill!B1415</f>
        <v>Graphite</v>
      </c>
      <c r="C1415" t="str">
        <f>[1]Result_notebook_retravaill!C1415</f>
        <v>Canada Net-zero</v>
      </c>
      <c r="D1415" t="str">
        <f>[1]Result_notebook_retravaill!D1415</f>
        <v>Production potential</v>
      </c>
      <c r="E1415" t="str">
        <f>[1]Result_notebook_retravaill!E1415</f>
        <v>Current shares</v>
      </c>
      <c r="F1415" t="str">
        <f>[1]Result_notebook_retravaill!F1415</f>
        <v>Expansion Extractive+Circularity</v>
      </c>
      <c r="G1415">
        <f>[1]Result_notebook_retravaill!G1415</f>
        <v>3008.0333095996998</v>
      </c>
      <c r="H1415" s="3">
        <f>IF([1]Result_notebook_retravaill!I1415&gt;[1]Result_notebook_retravaill!G1415,[1]Result_notebook_retravaill!I1415/[1]Result_notebook_retravaill!N1415,[1]Result_notebook_retravaill!H1415)</f>
        <v>220736.10314267522</v>
      </c>
      <c r="I1415" s="3">
        <f>[1]Result_notebook_retravaill!K1415</f>
        <v>0</v>
      </c>
      <c r="J1415" s="3">
        <f>MIN(G1415,[1]Result_notebook_retravaill!I1415)</f>
        <v>3008.0333095996998</v>
      </c>
      <c r="K1415" s="3">
        <f>IF([1]Result_notebook_retravaill!I1415&gt;[1]Result_notebook_retravaill!G1415,0,IF([1]Result_notebook_retravaill!I1415+[1]Result_notebook_retravaill!J1415&gt;[1]Result_notebook_retravaill!G1415,[1]Result_notebook_retravaill!G1415-[1]Result_notebook_retravaill!I1415,[1]Result_notebook_retravaill!J1415))</f>
        <v>0</v>
      </c>
      <c r="L1415" s="3">
        <f>IF([1]Result_notebook_retravaill!I1415&gt;[1]Result_notebook_retravaill!G1415,0,IF([1]Result_notebook_retravaill!I1415+[1]Result_notebook_retravaill!J1415&gt;[1]Result_notebook_retravaill!G1415,0,[1]Result_notebook_retravaill!M1415))</f>
        <v>0</v>
      </c>
    </row>
    <row r="1416" spans="1:12">
      <c r="A1416">
        <f>[1]Result_notebook_retravaill!A1416</f>
        <v>2040</v>
      </c>
      <c r="B1416" t="str">
        <f>[1]Result_notebook_retravaill!B1416</f>
        <v>Graphite</v>
      </c>
      <c r="C1416" t="str">
        <f>[1]Result_notebook_retravaill!C1416</f>
        <v>Canada Net-zero</v>
      </c>
      <c r="D1416" t="str">
        <f>[1]Result_notebook_retravaill!D1416</f>
        <v>Production potential</v>
      </c>
      <c r="E1416" t="str">
        <f>[1]Result_notebook_retravaill!E1416</f>
        <v>100% CAN</v>
      </c>
      <c r="F1416" t="str">
        <f>[1]Result_notebook_retravaill!F1416</f>
        <v>Integrated</v>
      </c>
      <c r="G1416">
        <f>[1]Result_notebook_retravaill!G1416</f>
        <v>3008.0333095996998</v>
      </c>
      <c r="H1416" s="3">
        <f>IF([1]Result_notebook_retravaill!I1416&gt;[1]Result_notebook_retravaill!G1416,[1]Result_notebook_retravaill!I1416/[1]Result_notebook_retravaill!N1416,[1]Result_notebook_retravaill!H1416)</f>
        <v>220736.10314267522</v>
      </c>
      <c r="I1416" s="3">
        <f>[1]Result_notebook_retravaill!K1416</f>
        <v>0</v>
      </c>
      <c r="J1416" s="3">
        <f>MIN(G1416,[1]Result_notebook_retravaill!I1416)</f>
        <v>3008.0333095996998</v>
      </c>
      <c r="K1416" s="3">
        <f>IF([1]Result_notebook_retravaill!I1416&gt;[1]Result_notebook_retravaill!G1416,0,IF([1]Result_notebook_retravaill!I1416+[1]Result_notebook_retravaill!J1416&gt;[1]Result_notebook_retravaill!G1416,[1]Result_notebook_retravaill!G1416-[1]Result_notebook_retravaill!I1416,[1]Result_notebook_retravaill!J1416))</f>
        <v>0</v>
      </c>
      <c r="L1416" s="3">
        <f>IF([1]Result_notebook_retravaill!I1416&gt;[1]Result_notebook_retravaill!G1416,0,IF([1]Result_notebook_retravaill!I1416+[1]Result_notebook_retravaill!J1416&gt;[1]Result_notebook_retravaill!G1416,0,[1]Result_notebook_retravaill!M1416))</f>
        <v>0</v>
      </c>
    </row>
    <row r="1417" spans="1:12">
      <c r="A1417">
        <f>[1]Result_notebook_retravaill!A1417</f>
        <v>2040</v>
      </c>
      <c r="B1417" t="str">
        <f>[1]Result_notebook_retravaill!B1417</f>
        <v>Graphite</v>
      </c>
      <c r="C1417" t="str">
        <f>[1]Result_notebook_retravaill!C1417</f>
        <v>Current Measures</v>
      </c>
      <c r="D1417" t="str">
        <f>[1]Result_notebook_retravaill!D1417</f>
        <v>Existing production</v>
      </c>
      <c r="E1417" t="str">
        <f>[1]Result_notebook_retravaill!E1417</f>
        <v>Current shares</v>
      </c>
      <c r="F1417" t="str">
        <f>[1]Result_notebook_retravaill!F1417</f>
        <v>NIMBY</v>
      </c>
      <c r="G1417">
        <f>[1]Result_notebook_retravaill!G1417</f>
        <v>1109.6184755436821</v>
      </c>
      <c r="H1417" s="3">
        <f>IF([1]Result_notebook_retravaill!I1417&gt;[1]Result_notebook_retravaill!G1417,[1]Result_notebook_retravaill!I1417/[1]Result_notebook_retravaill!N1417,[1]Result_notebook_retravaill!H1417)</f>
        <v>0</v>
      </c>
      <c r="I1417" s="3">
        <f>[1]Result_notebook_retravaill!K1417</f>
        <v>1109.6184755436821</v>
      </c>
      <c r="J1417" s="3">
        <f>MIN(G1417,[1]Result_notebook_retravaill!I1417)</f>
        <v>0</v>
      </c>
      <c r="K1417" s="3">
        <f>IF([1]Result_notebook_retravaill!I1417&gt;[1]Result_notebook_retravaill!G1417,0,IF([1]Result_notebook_retravaill!I1417+[1]Result_notebook_retravaill!J1417&gt;[1]Result_notebook_retravaill!G1417,[1]Result_notebook_retravaill!G1417-[1]Result_notebook_retravaill!I1417,[1]Result_notebook_retravaill!J1417))</f>
        <v>0</v>
      </c>
      <c r="L1417" s="3">
        <f>IF([1]Result_notebook_retravaill!I1417&gt;[1]Result_notebook_retravaill!G1417,0,IF([1]Result_notebook_retravaill!I1417+[1]Result_notebook_retravaill!J1417&gt;[1]Result_notebook_retravaill!G1417,0,[1]Result_notebook_retravaill!M1417))</f>
        <v>1109.6184755436821</v>
      </c>
    </row>
    <row r="1418" spans="1:12">
      <c r="A1418">
        <f>[1]Result_notebook_retravaill!A1418</f>
        <v>2040</v>
      </c>
      <c r="B1418" t="str">
        <f>[1]Result_notebook_retravaill!B1418</f>
        <v>Graphite</v>
      </c>
      <c r="C1418" t="str">
        <f>[1]Result_notebook_retravaill!C1418</f>
        <v>Current Measures</v>
      </c>
      <c r="D1418" t="str">
        <f>[1]Result_notebook_retravaill!D1418</f>
        <v>Existing production</v>
      </c>
      <c r="E1418" t="str">
        <f>[1]Result_notebook_retravaill!E1418</f>
        <v>Current shares</v>
      </c>
      <c r="F1418" t="str">
        <f>[1]Result_notebook_retravaill!F1418</f>
        <v>Status Quo</v>
      </c>
      <c r="G1418">
        <f>[1]Result_notebook_retravaill!G1418</f>
        <v>1109.6184755436821</v>
      </c>
      <c r="H1418" s="3">
        <f>IF([1]Result_notebook_retravaill!I1418&gt;[1]Result_notebook_retravaill!G1418,[1]Result_notebook_retravaill!I1418/[1]Result_notebook_retravaill!N1418,[1]Result_notebook_retravaill!H1418)</f>
        <v>0</v>
      </c>
      <c r="I1418" s="3">
        <f>[1]Result_notebook_retravaill!K1418</f>
        <v>1109.6184755436821</v>
      </c>
      <c r="J1418" s="3">
        <f>MIN(G1418,[1]Result_notebook_retravaill!I1418)</f>
        <v>0</v>
      </c>
      <c r="K1418" s="3">
        <f>IF([1]Result_notebook_retravaill!I1418&gt;[1]Result_notebook_retravaill!G1418,0,IF([1]Result_notebook_retravaill!I1418+[1]Result_notebook_retravaill!J1418&gt;[1]Result_notebook_retravaill!G1418,[1]Result_notebook_retravaill!G1418-[1]Result_notebook_retravaill!I1418,[1]Result_notebook_retravaill!J1418))</f>
        <v>0</v>
      </c>
      <c r="L1418" s="3">
        <f>IF([1]Result_notebook_retravaill!I1418&gt;[1]Result_notebook_retravaill!G1418,0,IF([1]Result_notebook_retravaill!I1418+[1]Result_notebook_retravaill!J1418&gt;[1]Result_notebook_retravaill!G1418,0,[1]Result_notebook_retravaill!M1418))</f>
        <v>1109.6184755436821</v>
      </c>
    </row>
    <row r="1419" spans="1:12">
      <c r="A1419">
        <f>[1]Result_notebook_retravaill!A1419</f>
        <v>2040</v>
      </c>
      <c r="B1419" t="str">
        <f>[1]Result_notebook_retravaill!B1419</f>
        <v>Graphite</v>
      </c>
      <c r="C1419" t="str">
        <f>[1]Result_notebook_retravaill!C1419</f>
        <v>Current Measures</v>
      </c>
      <c r="D1419" t="str">
        <f>[1]Result_notebook_retravaill!D1419</f>
        <v>Production potential</v>
      </c>
      <c r="E1419" t="str">
        <f>[1]Result_notebook_retravaill!E1419</f>
        <v>Current shares</v>
      </c>
      <c r="F1419" t="str">
        <f>[1]Result_notebook_retravaill!F1419</f>
        <v>Expansion Extractive</v>
      </c>
      <c r="G1419">
        <f>[1]Result_notebook_retravaill!G1419</f>
        <v>1109.6184755436821</v>
      </c>
      <c r="H1419" s="3">
        <f>IF([1]Result_notebook_retravaill!I1419&gt;[1]Result_notebook_retravaill!G1419,[1]Result_notebook_retravaill!I1419/[1]Result_notebook_retravaill!N1419,[1]Result_notebook_retravaill!H1419)</f>
        <v>220736.10314267522</v>
      </c>
      <c r="I1419" s="3">
        <f>[1]Result_notebook_retravaill!K1419</f>
        <v>0</v>
      </c>
      <c r="J1419" s="3">
        <f>MIN(G1419,[1]Result_notebook_retravaill!I1419)</f>
        <v>1109.6184755436821</v>
      </c>
      <c r="K1419" s="3">
        <f>IF([1]Result_notebook_retravaill!I1419&gt;[1]Result_notebook_retravaill!G1419,0,IF([1]Result_notebook_retravaill!I1419+[1]Result_notebook_retravaill!J1419&gt;[1]Result_notebook_retravaill!G1419,[1]Result_notebook_retravaill!G1419-[1]Result_notebook_retravaill!I1419,[1]Result_notebook_retravaill!J1419))</f>
        <v>0</v>
      </c>
      <c r="L1419" s="3">
        <f>IF([1]Result_notebook_retravaill!I1419&gt;[1]Result_notebook_retravaill!G1419,0,IF([1]Result_notebook_retravaill!I1419+[1]Result_notebook_retravaill!J1419&gt;[1]Result_notebook_retravaill!G1419,0,[1]Result_notebook_retravaill!M1419))</f>
        <v>0</v>
      </c>
    </row>
    <row r="1420" spans="1:12">
      <c r="A1420">
        <f>[1]Result_notebook_retravaill!A1420</f>
        <v>2040</v>
      </c>
      <c r="B1420" t="str">
        <f>[1]Result_notebook_retravaill!B1420</f>
        <v>Graphite</v>
      </c>
      <c r="C1420" t="str">
        <f>[1]Result_notebook_retravaill!C1420</f>
        <v>Current Measures</v>
      </c>
      <c r="D1420" t="str">
        <f>[1]Result_notebook_retravaill!D1420</f>
        <v>Production potential</v>
      </c>
      <c r="E1420" t="str">
        <f>[1]Result_notebook_retravaill!E1420</f>
        <v>Current shares</v>
      </c>
      <c r="F1420" t="str">
        <f>[1]Result_notebook_retravaill!F1420</f>
        <v>Expansion Extractive+Circularity</v>
      </c>
      <c r="G1420">
        <f>[1]Result_notebook_retravaill!G1420</f>
        <v>1109.6184755436821</v>
      </c>
      <c r="H1420" s="3">
        <f>IF([1]Result_notebook_retravaill!I1420&gt;[1]Result_notebook_retravaill!G1420,[1]Result_notebook_retravaill!I1420/[1]Result_notebook_retravaill!N1420,[1]Result_notebook_retravaill!H1420)</f>
        <v>220736.10314267522</v>
      </c>
      <c r="I1420" s="3">
        <f>[1]Result_notebook_retravaill!K1420</f>
        <v>0</v>
      </c>
      <c r="J1420" s="3">
        <f>MIN(G1420,[1]Result_notebook_retravaill!I1420)</f>
        <v>1109.6184755436821</v>
      </c>
      <c r="K1420" s="3">
        <f>IF([1]Result_notebook_retravaill!I1420&gt;[1]Result_notebook_retravaill!G1420,0,IF([1]Result_notebook_retravaill!I1420+[1]Result_notebook_retravaill!J1420&gt;[1]Result_notebook_retravaill!G1420,[1]Result_notebook_retravaill!G1420-[1]Result_notebook_retravaill!I1420,[1]Result_notebook_retravaill!J1420))</f>
        <v>0</v>
      </c>
      <c r="L1420" s="3">
        <f>IF([1]Result_notebook_retravaill!I1420&gt;[1]Result_notebook_retravaill!G1420,0,IF([1]Result_notebook_retravaill!I1420+[1]Result_notebook_retravaill!J1420&gt;[1]Result_notebook_retravaill!G1420,0,[1]Result_notebook_retravaill!M1420))</f>
        <v>0</v>
      </c>
    </row>
    <row r="1421" spans="1:12">
      <c r="A1421">
        <f>[1]Result_notebook_retravaill!A1421</f>
        <v>2040</v>
      </c>
      <c r="B1421" t="str">
        <f>[1]Result_notebook_retravaill!B1421</f>
        <v>Graphite</v>
      </c>
      <c r="C1421" t="str">
        <f>[1]Result_notebook_retravaill!C1421</f>
        <v>Current Measures</v>
      </c>
      <c r="D1421" t="str">
        <f>[1]Result_notebook_retravaill!D1421</f>
        <v>Production potential</v>
      </c>
      <c r="E1421" t="str">
        <f>[1]Result_notebook_retravaill!E1421</f>
        <v>100% CAN</v>
      </c>
      <c r="F1421" t="str">
        <f>[1]Result_notebook_retravaill!F1421</f>
        <v>Integrated</v>
      </c>
      <c r="G1421">
        <f>[1]Result_notebook_retravaill!G1421</f>
        <v>1109.6184755436821</v>
      </c>
      <c r="H1421" s="3">
        <f>IF([1]Result_notebook_retravaill!I1421&gt;[1]Result_notebook_retravaill!G1421,[1]Result_notebook_retravaill!I1421/[1]Result_notebook_retravaill!N1421,[1]Result_notebook_retravaill!H1421)</f>
        <v>220736.10314267522</v>
      </c>
      <c r="I1421" s="3">
        <f>[1]Result_notebook_retravaill!K1421</f>
        <v>0</v>
      </c>
      <c r="J1421" s="3">
        <f>MIN(G1421,[1]Result_notebook_retravaill!I1421)</f>
        <v>1109.6184755436821</v>
      </c>
      <c r="K1421" s="3">
        <f>IF([1]Result_notebook_retravaill!I1421&gt;[1]Result_notebook_retravaill!G1421,0,IF([1]Result_notebook_retravaill!I1421+[1]Result_notebook_retravaill!J1421&gt;[1]Result_notebook_retravaill!G1421,[1]Result_notebook_retravaill!G1421-[1]Result_notebook_retravaill!I1421,[1]Result_notebook_retravaill!J1421))</f>
        <v>0</v>
      </c>
      <c r="L1421" s="3">
        <f>IF([1]Result_notebook_retravaill!I1421&gt;[1]Result_notebook_retravaill!G1421,0,IF([1]Result_notebook_retravaill!I1421+[1]Result_notebook_retravaill!J1421&gt;[1]Result_notebook_retravaill!G1421,0,[1]Result_notebook_retravaill!M1421))</f>
        <v>0</v>
      </c>
    </row>
    <row r="1422" spans="1:12">
      <c r="A1422">
        <f>[1]Result_notebook_retravaill!A1422</f>
        <v>2040</v>
      </c>
      <c r="B1422" t="str">
        <f>[1]Result_notebook_retravaill!B1422</f>
        <v>Graphite</v>
      </c>
      <c r="C1422" t="str">
        <f>[1]Result_notebook_retravaill!C1422</f>
        <v>Global Net-zero</v>
      </c>
      <c r="D1422" t="str">
        <f>[1]Result_notebook_retravaill!D1422</f>
        <v>Existing production</v>
      </c>
      <c r="E1422" t="str">
        <f>[1]Result_notebook_retravaill!E1422</f>
        <v>Current shares</v>
      </c>
      <c r="F1422" t="str">
        <f>[1]Result_notebook_retravaill!F1422</f>
        <v>NIMBY</v>
      </c>
      <c r="G1422">
        <f>[1]Result_notebook_retravaill!G1422</f>
        <v>2865.2791135592711</v>
      </c>
      <c r="H1422" s="3">
        <f>IF([1]Result_notebook_retravaill!I1422&gt;[1]Result_notebook_retravaill!G1422,[1]Result_notebook_retravaill!I1422/[1]Result_notebook_retravaill!N1422,[1]Result_notebook_retravaill!H1422)</f>
        <v>0</v>
      </c>
      <c r="I1422" s="3">
        <f>[1]Result_notebook_retravaill!K1422</f>
        <v>2865.2791135592711</v>
      </c>
      <c r="J1422" s="3">
        <f>MIN(G1422,[1]Result_notebook_retravaill!I1422)</f>
        <v>0</v>
      </c>
      <c r="K1422" s="3">
        <f>IF([1]Result_notebook_retravaill!I1422&gt;[1]Result_notebook_retravaill!G1422,0,IF([1]Result_notebook_retravaill!I1422+[1]Result_notebook_retravaill!J1422&gt;[1]Result_notebook_retravaill!G1422,[1]Result_notebook_retravaill!G1422-[1]Result_notebook_retravaill!I1422,[1]Result_notebook_retravaill!J1422))</f>
        <v>0</v>
      </c>
      <c r="L1422" s="3">
        <f>IF([1]Result_notebook_retravaill!I1422&gt;[1]Result_notebook_retravaill!G1422,0,IF([1]Result_notebook_retravaill!I1422+[1]Result_notebook_retravaill!J1422&gt;[1]Result_notebook_retravaill!G1422,0,[1]Result_notebook_retravaill!M1422))</f>
        <v>2865.2791135592711</v>
      </c>
    </row>
    <row r="1423" spans="1:12">
      <c r="A1423">
        <f>[1]Result_notebook_retravaill!A1423</f>
        <v>2040</v>
      </c>
      <c r="B1423" t="str">
        <f>[1]Result_notebook_retravaill!B1423</f>
        <v>Graphite</v>
      </c>
      <c r="C1423" t="str">
        <f>[1]Result_notebook_retravaill!C1423</f>
        <v>Global Net-zero</v>
      </c>
      <c r="D1423" t="str">
        <f>[1]Result_notebook_retravaill!D1423</f>
        <v>Existing production</v>
      </c>
      <c r="E1423" t="str">
        <f>[1]Result_notebook_retravaill!E1423</f>
        <v>Current shares</v>
      </c>
      <c r="F1423" t="str">
        <f>[1]Result_notebook_retravaill!F1423</f>
        <v>Status Quo</v>
      </c>
      <c r="G1423">
        <f>[1]Result_notebook_retravaill!G1423</f>
        <v>2865.2791135592711</v>
      </c>
      <c r="H1423" s="3">
        <f>IF([1]Result_notebook_retravaill!I1423&gt;[1]Result_notebook_retravaill!G1423,[1]Result_notebook_retravaill!I1423/[1]Result_notebook_retravaill!N1423,[1]Result_notebook_retravaill!H1423)</f>
        <v>0</v>
      </c>
      <c r="I1423" s="3">
        <f>[1]Result_notebook_retravaill!K1423</f>
        <v>2865.2791135592711</v>
      </c>
      <c r="J1423" s="3">
        <f>MIN(G1423,[1]Result_notebook_retravaill!I1423)</f>
        <v>0</v>
      </c>
      <c r="K1423" s="3">
        <f>IF([1]Result_notebook_retravaill!I1423&gt;[1]Result_notebook_retravaill!G1423,0,IF([1]Result_notebook_retravaill!I1423+[1]Result_notebook_retravaill!J1423&gt;[1]Result_notebook_retravaill!G1423,[1]Result_notebook_retravaill!G1423-[1]Result_notebook_retravaill!I1423,[1]Result_notebook_retravaill!J1423))</f>
        <v>0</v>
      </c>
      <c r="L1423" s="3">
        <f>IF([1]Result_notebook_retravaill!I1423&gt;[1]Result_notebook_retravaill!G1423,0,IF([1]Result_notebook_retravaill!I1423+[1]Result_notebook_retravaill!J1423&gt;[1]Result_notebook_retravaill!G1423,0,[1]Result_notebook_retravaill!M1423))</f>
        <v>2865.2791135592711</v>
      </c>
    </row>
    <row r="1424" spans="1:12">
      <c r="A1424">
        <f>[1]Result_notebook_retravaill!A1424</f>
        <v>2040</v>
      </c>
      <c r="B1424" t="str">
        <f>[1]Result_notebook_retravaill!B1424</f>
        <v>Graphite</v>
      </c>
      <c r="C1424" t="str">
        <f>[1]Result_notebook_retravaill!C1424</f>
        <v>Global Net-zero</v>
      </c>
      <c r="D1424" t="str">
        <f>[1]Result_notebook_retravaill!D1424</f>
        <v>Production potential</v>
      </c>
      <c r="E1424" t="str">
        <f>[1]Result_notebook_retravaill!E1424</f>
        <v>Current shares</v>
      </c>
      <c r="F1424" t="str">
        <f>[1]Result_notebook_retravaill!F1424</f>
        <v>Expansion Extractive</v>
      </c>
      <c r="G1424">
        <f>[1]Result_notebook_retravaill!G1424</f>
        <v>2865.2791135592711</v>
      </c>
      <c r="H1424" s="3">
        <f>IF([1]Result_notebook_retravaill!I1424&gt;[1]Result_notebook_retravaill!G1424,[1]Result_notebook_retravaill!I1424/[1]Result_notebook_retravaill!N1424,[1]Result_notebook_retravaill!H1424)</f>
        <v>220736.10314267522</v>
      </c>
      <c r="I1424" s="3">
        <f>[1]Result_notebook_retravaill!K1424</f>
        <v>0</v>
      </c>
      <c r="J1424" s="3">
        <f>MIN(G1424,[1]Result_notebook_retravaill!I1424)</f>
        <v>2865.2791135592711</v>
      </c>
      <c r="K1424" s="3">
        <f>IF([1]Result_notebook_retravaill!I1424&gt;[1]Result_notebook_retravaill!G1424,0,IF([1]Result_notebook_retravaill!I1424+[1]Result_notebook_retravaill!J1424&gt;[1]Result_notebook_retravaill!G1424,[1]Result_notebook_retravaill!G1424-[1]Result_notebook_retravaill!I1424,[1]Result_notebook_retravaill!J1424))</f>
        <v>0</v>
      </c>
      <c r="L1424" s="3">
        <f>IF([1]Result_notebook_retravaill!I1424&gt;[1]Result_notebook_retravaill!G1424,0,IF([1]Result_notebook_retravaill!I1424+[1]Result_notebook_retravaill!J1424&gt;[1]Result_notebook_retravaill!G1424,0,[1]Result_notebook_retravaill!M1424))</f>
        <v>0</v>
      </c>
    </row>
    <row r="1425" spans="1:12">
      <c r="A1425">
        <f>[1]Result_notebook_retravaill!A1425</f>
        <v>2040</v>
      </c>
      <c r="B1425" t="str">
        <f>[1]Result_notebook_retravaill!B1425</f>
        <v>Graphite</v>
      </c>
      <c r="C1425" t="str">
        <f>[1]Result_notebook_retravaill!C1425</f>
        <v>Global Net-zero</v>
      </c>
      <c r="D1425" t="str">
        <f>[1]Result_notebook_retravaill!D1425</f>
        <v>Production potential</v>
      </c>
      <c r="E1425" t="str">
        <f>[1]Result_notebook_retravaill!E1425</f>
        <v>Current shares</v>
      </c>
      <c r="F1425" t="str">
        <f>[1]Result_notebook_retravaill!F1425</f>
        <v>Expansion Extractive+Circularity</v>
      </c>
      <c r="G1425">
        <f>[1]Result_notebook_retravaill!G1425</f>
        <v>2865.2791135592711</v>
      </c>
      <c r="H1425" s="3">
        <f>IF([1]Result_notebook_retravaill!I1425&gt;[1]Result_notebook_retravaill!G1425,[1]Result_notebook_retravaill!I1425/[1]Result_notebook_retravaill!N1425,[1]Result_notebook_retravaill!H1425)</f>
        <v>220736.10314267522</v>
      </c>
      <c r="I1425" s="3">
        <f>[1]Result_notebook_retravaill!K1425</f>
        <v>0</v>
      </c>
      <c r="J1425" s="3">
        <f>MIN(G1425,[1]Result_notebook_retravaill!I1425)</f>
        <v>2865.2791135592711</v>
      </c>
      <c r="K1425" s="3">
        <f>IF([1]Result_notebook_retravaill!I1425&gt;[1]Result_notebook_retravaill!G1425,0,IF([1]Result_notebook_retravaill!I1425+[1]Result_notebook_retravaill!J1425&gt;[1]Result_notebook_retravaill!G1425,[1]Result_notebook_retravaill!G1425-[1]Result_notebook_retravaill!I1425,[1]Result_notebook_retravaill!J1425))</f>
        <v>0</v>
      </c>
      <c r="L1425" s="3">
        <f>IF([1]Result_notebook_retravaill!I1425&gt;[1]Result_notebook_retravaill!G1425,0,IF([1]Result_notebook_retravaill!I1425+[1]Result_notebook_retravaill!J1425&gt;[1]Result_notebook_retravaill!G1425,0,[1]Result_notebook_retravaill!M1425))</f>
        <v>0</v>
      </c>
    </row>
    <row r="1426" spans="1:12">
      <c r="A1426">
        <f>[1]Result_notebook_retravaill!A1426</f>
        <v>2040</v>
      </c>
      <c r="B1426" t="str">
        <f>[1]Result_notebook_retravaill!B1426</f>
        <v>Graphite</v>
      </c>
      <c r="C1426" t="str">
        <f>[1]Result_notebook_retravaill!C1426</f>
        <v>Global Net-zero</v>
      </c>
      <c r="D1426" t="str">
        <f>[1]Result_notebook_retravaill!D1426</f>
        <v>Production potential</v>
      </c>
      <c r="E1426" t="str">
        <f>[1]Result_notebook_retravaill!E1426</f>
        <v>100% CAN</v>
      </c>
      <c r="F1426" t="str">
        <f>[1]Result_notebook_retravaill!F1426</f>
        <v>Integrated</v>
      </c>
      <c r="G1426">
        <f>[1]Result_notebook_retravaill!G1426</f>
        <v>2865.2791135592711</v>
      </c>
      <c r="H1426" s="3">
        <f>IF([1]Result_notebook_retravaill!I1426&gt;[1]Result_notebook_retravaill!G1426,[1]Result_notebook_retravaill!I1426/[1]Result_notebook_retravaill!N1426,[1]Result_notebook_retravaill!H1426)</f>
        <v>220736.10314267522</v>
      </c>
      <c r="I1426" s="3">
        <f>[1]Result_notebook_retravaill!K1426</f>
        <v>0</v>
      </c>
      <c r="J1426" s="3">
        <f>MIN(G1426,[1]Result_notebook_retravaill!I1426)</f>
        <v>2865.2791135592711</v>
      </c>
      <c r="K1426" s="3">
        <f>IF([1]Result_notebook_retravaill!I1426&gt;[1]Result_notebook_retravaill!G1426,0,IF([1]Result_notebook_retravaill!I1426+[1]Result_notebook_retravaill!J1426&gt;[1]Result_notebook_retravaill!G1426,[1]Result_notebook_retravaill!G1426-[1]Result_notebook_retravaill!I1426,[1]Result_notebook_retravaill!J1426))</f>
        <v>0</v>
      </c>
      <c r="L1426" s="3">
        <f>IF([1]Result_notebook_retravaill!I1426&gt;[1]Result_notebook_retravaill!G1426,0,IF([1]Result_notebook_retravaill!I1426+[1]Result_notebook_retravaill!J1426&gt;[1]Result_notebook_retravaill!G1426,0,[1]Result_notebook_retravaill!M1426))</f>
        <v>0</v>
      </c>
    </row>
    <row r="1427" spans="1:12">
      <c r="A1427">
        <f>[1]Result_notebook_retravaill!A1427</f>
        <v>2040</v>
      </c>
      <c r="B1427" t="str">
        <f>[1]Result_notebook_retravaill!B1427</f>
        <v>Lithium</v>
      </c>
      <c r="C1427" t="str">
        <f>[1]Result_notebook_retravaill!C1427</f>
        <v>Canada Net-zero</v>
      </c>
      <c r="D1427" t="str">
        <f>[1]Result_notebook_retravaill!D1427</f>
        <v>Existing production</v>
      </c>
      <c r="E1427" t="str">
        <f>[1]Result_notebook_retravaill!E1427</f>
        <v>Current shares</v>
      </c>
      <c r="F1427" t="str">
        <f>[1]Result_notebook_retravaill!F1427</f>
        <v>NIMBY</v>
      </c>
      <c r="G1427">
        <f>[1]Result_notebook_retravaill!G1427</f>
        <v>86988.213251106645</v>
      </c>
      <c r="H1427" s="3">
        <f>IF([1]Result_notebook_retravaill!I1427&gt;[1]Result_notebook_retravaill!G1427,[1]Result_notebook_retravaill!I1427/[1]Result_notebook_retravaill!N1427,[1]Result_notebook_retravaill!H1427)</f>
        <v>0</v>
      </c>
      <c r="I1427" s="3">
        <f>[1]Result_notebook_retravaill!K1427</f>
        <v>124268.87607300949</v>
      </c>
      <c r="J1427" s="3">
        <f>MIN(G1427,[1]Result_notebook_retravaill!I1427)</f>
        <v>0</v>
      </c>
      <c r="K1427" s="3">
        <f>IF([1]Result_notebook_retravaill!I1427&gt;[1]Result_notebook_retravaill!G1427,0,IF([1]Result_notebook_retravaill!I1427+[1]Result_notebook_retravaill!J1427&gt;[1]Result_notebook_retravaill!G1427,[1]Result_notebook_retravaill!G1427-[1]Result_notebook_retravaill!I1427,[1]Result_notebook_retravaill!J1427))</f>
        <v>0</v>
      </c>
      <c r="L1427" s="3">
        <f>IF([1]Result_notebook_retravaill!I1427&gt;[1]Result_notebook_retravaill!G1427,0,IF([1]Result_notebook_retravaill!I1427+[1]Result_notebook_retravaill!J1427&gt;[1]Result_notebook_retravaill!G1427,0,[1]Result_notebook_retravaill!M1427))</f>
        <v>86988.213251106645</v>
      </c>
    </row>
    <row r="1428" spans="1:12">
      <c r="A1428">
        <f>[1]Result_notebook_retravaill!A1428</f>
        <v>2040</v>
      </c>
      <c r="B1428" t="str">
        <f>[1]Result_notebook_retravaill!B1428</f>
        <v>Lithium</v>
      </c>
      <c r="C1428" t="str">
        <f>[1]Result_notebook_retravaill!C1428</f>
        <v>Canada Net-zero</v>
      </c>
      <c r="D1428" t="str">
        <f>[1]Result_notebook_retravaill!D1428</f>
        <v>Existing production</v>
      </c>
      <c r="E1428" t="str">
        <f>[1]Result_notebook_retravaill!E1428</f>
        <v>Current shares</v>
      </c>
      <c r="F1428" t="str">
        <f>[1]Result_notebook_retravaill!F1428</f>
        <v>Status Quo</v>
      </c>
      <c r="G1428">
        <f>[1]Result_notebook_retravaill!G1428</f>
        <v>86988.213251106645</v>
      </c>
      <c r="H1428" s="3">
        <f>IF([1]Result_notebook_retravaill!I1428&gt;[1]Result_notebook_retravaill!G1428,[1]Result_notebook_retravaill!I1428/[1]Result_notebook_retravaill!N1428,[1]Result_notebook_retravaill!H1428)</f>
        <v>42827</v>
      </c>
      <c r="I1428" s="3">
        <f>[1]Result_notebook_retravaill!K1428</f>
        <v>81441.876073009495</v>
      </c>
      <c r="J1428" s="3">
        <f>MIN(G1428,[1]Result_notebook_retravaill!I1428)</f>
        <v>29943.37375789979</v>
      </c>
      <c r="K1428" s="3">
        <f>IF([1]Result_notebook_retravaill!I1428&gt;[1]Result_notebook_retravaill!G1428,0,IF([1]Result_notebook_retravaill!I1428+[1]Result_notebook_retravaill!J1428&gt;[1]Result_notebook_retravaill!G1428,[1]Result_notebook_retravaill!G1428-[1]Result_notebook_retravaill!I1428,[1]Result_notebook_retravaill!J1428))</f>
        <v>3785.2440925087431</v>
      </c>
      <c r="L1428" s="3">
        <f>IF([1]Result_notebook_retravaill!I1428&gt;[1]Result_notebook_retravaill!G1428,0,IF([1]Result_notebook_retravaill!I1428+[1]Result_notebook_retravaill!J1428&gt;[1]Result_notebook_retravaill!G1428,0,[1]Result_notebook_retravaill!M1428))</f>
        <v>53259.595400698119</v>
      </c>
    </row>
    <row r="1429" spans="1:12">
      <c r="A1429">
        <f>[1]Result_notebook_retravaill!A1429</f>
        <v>2040</v>
      </c>
      <c r="B1429" t="str">
        <f>[1]Result_notebook_retravaill!B1429</f>
        <v>Lithium</v>
      </c>
      <c r="C1429" t="str">
        <f>[1]Result_notebook_retravaill!C1429</f>
        <v>Canada Net-zero</v>
      </c>
      <c r="D1429" t="str">
        <f>[1]Result_notebook_retravaill!D1429</f>
        <v>Production potential</v>
      </c>
      <c r="E1429" t="str">
        <f>[1]Result_notebook_retravaill!E1429</f>
        <v>Current shares</v>
      </c>
      <c r="F1429" t="str">
        <f>[1]Result_notebook_retravaill!F1429</f>
        <v>Expansion Extractive</v>
      </c>
      <c r="G1429">
        <f>[1]Result_notebook_retravaill!G1429</f>
        <v>86988.213251106645</v>
      </c>
      <c r="H1429" s="3">
        <f>IF([1]Result_notebook_retravaill!I1429&gt;[1]Result_notebook_retravaill!G1429,[1]Result_notebook_retravaill!I1429/[1]Result_notebook_retravaill!N1429,[1]Result_notebook_retravaill!H1429)</f>
        <v>546434.99714327487</v>
      </c>
      <c r="I1429" s="3">
        <f>[1]Result_notebook_retravaill!K1429</f>
        <v>0</v>
      </c>
      <c r="J1429" s="3">
        <f>MIN(G1429,[1]Result_notebook_retravaill!I1429)</f>
        <v>86988.213251106645</v>
      </c>
      <c r="K1429" s="3">
        <f>IF([1]Result_notebook_retravaill!I1429&gt;[1]Result_notebook_retravaill!G1429,0,IF([1]Result_notebook_retravaill!I1429+[1]Result_notebook_retravaill!J1429&gt;[1]Result_notebook_retravaill!G1429,[1]Result_notebook_retravaill!G1429-[1]Result_notebook_retravaill!I1429,[1]Result_notebook_retravaill!J1429))</f>
        <v>0</v>
      </c>
      <c r="L1429" s="3">
        <f>IF([1]Result_notebook_retravaill!I1429&gt;[1]Result_notebook_retravaill!G1429,0,IF([1]Result_notebook_retravaill!I1429+[1]Result_notebook_retravaill!J1429&gt;[1]Result_notebook_retravaill!G1429,0,[1]Result_notebook_retravaill!M1429))</f>
        <v>0</v>
      </c>
    </row>
    <row r="1430" spans="1:12">
      <c r="A1430">
        <f>[1]Result_notebook_retravaill!A1430</f>
        <v>2040</v>
      </c>
      <c r="B1430" t="str">
        <f>[1]Result_notebook_retravaill!B1430</f>
        <v>Lithium</v>
      </c>
      <c r="C1430" t="str">
        <f>[1]Result_notebook_retravaill!C1430</f>
        <v>Canada Net-zero</v>
      </c>
      <c r="D1430" t="str">
        <f>[1]Result_notebook_retravaill!D1430</f>
        <v>Production potential</v>
      </c>
      <c r="E1430" t="str">
        <f>[1]Result_notebook_retravaill!E1430</f>
        <v>Current shares</v>
      </c>
      <c r="F1430" t="str">
        <f>[1]Result_notebook_retravaill!F1430</f>
        <v>Expansion Extractive+Circularity</v>
      </c>
      <c r="G1430">
        <f>[1]Result_notebook_retravaill!G1430</f>
        <v>86988.213251106645</v>
      </c>
      <c r="H1430" s="3">
        <f>IF([1]Result_notebook_retravaill!I1430&gt;[1]Result_notebook_retravaill!G1430,[1]Result_notebook_retravaill!I1430/[1]Result_notebook_retravaill!N1430,[1]Result_notebook_retravaill!H1430)</f>
        <v>546434.99714327487</v>
      </c>
      <c r="I1430" s="3">
        <f>[1]Result_notebook_retravaill!K1430</f>
        <v>0</v>
      </c>
      <c r="J1430" s="3">
        <f>MIN(G1430,[1]Result_notebook_retravaill!I1430)</f>
        <v>86988.213251106645</v>
      </c>
      <c r="K1430" s="3">
        <f>IF([1]Result_notebook_retravaill!I1430&gt;[1]Result_notebook_retravaill!G1430,0,IF([1]Result_notebook_retravaill!I1430+[1]Result_notebook_retravaill!J1430&gt;[1]Result_notebook_retravaill!G1430,[1]Result_notebook_retravaill!G1430-[1]Result_notebook_retravaill!I1430,[1]Result_notebook_retravaill!J1430))</f>
        <v>0</v>
      </c>
      <c r="L1430" s="3">
        <f>IF([1]Result_notebook_retravaill!I1430&gt;[1]Result_notebook_retravaill!G1430,0,IF([1]Result_notebook_retravaill!I1430+[1]Result_notebook_retravaill!J1430&gt;[1]Result_notebook_retravaill!G1430,0,[1]Result_notebook_retravaill!M1430))</f>
        <v>0</v>
      </c>
    </row>
    <row r="1431" spans="1:12">
      <c r="A1431">
        <f>[1]Result_notebook_retravaill!A1431</f>
        <v>2040</v>
      </c>
      <c r="B1431" t="str">
        <f>[1]Result_notebook_retravaill!B1431</f>
        <v>Lithium</v>
      </c>
      <c r="C1431" t="str">
        <f>[1]Result_notebook_retravaill!C1431</f>
        <v>Canada Net-zero</v>
      </c>
      <c r="D1431" t="str">
        <f>[1]Result_notebook_retravaill!D1431</f>
        <v>Production potential</v>
      </c>
      <c r="E1431" t="str">
        <f>[1]Result_notebook_retravaill!E1431</f>
        <v>100% CAN</v>
      </c>
      <c r="F1431" t="str">
        <f>[1]Result_notebook_retravaill!F1431</f>
        <v>Integrated</v>
      </c>
      <c r="G1431">
        <f>[1]Result_notebook_retravaill!G1431</f>
        <v>86988.213251106645</v>
      </c>
      <c r="H1431" s="3">
        <f>IF([1]Result_notebook_retravaill!I1431&gt;[1]Result_notebook_retravaill!G1431,[1]Result_notebook_retravaill!I1431/[1]Result_notebook_retravaill!N1431,[1]Result_notebook_retravaill!H1431)</f>
        <v>546434.99714327487</v>
      </c>
      <c r="I1431" s="3">
        <f>[1]Result_notebook_retravaill!K1431</f>
        <v>0</v>
      </c>
      <c r="J1431" s="3">
        <f>MIN(G1431,[1]Result_notebook_retravaill!I1431)</f>
        <v>86988.213251106645</v>
      </c>
      <c r="K1431" s="3">
        <f>IF([1]Result_notebook_retravaill!I1431&gt;[1]Result_notebook_retravaill!G1431,0,IF([1]Result_notebook_retravaill!I1431+[1]Result_notebook_retravaill!J1431&gt;[1]Result_notebook_retravaill!G1431,[1]Result_notebook_retravaill!G1431-[1]Result_notebook_retravaill!I1431,[1]Result_notebook_retravaill!J1431))</f>
        <v>0</v>
      </c>
      <c r="L1431" s="3">
        <f>IF([1]Result_notebook_retravaill!I1431&gt;[1]Result_notebook_retravaill!G1431,0,IF([1]Result_notebook_retravaill!I1431+[1]Result_notebook_retravaill!J1431&gt;[1]Result_notebook_retravaill!G1431,0,[1]Result_notebook_retravaill!M1431))</f>
        <v>0</v>
      </c>
    </row>
    <row r="1432" spans="1:12">
      <c r="A1432">
        <f>[1]Result_notebook_retravaill!A1432</f>
        <v>2040</v>
      </c>
      <c r="B1432" t="str">
        <f>[1]Result_notebook_retravaill!B1432</f>
        <v>Lithium</v>
      </c>
      <c r="C1432" t="str">
        <f>[1]Result_notebook_retravaill!C1432</f>
        <v>Current Measures</v>
      </c>
      <c r="D1432" t="str">
        <f>[1]Result_notebook_retravaill!D1432</f>
        <v>Existing production</v>
      </c>
      <c r="E1432" t="str">
        <f>[1]Result_notebook_retravaill!E1432</f>
        <v>Current shares</v>
      </c>
      <c r="F1432" t="str">
        <f>[1]Result_notebook_retravaill!F1432</f>
        <v>NIMBY</v>
      </c>
      <c r="G1432">
        <f>[1]Result_notebook_retravaill!G1432</f>
        <v>32088.650172163962</v>
      </c>
      <c r="H1432" s="3">
        <f>IF([1]Result_notebook_retravaill!I1432&gt;[1]Result_notebook_retravaill!G1432,[1]Result_notebook_retravaill!I1432/[1]Result_notebook_retravaill!N1432,[1]Result_notebook_retravaill!H1432)</f>
        <v>0</v>
      </c>
      <c r="I1432" s="3">
        <f>[1]Result_notebook_retravaill!K1432</f>
        <v>45840.928817377091</v>
      </c>
      <c r="J1432" s="3">
        <f>MIN(G1432,[1]Result_notebook_retravaill!I1432)</f>
        <v>0</v>
      </c>
      <c r="K1432" s="3">
        <f>IF([1]Result_notebook_retravaill!I1432&gt;[1]Result_notebook_retravaill!G1432,0,IF([1]Result_notebook_retravaill!I1432+[1]Result_notebook_retravaill!J1432&gt;[1]Result_notebook_retravaill!G1432,[1]Result_notebook_retravaill!G1432-[1]Result_notebook_retravaill!I1432,[1]Result_notebook_retravaill!J1432))</f>
        <v>0</v>
      </c>
      <c r="L1432" s="3">
        <f>IF([1]Result_notebook_retravaill!I1432&gt;[1]Result_notebook_retravaill!G1432,0,IF([1]Result_notebook_retravaill!I1432+[1]Result_notebook_retravaill!J1432&gt;[1]Result_notebook_retravaill!G1432,0,[1]Result_notebook_retravaill!M1432))</f>
        <v>32088.650172163962</v>
      </c>
    </row>
    <row r="1433" spans="1:12">
      <c r="A1433">
        <f>[1]Result_notebook_retravaill!A1433</f>
        <v>2040</v>
      </c>
      <c r="B1433" t="str">
        <f>[1]Result_notebook_retravaill!B1433</f>
        <v>Lithium</v>
      </c>
      <c r="C1433" t="str">
        <f>[1]Result_notebook_retravaill!C1433</f>
        <v>Current Measures</v>
      </c>
      <c r="D1433" t="str">
        <f>[1]Result_notebook_retravaill!D1433</f>
        <v>Existing production</v>
      </c>
      <c r="E1433" t="str">
        <f>[1]Result_notebook_retravaill!E1433</f>
        <v>Current shares</v>
      </c>
      <c r="F1433" t="str">
        <f>[1]Result_notebook_retravaill!F1433</f>
        <v>Status Quo</v>
      </c>
      <c r="G1433">
        <f>[1]Result_notebook_retravaill!G1433</f>
        <v>32088.650172163962</v>
      </c>
      <c r="H1433" s="3">
        <f>IF([1]Result_notebook_retravaill!I1433&gt;[1]Result_notebook_retravaill!G1433,[1]Result_notebook_retravaill!I1433/[1]Result_notebook_retravaill!N1433,[1]Result_notebook_retravaill!H1433)</f>
        <v>42827</v>
      </c>
      <c r="I1433" s="3">
        <f>[1]Result_notebook_retravaill!K1433</f>
        <v>3013.928817377091</v>
      </c>
      <c r="J1433" s="3">
        <f>MIN(G1433,[1]Result_notebook_retravaill!I1433)</f>
        <v>29943.37375789979</v>
      </c>
      <c r="K1433" s="3">
        <f>IF([1]Result_notebook_retravaill!I1433&gt;[1]Result_notebook_retravaill!G1433,0,IF([1]Result_notebook_retravaill!I1433+[1]Result_notebook_retravaill!J1433&gt;[1]Result_notebook_retravaill!G1433,[1]Result_notebook_retravaill!G1433-[1]Result_notebook_retravaill!I1433,[1]Result_notebook_retravaill!J1433))</f>
        <v>2145.2764142641718</v>
      </c>
      <c r="L1433" s="3">
        <f>IF([1]Result_notebook_retravaill!I1433&gt;[1]Result_notebook_retravaill!G1433,0,IF([1]Result_notebook_retravaill!I1433+[1]Result_notebook_retravaill!J1433&gt;[1]Result_notebook_retravaill!G1433,0,[1]Result_notebook_retravaill!M1433))</f>
        <v>0</v>
      </c>
    </row>
    <row r="1434" spans="1:12">
      <c r="A1434">
        <f>[1]Result_notebook_retravaill!A1434</f>
        <v>2040</v>
      </c>
      <c r="B1434" t="str">
        <f>[1]Result_notebook_retravaill!B1434</f>
        <v>Lithium</v>
      </c>
      <c r="C1434" t="str">
        <f>[1]Result_notebook_retravaill!C1434</f>
        <v>Current Measures</v>
      </c>
      <c r="D1434" t="str">
        <f>[1]Result_notebook_retravaill!D1434</f>
        <v>Production potential</v>
      </c>
      <c r="E1434" t="str">
        <f>[1]Result_notebook_retravaill!E1434</f>
        <v>Current shares</v>
      </c>
      <c r="F1434" t="str">
        <f>[1]Result_notebook_retravaill!F1434</f>
        <v>Expansion Extractive</v>
      </c>
      <c r="G1434">
        <f>[1]Result_notebook_retravaill!G1434</f>
        <v>32088.650172163962</v>
      </c>
      <c r="H1434" s="3">
        <f>IF([1]Result_notebook_retravaill!I1434&gt;[1]Result_notebook_retravaill!G1434,[1]Result_notebook_retravaill!I1434/[1]Result_notebook_retravaill!N1434,[1]Result_notebook_retravaill!H1434)</f>
        <v>546434.99714327487</v>
      </c>
      <c r="I1434" s="3">
        <f>[1]Result_notebook_retravaill!K1434</f>
        <v>0</v>
      </c>
      <c r="J1434" s="3">
        <f>MIN(G1434,[1]Result_notebook_retravaill!I1434)</f>
        <v>32088.650172163962</v>
      </c>
      <c r="K1434" s="3">
        <f>IF([1]Result_notebook_retravaill!I1434&gt;[1]Result_notebook_retravaill!G1434,0,IF([1]Result_notebook_retravaill!I1434+[1]Result_notebook_retravaill!J1434&gt;[1]Result_notebook_retravaill!G1434,[1]Result_notebook_retravaill!G1434-[1]Result_notebook_retravaill!I1434,[1]Result_notebook_retravaill!J1434))</f>
        <v>0</v>
      </c>
      <c r="L1434" s="3">
        <f>IF([1]Result_notebook_retravaill!I1434&gt;[1]Result_notebook_retravaill!G1434,0,IF([1]Result_notebook_retravaill!I1434+[1]Result_notebook_retravaill!J1434&gt;[1]Result_notebook_retravaill!G1434,0,[1]Result_notebook_retravaill!M1434))</f>
        <v>0</v>
      </c>
    </row>
    <row r="1435" spans="1:12">
      <c r="A1435">
        <f>[1]Result_notebook_retravaill!A1435</f>
        <v>2040</v>
      </c>
      <c r="B1435" t="str">
        <f>[1]Result_notebook_retravaill!B1435</f>
        <v>Lithium</v>
      </c>
      <c r="C1435" t="str">
        <f>[1]Result_notebook_retravaill!C1435</f>
        <v>Current Measures</v>
      </c>
      <c r="D1435" t="str">
        <f>[1]Result_notebook_retravaill!D1435</f>
        <v>Production potential</v>
      </c>
      <c r="E1435" t="str">
        <f>[1]Result_notebook_retravaill!E1435</f>
        <v>Current shares</v>
      </c>
      <c r="F1435" t="str">
        <f>[1]Result_notebook_retravaill!F1435</f>
        <v>Expansion Extractive+Circularity</v>
      </c>
      <c r="G1435">
        <f>[1]Result_notebook_retravaill!G1435</f>
        <v>32088.650172163962</v>
      </c>
      <c r="H1435" s="3">
        <f>IF([1]Result_notebook_retravaill!I1435&gt;[1]Result_notebook_retravaill!G1435,[1]Result_notebook_retravaill!I1435/[1]Result_notebook_retravaill!N1435,[1]Result_notebook_retravaill!H1435)</f>
        <v>546434.99714327487</v>
      </c>
      <c r="I1435" s="3">
        <f>[1]Result_notebook_retravaill!K1435</f>
        <v>0</v>
      </c>
      <c r="J1435" s="3">
        <f>MIN(G1435,[1]Result_notebook_retravaill!I1435)</f>
        <v>32088.650172163962</v>
      </c>
      <c r="K1435" s="3">
        <f>IF([1]Result_notebook_retravaill!I1435&gt;[1]Result_notebook_retravaill!G1435,0,IF([1]Result_notebook_retravaill!I1435+[1]Result_notebook_retravaill!J1435&gt;[1]Result_notebook_retravaill!G1435,[1]Result_notebook_retravaill!G1435-[1]Result_notebook_retravaill!I1435,[1]Result_notebook_retravaill!J1435))</f>
        <v>0</v>
      </c>
      <c r="L1435" s="3">
        <f>IF([1]Result_notebook_retravaill!I1435&gt;[1]Result_notebook_retravaill!G1435,0,IF([1]Result_notebook_retravaill!I1435+[1]Result_notebook_retravaill!J1435&gt;[1]Result_notebook_retravaill!G1435,0,[1]Result_notebook_retravaill!M1435))</f>
        <v>0</v>
      </c>
    </row>
    <row r="1436" spans="1:12">
      <c r="A1436">
        <f>[1]Result_notebook_retravaill!A1436</f>
        <v>2040</v>
      </c>
      <c r="B1436" t="str">
        <f>[1]Result_notebook_retravaill!B1436</f>
        <v>Lithium</v>
      </c>
      <c r="C1436" t="str">
        <f>[1]Result_notebook_retravaill!C1436</f>
        <v>Current Measures</v>
      </c>
      <c r="D1436" t="str">
        <f>[1]Result_notebook_retravaill!D1436</f>
        <v>Production potential</v>
      </c>
      <c r="E1436" t="str">
        <f>[1]Result_notebook_retravaill!E1436</f>
        <v>100% CAN</v>
      </c>
      <c r="F1436" t="str">
        <f>[1]Result_notebook_retravaill!F1436</f>
        <v>Integrated</v>
      </c>
      <c r="G1436">
        <f>[1]Result_notebook_retravaill!G1436</f>
        <v>32088.650172163962</v>
      </c>
      <c r="H1436" s="3">
        <f>IF([1]Result_notebook_retravaill!I1436&gt;[1]Result_notebook_retravaill!G1436,[1]Result_notebook_retravaill!I1436/[1]Result_notebook_retravaill!N1436,[1]Result_notebook_retravaill!H1436)</f>
        <v>546434.99714327487</v>
      </c>
      <c r="I1436" s="3">
        <f>[1]Result_notebook_retravaill!K1436</f>
        <v>0</v>
      </c>
      <c r="J1436" s="3">
        <f>MIN(G1436,[1]Result_notebook_retravaill!I1436)</f>
        <v>32088.650172163962</v>
      </c>
      <c r="K1436" s="3">
        <f>IF([1]Result_notebook_retravaill!I1436&gt;[1]Result_notebook_retravaill!G1436,0,IF([1]Result_notebook_retravaill!I1436+[1]Result_notebook_retravaill!J1436&gt;[1]Result_notebook_retravaill!G1436,[1]Result_notebook_retravaill!G1436-[1]Result_notebook_retravaill!I1436,[1]Result_notebook_retravaill!J1436))</f>
        <v>0</v>
      </c>
      <c r="L1436" s="3">
        <f>IF([1]Result_notebook_retravaill!I1436&gt;[1]Result_notebook_retravaill!G1436,0,IF([1]Result_notebook_retravaill!I1436+[1]Result_notebook_retravaill!J1436&gt;[1]Result_notebook_retravaill!G1436,0,[1]Result_notebook_retravaill!M1436))</f>
        <v>0</v>
      </c>
    </row>
    <row r="1437" spans="1:12">
      <c r="A1437">
        <f>[1]Result_notebook_retravaill!A1437</f>
        <v>2040</v>
      </c>
      <c r="B1437" t="str">
        <f>[1]Result_notebook_retravaill!B1437</f>
        <v>Lithium</v>
      </c>
      <c r="C1437" t="str">
        <f>[1]Result_notebook_retravaill!C1437</f>
        <v>Global Net-zero</v>
      </c>
      <c r="D1437" t="str">
        <f>[1]Result_notebook_retravaill!D1437</f>
        <v>Existing production</v>
      </c>
      <c r="E1437" t="str">
        <f>[1]Result_notebook_retravaill!E1437</f>
        <v>Current shares</v>
      </c>
      <c r="F1437" t="str">
        <f>[1]Result_notebook_retravaill!F1437</f>
        <v>NIMBY</v>
      </c>
      <c r="G1437">
        <f>[1]Result_notebook_retravaill!G1437</f>
        <v>82859.956955531103</v>
      </c>
      <c r="H1437" s="3">
        <f>IF([1]Result_notebook_retravaill!I1437&gt;[1]Result_notebook_retravaill!G1437,[1]Result_notebook_retravaill!I1437/[1]Result_notebook_retravaill!N1437,[1]Result_notebook_retravaill!H1437)</f>
        <v>0</v>
      </c>
      <c r="I1437" s="3">
        <f>[1]Result_notebook_retravaill!K1437</f>
        <v>118371.3670793302</v>
      </c>
      <c r="J1437" s="3">
        <f>MIN(G1437,[1]Result_notebook_retravaill!I1437)</f>
        <v>0</v>
      </c>
      <c r="K1437" s="3">
        <f>IF([1]Result_notebook_retravaill!I1437&gt;[1]Result_notebook_retravaill!G1437,0,IF([1]Result_notebook_retravaill!I1437+[1]Result_notebook_retravaill!J1437&gt;[1]Result_notebook_retravaill!G1437,[1]Result_notebook_retravaill!G1437-[1]Result_notebook_retravaill!I1437,[1]Result_notebook_retravaill!J1437))</f>
        <v>0</v>
      </c>
      <c r="L1437" s="3">
        <f>IF([1]Result_notebook_retravaill!I1437&gt;[1]Result_notebook_retravaill!G1437,0,IF([1]Result_notebook_retravaill!I1437+[1]Result_notebook_retravaill!J1437&gt;[1]Result_notebook_retravaill!G1437,0,[1]Result_notebook_retravaill!M1437))</f>
        <v>82859.956955531103</v>
      </c>
    </row>
    <row r="1438" spans="1:12">
      <c r="A1438">
        <f>[1]Result_notebook_retravaill!A1438</f>
        <v>2040</v>
      </c>
      <c r="B1438" t="str">
        <f>[1]Result_notebook_retravaill!B1438</f>
        <v>Lithium</v>
      </c>
      <c r="C1438" t="str">
        <f>[1]Result_notebook_retravaill!C1438</f>
        <v>Global Net-zero</v>
      </c>
      <c r="D1438" t="str">
        <f>[1]Result_notebook_retravaill!D1438</f>
        <v>Existing production</v>
      </c>
      <c r="E1438" t="str">
        <f>[1]Result_notebook_retravaill!E1438</f>
        <v>Current shares</v>
      </c>
      <c r="F1438" t="str">
        <f>[1]Result_notebook_retravaill!F1438</f>
        <v>Status Quo</v>
      </c>
      <c r="G1438">
        <f>[1]Result_notebook_retravaill!G1438</f>
        <v>82859.956955531103</v>
      </c>
      <c r="H1438" s="3">
        <f>IF([1]Result_notebook_retravaill!I1438&gt;[1]Result_notebook_retravaill!G1438,[1]Result_notebook_retravaill!I1438/[1]Result_notebook_retravaill!N1438,[1]Result_notebook_retravaill!H1438)</f>
        <v>42827</v>
      </c>
      <c r="I1438" s="3">
        <f>[1]Result_notebook_retravaill!K1438</f>
        <v>75544.367079330157</v>
      </c>
      <c r="J1438" s="3">
        <f>MIN(G1438,[1]Result_notebook_retravaill!I1438)</f>
        <v>29943.37375789979</v>
      </c>
      <c r="K1438" s="3">
        <f>IF([1]Result_notebook_retravaill!I1438&gt;[1]Result_notebook_retravaill!G1438,0,IF([1]Result_notebook_retravaill!I1438+[1]Result_notebook_retravaill!J1438&gt;[1]Result_notebook_retravaill!G1438,[1]Result_notebook_retravaill!G1438-[1]Result_notebook_retravaill!I1438,[1]Result_notebook_retravaill!J1438))</f>
        <v>3785.2440925087431</v>
      </c>
      <c r="L1438" s="3">
        <f>IF([1]Result_notebook_retravaill!I1438&gt;[1]Result_notebook_retravaill!G1438,0,IF([1]Result_notebook_retravaill!I1438+[1]Result_notebook_retravaill!J1438&gt;[1]Result_notebook_retravaill!G1438,0,[1]Result_notebook_retravaill!M1438))</f>
        <v>49131.339105122577</v>
      </c>
    </row>
    <row r="1439" spans="1:12">
      <c r="A1439">
        <f>[1]Result_notebook_retravaill!A1439</f>
        <v>2040</v>
      </c>
      <c r="B1439" t="str">
        <f>[1]Result_notebook_retravaill!B1439</f>
        <v>Lithium</v>
      </c>
      <c r="C1439" t="str">
        <f>[1]Result_notebook_retravaill!C1439</f>
        <v>Global Net-zero</v>
      </c>
      <c r="D1439" t="str">
        <f>[1]Result_notebook_retravaill!D1439</f>
        <v>Production potential</v>
      </c>
      <c r="E1439" t="str">
        <f>[1]Result_notebook_retravaill!E1439</f>
        <v>Current shares</v>
      </c>
      <c r="F1439" t="str">
        <f>[1]Result_notebook_retravaill!F1439</f>
        <v>Expansion Extractive</v>
      </c>
      <c r="G1439">
        <f>[1]Result_notebook_retravaill!G1439</f>
        <v>82859.956955531103</v>
      </c>
      <c r="H1439" s="3">
        <f>IF([1]Result_notebook_retravaill!I1439&gt;[1]Result_notebook_retravaill!G1439,[1]Result_notebook_retravaill!I1439/[1]Result_notebook_retravaill!N1439,[1]Result_notebook_retravaill!H1439)</f>
        <v>546434.99714327487</v>
      </c>
      <c r="I1439" s="3">
        <f>[1]Result_notebook_retravaill!K1439</f>
        <v>0</v>
      </c>
      <c r="J1439" s="3">
        <f>MIN(G1439,[1]Result_notebook_retravaill!I1439)</f>
        <v>82859.956955531103</v>
      </c>
      <c r="K1439" s="3">
        <f>IF([1]Result_notebook_retravaill!I1439&gt;[1]Result_notebook_retravaill!G1439,0,IF([1]Result_notebook_retravaill!I1439+[1]Result_notebook_retravaill!J1439&gt;[1]Result_notebook_retravaill!G1439,[1]Result_notebook_retravaill!G1439-[1]Result_notebook_retravaill!I1439,[1]Result_notebook_retravaill!J1439))</f>
        <v>0</v>
      </c>
      <c r="L1439" s="3">
        <f>IF([1]Result_notebook_retravaill!I1439&gt;[1]Result_notebook_retravaill!G1439,0,IF([1]Result_notebook_retravaill!I1439+[1]Result_notebook_retravaill!J1439&gt;[1]Result_notebook_retravaill!G1439,0,[1]Result_notebook_retravaill!M1439))</f>
        <v>0</v>
      </c>
    </row>
    <row r="1440" spans="1:12">
      <c r="A1440">
        <f>[1]Result_notebook_retravaill!A1440</f>
        <v>2040</v>
      </c>
      <c r="B1440" t="str">
        <f>[1]Result_notebook_retravaill!B1440</f>
        <v>Lithium</v>
      </c>
      <c r="C1440" t="str">
        <f>[1]Result_notebook_retravaill!C1440</f>
        <v>Global Net-zero</v>
      </c>
      <c r="D1440" t="str">
        <f>[1]Result_notebook_retravaill!D1440</f>
        <v>Production potential</v>
      </c>
      <c r="E1440" t="str">
        <f>[1]Result_notebook_retravaill!E1440</f>
        <v>Current shares</v>
      </c>
      <c r="F1440" t="str">
        <f>[1]Result_notebook_retravaill!F1440</f>
        <v>Expansion Extractive+Circularity</v>
      </c>
      <c r="G1440">
        <f>[1]Result_notebook_retravaill!G1440</f>
        <v>82859.956955531103</v>
      </c>
      <c r="H1440" s="3">
        <f>IF([1]Result_notebook_retravaill!I1440&gt;[1]Result_notebook_retravaill!G1440,[1]Result_notebook_retravaill!I1440/[1]Result_notebook_retravaill!N1440,[1]Result_notebook_retravaill!H1440)</f>
        <v>546434.99714327487</v>
      </c>
      <c r="I1440" s="3">
        <f>[1]Result_notebook_retravaill!K1440</f>
        <v>0</v>
      </c>
      <c r="J1440" s="3">
        <f>MIN(G1440,[1]Result_notebook_retravaill!I1440)</f>
        <v>82859.956955531103</v>
      </c>
      <c r="K1440" s="3">
        <f>IF([1]Result_notebook_retravaill!I1440&gt;[1]Result_notebook_retravaill!G1440,0,IF([1]Result_notebook_retravaill!I1440+[1]Result_notebook_retravaill!J1440&gt;[1]Result_notebook_retravaill!G1440,[1]Result_notebook_retravaill!G1440-[1]Result_notebook_retravaill!I1440,[1]Result_notebook_retravaill!J1440))</f>
        <v>0</v>
      </c>
      <c r="L1440" s="3">
        <f>IF([1]Result_notebook_retravaill!I1440&gt;[1]Result_notebook_retravaill!G1440,0,IF([1]Result_notebook_retravaill!I1440+[1]Result_notebook_retravaill!J1440&gt;[1]Result_notebook_retravaill!G1440,0,[1]Result_notebook_retravaill!M1440))</f>
        <v>0</v>
      </c>
    </row>
    <row r="1441" spans="1:12">
      <c r="A1441">
        <f>[1]Result_notebook_retravaill!A1441</f>
        <v>2040</v>
      </c>
      <c r="B1441" t="str">
        <f>[1]Result_notebook_retravaill!B1441</f>
        <v>Lithium</v>
      </c>
      <c r="C1441" t="str">
        <f>[1]Result_notebook_retravaill!C1441</f>
        <v>Global Net-zero</v>
      </c>
      <c r="D1441" t="str">
        <f>[1]Result_notebook_retravaill!D1441</f>
        <v>Production potential</v>
      </c>
      <c r="E1441" t="str">
        <f>[1]Result_notebook_retravaill!E1441</f>
        <v>100% CAN</v>
      </c>
      <c r="F1441" t="str">
        <f>[1]Result_notebook_retravaill!F1441</f>
        <v>Integrated</v>
      </c>
      <c r="G1441">
        <f>[1]Result_notebook_retravaill!G1441</f>
        <v>82859.956955531103</v>
      </c>
      <c r="H1441" s="3">
        <f>IF([1]Result_notebook_retravaill!I1441&gt;[1]Result_notebook_retravaill!G1441,[1]Result_notebook_retravaill!I1441/[1]Result_notebook_retravaill!N1441,[1]Result_notebook_retravaill!H1441)</f>
        <v>546434.99714327487</v>
      </c>
      <c r="I1441" s="3">
        <f>[1]Result_notebook_retravaill!K1441</f>
        <v>0</v>
      </c>
      <c r="J1441" s="3">
        <f>MIN(G1441,[1]Result_notebook_retravaill!I1441)</f>
        <v>82859.956955531103</v>
      </c>
      <c r="K1441" s="3">
        <f>IF([1]Result_notebook_retravaill!I1441&gt;[1]Result_notebook_retravaill!G1441,0,IF([1]Result_notebook_retravaill!I1441+[1]Result_notebook_retravaill!J1441&gt;[1]Result_notebook_retravaill!G1441,[1]Result_notebook_retravaill!G1441-[1]Result_notebook_retravaill!I1441,[1]Result_notebook_retravaill!J1441))</f>
        <v>0</v>
      </c>
      <c r="L1441" s="3">
        <f>IF([1]Result_notebook_retravaill!I1441&gt;[1]Result_notebook_retravaill!G1441,0,IF([1]Result_notebook_retravaill!I1441+[1]Result_notebook_retravaill!J1441&gt;[1]Result_notebook_retravaill!G1441,0,[1]Result_notebook_retravaill!M1441))</f>
        <v>0</v>
      </c>
    </row>
    <row r="1442" spans="1:12">
      <c r="H1442" s="3"/>
      <c r="I1442" s="3"/>
      <c r="J1442" s="3"/>
      <c r="K1442" s="3"/>
      <c r="L1442" s="3"/>
    </row>
    <row r="1443" spans="1:12">
      <c r="H1443" s="3"/>
      <c r="I1443" s="3"/>
      <c r="J1443" s="3"/>
      <c r="K1443" s="3"/>
      <c r="L1443" s="3"/>
    </row>
    <row r="1444" spans="1:12">
      <c r="H1444" s="3"/>
      <c r="I1444" s="3"/>
      <c r="J1444" s="3"/>
      <c r="K1444" s="3"/>
      <c r="L1444" s="3"/>
    </row>
    <row r="1445" spans="1:12">
      <c r="H1445" s="3"/>
      <c r="I1445" s="3"/>
      <c r="J1445" s="3"/>
      <c r="K1445" s="3"/>
      <c r="L1445" s="3"/>
    </row>
    <row r="1446" spans="1:12">
      <c r="H1446" s="3"/>
      <c r="I1446" s="3"/>
      <c r="J1446" s="3"/>
      <c r="K1446" s="3"/>
      <c r="L1446" s="3"/>
    </row>
    <row r="1447" spans="1:12">
      <c r="H1447" s="3"/>
      <c r="I1447" s="3"/>
      <c r="J1447" s="3"/>
      <c r="K1447" s="3"/>
      <c r="L1447" s="3"/>
    </row>
    <row r="1448" spans="1:12">
      <c r="H1448" s="3"/>
      <c r="I1448" s="3"/>
      <c r="J1448" s="3"/>
      <c r="K1448" s="3"/>
      <c r="L1448" s="3"/>
    </row>
    <row r="1449" spans="1:12">
      <c r="H1449" s="3"/>
      <c r="I1449" s="3"/>
      <c r="J1449" s="3"/>
      <c r="K1449" s="3"/>
      <c r="L1449" s="3"/>
    </row>
    <row r="1450" spans="1:12">
      <c r="H1450" s="3"/>
      <c r="I1450" s="3"/>
      <c r="J1450" s="3"/>
      <c r="K1450" s="3"/>
      <c r="L1450" s="3"/>
    </row>
    <row r="1451" spans="1:12">
      <c r="H1451" s="3"/>
      <c r="I1451" s="3"/>
      <c r="J1451" s="3"/>
      <c r="K1451" s="3"/>
      <c r="L1451" s="3"/>
    </row>
    <row r="1452" spans="1:12">
      <c r="H1452" s="3"/>
      <c r="I1452" s="3"/>
      <c r="J1452" s="3"/>
      <c r="K1452" s="3"/>
      <c r="L1452" s="3"/>
    </row>
    <row r="1453" spans="1:12">
      <c r="H1453" s="3"/>
      <c r="I1453" s="3"/>
      <c r="J1453" s="3"/>
      <c r="K1453" s="3"/>
      <c r="L1453" s="3"/>
    </row>
    <row r="1454" spans="1:12">
      <c r="H1454" s="3"/>
      <c r="I1454" s="3"/>
      <c r="J1454" s="3"/>
      <c r="K1454" s="3"/>
      <c r="L1454" s="3"/>
    </row>
    <row r="1455" spans="1:12">
      <c r="H1455" s="3"/>
      <c r="I1455" s="3"/>
      <c r="J1455" s="3"/>
      <c r="K1455" s="3"/>
      <c r="L1455" s="3"/>
    </row>
    <row r="1456" spans="1:12">
      <c r="H1456" s="3"/>
      <c r="I1456" s="3"/>
      <c r="J1456" s="3"/>
      <c r="K1456" s="3"/>
      <c r="L1456" s="3"/>
    </row>
    <row r="1457" spans="8:12">
      <c r="H1457" s="3"/>
      <c r="I1457" s="3"/>
      <c r="J1457" s="3"/>
      <c r="K1457" s="3"/>
      <c r="L1457" s="3"/>
    </row>
    <row r="1458" spans="8:12">
      <c r="H1458" s="3"/>
      <c r="I1458" s="3"/>
      <c r="J1458" s="3"/>
      <c r="K1458" s="3"/>
      <c r="L1458" s="3"/>
    </row>
    <row r="1459" spans="8:12">
      <c r="H1459" s="3"/>
      <c r="I1459" s="3"/>
      <c r="J1459" s="3"/>
      <c r="K1459" s="3"/>
      <c r="L1459" s="3"/>
    </row>
    <row r="1460" spans="8:12">
      <c r="H1460" s="3"/>
      <c r="I1460" s="3"/>
      <c r="J1460" s="3"/>
      <c r="K1460" s="3"/>
      <c r="L1460" s="3"/>
    </row>
    <row r="1461" spans="8:12">
      <c r="H1461" s="3"/>
      <c r="I1461" s="3"/>
      <c r="J1461" s="3"/>
      <c r="K1461" s="3"/>
      <c r="L1461" s="3"/>
    </row>
    <row r="1462" spans="8:12">
      <c r="H1462" s="3"/>
      <c r="I1462" s="3"/>
      <c r="J1462" s="3"/>
      <c r="K1462" s="3"/>
      <c r="L1462" s="3"/>
    </row>
    <row r="1463" spans="8:12">
      <c r="H1463" s="3"/>
      <c r="I1463" s="3"/>
      <c r="J1463" s="3"/>
      <c r="K1463" s="3"/>
      <c r="L1463" s="3"/>
    </row>
    <row r="1464" spans="8:12">
      <c r="H1464" s="3"/>
      <c r="I1464" s="3"/>
      <c r="J1464" s="3"/>
      <c r="K1464" s="3"/>
      <c r="L1464" s="3"/>
    </row>
    <row r="1465" spans="8:12">
      <c r="H1465" s="3"/>
      <c r="I1465" s="3"/>
      <c r="J1465" s="3"/>
      <c r="K1465" s="3"/>
      <c r="L1465" s="3"/>
    </row>
    <row r="1466" spans="8:12">
      <c r="H1466" s="3"/>
      <c r="I1466" s="3"/>
      <c r="J1466" s="3"/>
      <c r="K1466" s="3"/>
      <c r="L1466" s="3"/>
    </row>
    <row r="1467" spans="8:12">
      <c r="H1467" s="3"/>
      <c r="I1467" s="3"/>
      <c r="J1467" s="3"/>
      <c r="K1467" s="3"/>
      <c r="L1467" s="3"/>
    </row>
    <row r="1468" spans="8:12">
      <c r="H1468" s="3"/>
      <c r="I1468" s="3"/>
      <c r="J1468" s="3"/>
      <c r="K1468" s="3"/>
      <c r="L1468" s="3"/>
    </row>
    <row r="1469" spans="8:12">
      <c r="H1469" s="3"/>
      <c r="I1469" s="3"/>
      <c r="J1469" s="3"/>
      <c r="K1469" s="3"/>
      <c r="L1469" s="3"/>
    </row>
  </sheetData>
  <autoFilter ref="A1:L1441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825A-CB2D-428E-A308-736ACC40B888}">
  <dimension ref="A1:I24"/>
  <sheetViews>
    <sheetView workbookViewId="0">
      <selection activeCell="H13" sqref="H13"/>
    </sheetView>
  </sheetViews>
  <sheetFormatPr baseColWidth="10" defaultRowHeight="15"/>
  <cols>
    <col min="1" max="1" width="12.85546875" bestFit="1" customWidth="1"/>
    <col min="2" max="2" width="12.140625" bestFit="1" customWidth="1"/>
    <col min="3" max="3" width="16.42578125" bestFit="1" customWidth="1"/>
    <col min="4" max="4" width="26.140625" bestFit="1" customWidth="1"/>
    <col min="5" max="5" width="22.85546875" bestFit="1" customWidth="1"/>
    <col min="6" max="6" width="18.5703125" bestFit="1" customWidth="1"/>
  </cols>
  <sheetData>
    <row r="1" spans="1:9">
      <c r="A1" s="5" t="s">
        <v>13</v>
      </c>
      <c r="B1" s="5" t="s">
        <v>38</v>
      </c>
      <c r="C1" s="5" t="s">
        <v>41</v>
      </c>
      <c r="D1" s="1" t="s">
        <v>52</v>
      </c>
      <c r="E1" s="1" t="s">
        <v>24</v>
      </c>
      <c r="F1" s="1" t="s">
        <v>25</v>
      </c>
    </row>
    <row r="2" spans="1:9">
      <c r="A2" t="s">
        <v>72</v>
      </c>
      <c r="B2" t="s">
        <v>39</v>
      </c>
      <c r="C2" t="s">
        <v>42</v>
      </c>
      <c r="D2" t="s">
        <v>28</v>
      </c>
      <c r="E2">
        <v>2.3870720766130921E-2</v>
      </c>
      <c r="F2">
        <v>2.3523887012052301E-7</v>
      </c>
    </row>
    <row r="3" spans="1:9">
      <c r="A3" t="s">
        <v>72</v>
      </c>
      <c r="B3" t="s">
        <v>40</v>
      </c>
      <c r="C3" t="s">
        <v>42</v>
      </c>
      <c r="D3" t="s">
        <v>31</v>
      </c>
      <c r="E3">
        <v>7.536992976760952E-2</v>
      </c>
      <c r="F3">
        <v>7.4668348010127961E-7</v>
      </c>
    </row>
    <row r="4" spans="1:9">
      <c r="A4" t="s">
        <v>72</v>
      </c>
      <c r="B4" t="s">
        <v>39</v>
      </c>
      <c r="C4" t="s">
        <v>43</v>
      </c>
      <c r="D4" t="s">
        <v>34</v>
      </c>
      <c r="E4">
        <v>8.3187842285581901</v>
      </c>
      <c r="F4">
        <v>7.6922633282541078E-5</v>
      </c>
    </row>
    <row r="5" spans="1:9">
      <c r="A5" t="s">
        <v>72</v>
      </c>
      <c r="B5" t="s">
        <v>40</v>
      </c>
      <c r="C5" t="s">
        <v>43</v>
      </c>
      <c r="D5" t="s">
        <v>37</v>
      </c>
      <c r="E5">
        <v>8.8566553742228855</v>
      </c>
      <c r="F5">
        <v>8.1761708272063576E-5</v>
      </c>
    </row>
    <row r="6" spans="1:9">
      <c r="A6" t="s">
        <v>73</v>
      </c>
      <c r="B6" t="s">
        <v>39</v>
      </c>
      <c r="C6" t="s">
        <v>42</v>
      </c>
      <c r="D6" t="s">
        <v>26</v>
      </c>
      <c r="E6">
        <v>9.1068393675679999</v>
      </c>
      <c r="F6">
        <v>7.7077372842492547E-6</v>
      </c>
    </row>
    <row r="7" spans="1:9">
      <c r="A7" t="s">
        <v>73</v>
      </c>
      <c r="B7" t="s">
        <v>40</v>
      </c>
      <c r="C7" t="s">
        <v>42</v>
      </c>
      <c r="D7" t="s">
        <v>29</v>
      </c>
      <c r="E7">
        <v>6.4819314565664961</v>
      </c>
      <c r="F7">
        <v>8.0919625289907467E-6</v>
      </c>
    </row>
    <row r="8" spans="1:9">
      <c r="A8" t="s">
        <v>73</v>
      </c>
      <c r="B8" t="s">
        <v>39</v>
      </c>
      <c r="C8" t="s">
        <v>44</v>
      </c>
      <c r="D8" t="s">
        <v>32</v>
      </c>
      <c r="E8">
        <v>47.250491772206537</v>
      </c>
      <c r="F8">
        <v>3.5687185453251442E-5</v>
      </c>
    </row>
    <row r="9" spans="1:9">
      <c r="A9" t="s">
        <v>73</v>
      </c>
      <c r="B9" t="s">
        <v>40</v>
      </c>
      <c r="C9" t="s">
        <v>44</v>
      </c>
      <c r="D9" t="s">
        <v>35</v>
      </c>
      <c r="E9">
        <v>49.587500946601772</v>
      </c>
      <c r="F9">
        <v>5.7583379029202271E-5</v>
      </c>
    </row>
    <row r="10" spans="1:9">
      <c r="A10" s="6" t="s">
        <v>73</v>
      </c>
      <c r="B10" s="6" t="s">
        <v>39</v>
      </c>
      <c r="C10" s="6" t="s">
        <v>43</v>
      </c>
      <c r="D10" s="6" t="s">
        <v>45</v>
      </c>
      <c r="E10" s="6">
        <f>E8-E6</f>
        <v>38.143652404638537</v>
      </c>
      <c r="F10" s="6">
        <f>F8-F6</f>
        <v>2.7979448169002185E-5</v>
      </c>
    </row>
    <row r="11" spans="1:9">
      <c r="A11" s="6" t="s">
        <v>73</v>
      </c>
      <c r="B11" s="6" t="s">
        <v>40</v>
      </c>
      <c r="C11" s="6" t="s">
        <v>43</v>
      </c>
      <c r="D11" s="6" t="s">
        <v>46</v>
      </c>
      <c r="E11" s="6">
        <f>E9-E7</f>
        <v>43.105569490035279</v>
      </c>
      <c r="F11" s="6">
        <f>F9-F7</f>
        <v>4.9491416500211521E-5</v>
      </c>
    </row>
    <row r="12" spans="1:9">
      <c r="A12" t="s">
        <v>74</v>
      </c>
      <c r="B12" t="s">
        <v>39</v>
      </c>
      <c r="C12" t="s">
        <v>42</v>
      </c>
      <c r="D12" t="s">
        <v>27</v>
      </c>
      <c r="E12">
        <v>0.35636318201573752</v>
      </c>
      <c r="F12">
        <v>3.4405752075181369E-6</v>
      </c>
    </row>
    <row r="13" spans="1:9">
      <c r="A13" t="s">
        <v>74</v>
      </c>
      <c r="B13" t="s">
        <v>40</v>
      </c>
      <c r="C13" t="s">
        <v>42</v>
      </c>
      <c r="D13" t="s">
        <v>30</v>
      </c>
      <c r="E13">
        <v>0.46345980097579409</v>
      </c>
      <c r="F13">
        <v>4.4518597377027253E-6</v>
      </c>
    </row>
    <row r="14" spans="1:9">
      <c r="A14" t="s">
        <v>74</v>
      </c>
      <c r="B14" t="s">
        <v>39</v>
      </c>
      <c r="C14" t="s">
        <v>43</v>
      </c>
      <c r="D14" t="s">
        <v>33</v>
      </c>
      <c r="E14">
        <v>3.3971948159527638</v>
      </c>
      <c r="F14">
        <v>3.2433297731959258E-5</v>
      </c>
    </row>
    <row r="15" spans="1:9" ht="15.75" thickBot="1">
      <c r="A15" t="s">
        <v>74</v>
      </c>
      <c r="B15" t="s">
        <v>40</v>
      </c>
      <c r="C15" t="s">
        <v>43</v>
      </c>
      <c r="D15" t="s">
        <v>36</v>
      </c>
      <c r="E15">
        <v>3.8103729343947399</v>
      </c>
      <c r="F15">
        <v>3.6154743141449968E-5</v>
      </c>
    </row>
    <row r="16" spans="1:9">
      <c r="A16" s="12" t="s">
        <v>72</v>
      </c>
      <c r="B16" s="13"/>
      <c r="C16" s="13"/>
      <c r="D16" s="13" t="s">
        <v>9</v>
      </c>
      <c r="E16" s="13">
        <f>E2+E4</f>
        <v>8.3426549493243218</v>
      </c>
      <c r="F16" s="14">
        <f>F2+F4</f>
        <v>7.7157872152661607E-5</v>
      </c>
      <c r="I16" s="18"/>
    </row>
    <row r="17" spans="1:9">
      <c r="A17" s="15" t="s">
        <v>72</v>
      </c>
      <c r="B17" s="5"/>
      <c r="C17" s="5"/>
      <c r="D17" s="5" t="s">
        <v>10</v>
      </c>
      <c r="E17" s="5">
        <f>E2+E5</f>
        <v>8.8805260949890172</v>
      </c>
      <c r="F17" s="16">
        <f>F2+F5</f>
        <v>8.1996947142184105E-5</v>
      </c>
      <c r="I17" s="18"/>
    </row>
    <row r="18" spans="1:9">
      <c r="A18" s="15" t="s">
        <v>72</v>
      </c>
      <c r="B18" s="5"/>
      <c r="C18" s="5"/>
      <c r="D18" s="5" t="s">
        <v>11</v>
      </c>
      <c r="E18" s="5">
        <f>E3+E5</f>
        <v>8.9320253039904944</v>
      </c>
      <c r="F18" s="16">
        <f>F3+F5</f>
        <v>8.250839175216485E-5</v>
      </c>
      <c r="I18" s="18"/>
    </row>
    <row r="19" spans="1:9">
      <c r="A19" s="15" t="s">
        <v>73</v>
      </c>
      <c r="B19" s="5"/>
      <c r="C19" s="5"/>
      <c r="D19" s="5" t="s">
        <v>9</v>
      </c>
      <c r="E19" s="5">
        <f>E6+E10</f>
        <v>47.250491772206537</v>
      </c>
      <c r="F19" s="5">
        <f>F6+F10</f>
        <v>3.5687185453251442E-5</v>
      </c>
    </row>
    <row r="20" spans="1:9">
      <c r="A20" s="15" t="s">
        <v>73</v>
      </c>
      <c r="B20" s="5"/>
      <c r="C20" s="5"/>
      <c r="D20" s="5" t="s">
        <v>10</v>
      </c>
      <c r="E20" s="5">
        <f>E6+E11</f>
        <v>52.212408857603279</v>
      </c>
      <c r="F20" s="5">
        <f>F6+F11</f>
        <v>5.7199153784460778E-5</v>
      </c>
    </row>
    <row r="21" spans="1:9">
      <c r="A21" s="15" t="s">
        <v>73</v>
      </c>
      <c r="B21" s="5"/>
      <c r="C21" s="5"/>
      <c r="D21" s="5" t="s">
        <v>11</v>
      </c>
      <c r="E21" s="5">
        <f>E7+E11</f>
        <v>49.587500946601779</v>
      </c>
      <c r="F21" s="5">
        <f>F7+F11</f>
        <v>5.7583379029202265E-5</v>
      </c>
    </row>
    <row r="22" spans="1:9">
      <c r="A22" s="15" t="s">
        <v>74</v>
      </c>
      <c r="B22" s="5"/>
      <c r="C22" s="5"/>
      <c r="D22" s="5" t="s">
        <v>9</v>
      </c>
      <c r="E22" s="5">
        <f>E12+E14</f>
        <v>3.7535579979685014</v>
      </c>
      <c r="F22" s="5">
        <f>F12+F14</f>
        <v>3.5873872939477397E-5</v>
      </c>
    </row>
    <row r="23" spans="1:9">
      <c r="A23" s="15" t="s">
        <v>74</v>
      </c>
      <c r="B23" s="5"/>
      <c r="C23" s="5"/>
      <c r="D23" s="5" t="s">
        <v>10</v>
      </c>
      <c r="E23" s="5">
        <f>E12+E15</f>
        <v>4.166736116410477</v>
      </c>
      <c r="F23" s="5">
        <f>F12+F15</f>
        <v>3.9595318348968107E-5</v>
      </c>
    </row>
    <row r="24" spans="1:9" ht="15.75" thickBot="1">
      <c r="A24" s="15" t="s">
        <v>74</v>
      </c>
      <c r="B24" s="17"/>
      <c r="C24" s="17"/>
      <c r="D24" s="17" t="s">
        <v>11</v>
      </c>
      <c r="E24" s="17">
        <f>E13+E15</f>
        <v>4.2738327353705339</v>
      </c>
      <c r="F24" s="17">
        <f>F13+F15</f>
        <v>4.0606602879152691E-5</v>
      </c>
    </row>
  </sheetData>
  <autoFilter ref="A1:F1" xr:uid="{0919825A-CB2D-428E-A308-736ACC40B888}">
    <sortState xmlns:xlrd2="http://schemas.microsoft.com/office/spreadsheetml/2017/richdata2" ref="A2:F15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1A9E-774D-4850-BF9C-61D4DF4629B7}">
  <dimension ref="A1:L10"/>
  <sheetViews>
    <sheetView workbookViewId="0">
      <selection activeCell="H1" sqref="H1:L1"/>
    </sheetView>
  </sheetViews>
  <sheetFormatPr baseColWidth="10" defaultRowHeight="15"/>
  <cols>
    <col min="1" max="1" width="8" bestFit="1" customWidth="1"/>
    <col min="2" max="2" width="28.85546875" bestFit="1" customWidth="1"/>
    <col min="3" max="3" width="27.42578125" bestFit="1" customWidth="1"/>
    <col min="4" max="4" width="17.5703125" bestFit="1" customWidth="1"/>
    <col min="5" max="5" width="11.85546875" bestFit="1" customWidth="1"/>
    <col min="6" max="6" width="46.85546875" bestFit="1" customWidth="1"/>
    <col min="7" max="7" width="29" bestFit="1" customWidth="1"/>
    <col min="8" max="8" width="35.42578125" bestFit="1" customWidth="1"/>
    <col min="9" max="9" width="25.5703125" bestFit="1" customWidth="1"/>
    <col min="10" max="10" width="18.42578125" bestFit="1" customWidth="1"/>
    <col min="11" max="11" width="23.140625" bestFit="1" customWidth="1"/>
    <col min="12" max="12" width="22.85546875" bestFit="1" customWidth="1"/>
  </cols>
  <sheetData>
    <row r="1" spans="1:12" s="5" customFormat="1" ht="15.75" thickBot="1">
      <c r="A1" s="5" t="s">
        <v>1</v>
      </c>
      <c r="B1" s="5" t="s">
        <v>52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8" t="s">
        <v>75</v>
      </c>
      <c r="I1" s="8" t="s">
        <v>76</v>
      </c>
      <c r="J1" s="8" t="s">
        <v>77</v>
      </c>
      <c r="K1" s="8" t="s">
        <v>78</v>
      </c>
      <c r="L1" s="8" t="s">
        <v>79</v>
      </c>
    </row>
    <row r="2" spans="1:12">
      <c r="A2" t="s">
        <v>73</v>
      </c>
      <c r="B2" s="13" t="s">
        <v>9</v>
      </c>
      <c r="C2">
        <v>2.04772320450878E-2</v>
      </c>
      <c r="D2">
        <v>3.7015184542866002E-2</v>
      </c>
      <c r="E2">
        <v>1.2004564732378299E-2</v>
      </c>
      <c r="F2" s="7">
        <v>1.29226335075866E-5</v>
      </c>
      <c r="G2">
        <v>1.8755279124456901</v>
      </c>
      <c r="H2" s="6">
        <f>C2*Prices!$F$3</f>
        <v>0.19781006155554814</v>
      </c>
      <c r="I2" s="6">
        <f>D2*Prices!$F$3</f>
        <v>0.35756668268408559</v>
      </c>
      <c r="J2" s="6">
        <f>E2*Prices!$F$3</f>
        <v>0.11596409531477438</v>
      </c>
      <c r="K2" s="19">
        <f>F2*Prices!$E$3</f>
        <v>7.7535801045519612E-5</v>
      </c>
      <c r="L2" s="19">
        <f>G2*Prices!$E$3</f>
        <v>11.253167474674141</v>
      </c>
    </row>
    <row r="3" spans="1:12">
      <c r="A3" t="s">
        <v>73</v>
      </c>
      <c r="B3" s="5" t="s">
        <v>10</v>
      </c>
      <c r="C3">
        <v>3.3926065232219103E-2</v>
      </c>
      <c r="D3">
        <v>6.13881596333073E-2</v>
      </c>
      <c r="E3">
        <v>2.34250779814353E-2</v>
      </c>
      <c r="F3" s="7">
        <v>3.4524795372827567E-5</v>
      </c>
      <c r="G3">
        <v>1.8284451789559766</v>
      </c>
      <c r="H3" s="6">
        <f>C3*Prices!$F$3</f>
        <v>0.32772579014323655</v>
      </c>
      <c r="I3" s="6">
        <f>D3*Prices!$F$3</f>
        <v>0.59300962205774854</v>
      </c>
      <c r="J3" s="6">
        <f>E3*Prices!$F$3</f>
        <v>0.22628625330066501</v>
      </c>
      <c r="K3" s="19">
        <f>F3*Prices!$E$3</f>
        <v>2.0714877223696544E-4</v>
      </c>
      <c r="L3" s="19">
        <f>G3*Prices!$E$3</f>
        <v>10.970671073735861</v>
      </c>
    </row>
    <row r="4" spans="1:12" ht="15.75" thickBot="1">
      <c r="A4" t="s">
        <v>73</v>
      </c>
      <c r="B4" s="5" t="s">
        <v>11</v>
      </c>
      <c r="C4">
        <v>5.9104842826525797E-2</v>
      </c>
      <c r="D4">
        <v>9.8069109165820803E-2</v>
      </c>
      <c r="E4">
        <v>5.16300740790945E-2</v>
      </c>
      <c r="F4">
        <v>1.2268936406942992E-4</v>
      </c>
      <c r="G4">
        <v>1.962721874010809</v>
      </c>
      <c r="H4" s="6">
        <f>C4*Prices!$F$3</f>
        <v>0.57095278170423924</v>
      </c>
      <c r="I4" s="6">
        <f>D4*Prices!$F$3</f>
        <v>0.94734759454182893</v>
      </c>
      <c r="J4" s="6">
        <f>E4*Prices!$F$3</f>
        <v>0.49874651560405286</v>
      </c>
      <c r="K4" s="19">
        <f>F4*Prices!$E$3</f>
        <v>7.3613618441657964E-4</v>
      </c>
      <c r="L4" s="19">
        <f>G4*Prices!$E$3</f>
        <v>11.776331244064856</v>
      </c>
    </row>
    <row r="5" spans="1:12">
      <c r="A5" t="s">
        <v>74</v>
      </c>
      <c r="B5" s="13" t="s">
        <v>9</v>
      </c>
      <c r="C5">
        <v>2.04772320450878E-2</v>
      </c>
      <c r="D5">
        <v>3.7015184542866002E-2</v>
      </c>
      <c r="E5">
        <v>1.2004564732378299E-2</v>
      </c>
      <c r="F5" s="7">
        <v>1.0514637007840087E-5</v>
      </c>
      <c r="G5">
        <v>1.5635118336898304</v>
      </c>
      <c r="H5" s="6">
        <f>C5*Prices!$F$4</f>
        <v>0.44693606661608626</v>
      </c>
      <c r="I5" s="6">
        <f>D5*Prices!$F$4</f>
        <v>0.80789341783259327</v>
      </c>
      <c r="J5" s="6">
        <f>E5*Prices!$F$4</f>
        <v>0.26201162984888871</v>
      </c>
      <c r="K5" s="6">
        <f>I5*Prices!$E$4</f>
        <v>10.952224681747941</v>
      </c>
      <c r="L5" s="6">
        <f>J5*Prices!$E$4</f>
        <v>3.5519663559514569</v>
      </c>
    </row>
    <row r="6" spans="1:12">
      <c r="A6" t="s">
        <v>74</v>
      </c>
      <c r="B6" s="5" t="s">
        <v>10</v>
      </c>
      <c r="C6">
        <v>3.3926065232219103E-2</v>
      </c>
      <c r="D6">
        <v>6.13881596333073E-2</v>
      </c>
      <c r="E6">
        <v>2.34250779814353E-2</v>
      </c>
      <c r="F6" s="7">
        <v>3.1626942811789609E-5</v>
      </c>
      <c r="G6">
        <v>1.7415752731333021</v>
      </c>
      <c r="H6" s="6">
        <f>C6*Prices!$F$4</f>
        <v>0.74047029975841405</v>
      </c>
      <c r="I6" s="6">
        <f>D6*Prices!$F$4</f>
        <v>1.3398579721565649</v>
      </c>
      <c r="J6" s="6">
        <f>E6*Prices!$F$4</f>
        <v>0.51127575202280684</v>
      </c>
      <c r="K6" s="6">
        <f>I6*Prices!$E$4</f>
        <v>18.163813726887696</v>
      </c>
      <c r="L6" s="6">
        <f>J6*Prices!$E$4</f>
        <v>6.9311208469874437</v>
      </c>
    </row>
    <row r="7" spans="1:12" ht="15.75" thickBot="1">
      <c r="A7" t="s">
        <v>74</v>
      </c>
      <c r="B7" s="5" t="s">
        <v>11</v>
      </c>
      <c r="C7">
        <v>0.111009040371045</v>
      </c>
      <c r="D7">
        <v>0.24762543965688699</v>
      </c>
      <c r="E7">
        <v>9.0908395727036906E-2</v>
      </c>
      <c r="F7" s="7">
        <v>9.0193041905214035E-5</v>
      </c>
      <c r="G7">
        <v>1.7843526289011105</v>
      </c>
      <c r="H7" s="6">
        <f>C7*Prices!$F$4</f>
        <v>2.4228833151384279</v>
      </c>
      <c r="I7" s="6">
        <f>D7*Prices!$F$4</f>
        <v>5.4046728459512146</v>
      </c>
      <c r="J7" s="6">
        <f>E7*Prices!$F$4</f>
        <v>1.9841666451383073</v>
      </c>
      <c r="K7" s="6">
        <f>I7*Prices!$E$4</f>
        <v>73.268564929025601</v>
      </c>
      <c r="L7" s="6">
        <f>J7*Prices!$E$4</f>
        <v>26.89839825887497</v>
      </c>
    </row>
    <row r="8" spans="1:12">
      <c r="A8" t="s">
        <v>72</v>
      </c>
      <c r="B8" s="13" t="s">
        <v>9</v>
      </c>
      <c r="C8">
        <v>2.04772320450878E-2</v>
      </c>
      <c r="D8">
        <v>3.7015184542866002E-2</v>
      </c>
      <c r="E8">
        <v>1.2004564732378299E-2</v>
      </c>
      <c r="F8" s="7">
        <v>1.0514637007840087E-5</v>
      </c>
      <c r="G8">
        <v>1.5635118336898304</v>
      </c>
      <c r="H8" s="6">
        <f>C8*Prices!$F$2</f>
        <v>0.26773472675154975</v>
      </c>
      <c r="I8" s="6">
        <f>D8*Prices!$F$2</f>
        <v>0.48396435111061542</v>
      </c>
      <c r="J8" s="6">
        <f>E8*Prices!$F$2</f>
        <v>0.15695670446658819</v>
      </c>
      <c r="K8" s="19">
        <f>F8*Prices!$E$2</f>
        <v>8.538898711363877E-5</v>
      </c>
      <c r="L8" s="19">
        <f>G8*Prices!$E$2</f>
        <v>12.697223091906581</v>
      </c>
    </row>
    <row r="9" spans="1:12">
      <c r="A9" t="s">
        <v>72</v>
      </c>
      <c r="B9" s="5" t="s">
        <v>10</v>
      </c>
      <c r="C9">
        <v>7.3086444568549E-2</v>
      </c>
      <c r="D9">
        <v>0.13756285623088799</v>
      </c>
      <c r="E9">
        <v>5.8342583956144299E-2</v>
      </c>
      <c r="F9" s="7">
        <v>1.9757132593790281E-5</v>
      </c>
      <c r="G9">
        <v>1.5875501710077939</v>
      </c>
      <c r="H9" s="6">
        <f>C9*Prices!$F$2</f>
        <v>0.95558712343140095</v>
      </c>
      <c r="I9" s="6">
        <f>D9*Prices!$F$2</f>
        <v>1.7986002035355459</v>
      </c>
      <c r="J9" s="6">
        <f>E9*Prices!$F$2</f>
        <v>0.76281480519847622</v>
      </c>
      <c r="K9" s="19">
        <f>F9*Prices!$E$2</f>
        <v>1.6044695971869431E-4</v>
      </c>
      <c r="L9" s="19">
        <f>G9*Prices!$E$2</f>
        <v>12.892437560456127</v>
      </c>
    </row>
    <row r="10" spans="1:12">
      <c r="A10" t="s">
        <v>72</v>
      </c>
      <c r="B10" s="5" t="s">
        <v>11</v>
      </c>
      <c r="C10">
        <v>8.4570832974129595E-2</v>
      </c>
      <c r="D10">
        <v>0.15612413910747699</v>
      </c>
      <c r="E10">
        <v>6.8073156321336106E-2</v>
      </c>
      <c r="F10">
        <v>1.4266467955182058E-4</v>
      </c>
      <c r="G10">
        <v>1.9978897529081707</v>
      </c>
      <c r="H10" s="6">
        <f>C10*Prices!$F$2</f>
        <v>1.1057426515275131</v>
      </c>
      <c r="I10" s="6">
        <f>D10*Prices!$F$2</f>
        <v>2.0412843704278134</v>
      </c>
      <c r="J10" s="6">
        <f>E10*Prices!$F$2</f>
        <v>0.89003962384557278</v>
      </c>
      <c r="K10" s="19">
        <f>F10*Prices!$E$2</f>
        <v>1.15857470635824E-3</v>
      </c>
      <c r="L10" s="19">
        <f>G10*Prices!$E$2</f>
        <v>16.224790474301965</v>
      </c>
    </row>
  </sheetData>
  <autoFilter ref="A1:L1" xr:uid="{A25E1A9E-774D-4850-BF9C-61D4DF4629B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F45C-3A09-43BD-B30F-F296C0EA6653}">
  <sheetPr>
    <tabColor theme="2" tint="-9.9978637043366805E-2"/>
  </sheetPr>
  <dimension ref="A1:F4"/>
  <sheetViews>
    <sheetView workbookViewId="0">
      <selection activeCell="F7" sqref="F7"/>
    </sheetView>
  </sheetViews>
  <sheetFormatPr baseColWidth="10" defaultColWidth="43.28515625" defaultRowHeight="15"/>
  <cols>
    <col min="1" max="1" width="58.85546875" customWidth="1"/>
    <col min="2" max="2" width="10.5703125" bestFit="1" customWidth="1"/>
    <col min="3" max="3" width="15.140625" bestFit="1" customWidth="1"/>
    <col min="4" max="4" width="28" bestFit="1" customWidth="1"/>
    <col min="5" max="5" width="11.85546875" bestFit="1" customWidth="1"/>
    <col min="6" max="6" width="12.85546875" bestFit="1" customWidth="1"/>
  </cols>
  <sheetData>
    <row r="1" spans="1:6">
      <c r="A1" s="5" t="s">
        <v>12</v>
      </c>
      <c r="B1" s="5" t="s">
        <v>13</v>
      </c>
      <c r="C1" s="5" t="s">
        <v>14</v>
      </c>
      <c r="D1" s="5" t="s">
        <v>15</v>
      </c>
      <c r="E1" s="8" t="s">
        <v>23</v>
      </c>
      <c r="F1" s="8" t="s">
        <v>53</v>
      </c>
    </row>
    <row r="2" spans="1:6">
      <c r="A2" t="s">
        <v>16</v>
      </c>
      <c r="B2" t="s">
        <v>17</v>
      </c>
      <c r="C2">
        <v>9.3391084359322303</v>
      </c>
      <c r="D2" t="s">
        <v>18</v>
      </c>
      <c r="E2" s="6">
        <f>C2*(1/1.15)</f>
        <v>8.1209638573323755</v>
      </c>
      <c r="F2" s="6">
        <f>C2*1.4</f>
        <v>13.074751810305122</v>
      </c>
    </row>
    <row r="3" spans="1:6">
      <c r="A3" t="s">
        <v>19</v>
      </c>
      <c r="B3" t="s">
        <v>20</v>
      </c>
      <c r="C3">
        <v>6.9</v>
      </c>
      <c r="D3" t="s">
        <v>18</v>
      </c>
      <c r="E3" s="6">
        <f t="shared" ref="E3:E4" si="0">C3*(1/1.15)</f>
        <v>6.0000000000000009</v>
      </c>
      <c r="F3" s="6">
        <f t="shared" ref="F3:F4" si="1">C3*1.4</f>
        <v>9.66</v>
      </c>
    </row>
    <row r="4" spans="1:6">
      <c r="A4" t="s">
        <v>21</v>
      </c>
      <c r="B4" t="s">
        <v>22</v>
      </c>
      <c r="C4">
        <v>15.59</v>
      </c>
      <c r="D4" t="s">
        <v>18</v>
      </c>
      <c r="E4" s="6">
        <f t="shared" si="0"/>
        <v>13.556521739130437</v>
      </c>
      <c r="F4" s="6">
        <f t="shared" si="1"/>
        <v>21.825999999999997</v>
      </c>
    </row>
  </sheetData>
  <autoFilter ref="A1:D4" xr:uid="{50BDF45C-3A09-43BD-B30F-F296C0EA665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C187-1BB0-49A9-8919-681D20109380}">
  <sheetPr>
    <tabColor theme="2" tint="-9.9978637043366805E-2"/>
  </sheetPr>
  <dimension ref="A1:A24"/>
  <sheetViews>
    <sheetView workbookViewId="0">
      <selection activeCell="F12" sqref="F12"/>
    </sheetView>
  </sheetViews>
  <sheetFormatPr baseColWidth="10" defaultRowHeight="15"/>
  <sheetData>
    <row r="1" spans="1:1">
      <c r="A1" s="10" t="s">
        <v>54</v>
      </c>
    </row>
    <row r="2" spans="1:1">
      <c r="A2" s="10" t="s">
        <v>55</v>
      </c>
    </row>
    <row r="3" spans="1:1">
      <c r="A3" s="11" t="s">
        <v>56</v>
      </c>
    </row>
    <row r="4" spans="1:1">
      <c r="A4" s="11" t="s">
        <v>57</v>
      </c>
    </row>
    <row r="5" spans="1:1">
      <c r="A5" s="10" t="s">
        <v>58</v>
      </c>
    </row>
    <row r="6" spans="1:1">
      <c r="A6" s="10" t="s">
        <v>59</v>
      </c>
    </row>
    <row r="7" spans="1:1">
      <c r="A7" s="9"/>
    </row>
    <row r="8" spans="1:1">
      <c r="A8" s="10" t="s">
        <v>60</v>
      </c>
    </row>
    <row r="9" spans="1:1">
      <c r="A9" s="11" t="s">
        <v>61</v>
      </c>
    </row>
    <row r="10" spans="1:1">
      <c r="A10" s="10" t="s">
        <v>62</v>
      </c>
    </row>
    <row r="11" spans="1:1">
      <c r="A11" s="10" t="s">
        <v>63</v>
      </c>
    </row>
    <row r="12" spans="1:1">
      <c r="A12" s="9"/>
    </row>
    <row r="13" spans="1:1">
      <c r="A13" s="10" t="s">
        <v>64</v>
      </c>
    </row>
    <row r="14" spans="1:1">
      <c r="A14" s="11" t="s">
        <v>56</v>
      </c>
    </row>
    <row r="15" spans="1:1">
      <c r="A15" s="11" t="s">
        <v>65</v>
      </c>
    </row>
    <row r="16" spans="1:1">
      <c r="A16" s="10" t="s">
        <v>66</v>
      </c>
    </row>
    <row r="17" spans="1:1">
      <c r="A17" s="10" t="s">
        <v>67</v>
      </c>
    </row>
    <row r="18" spans="1:1">
      <c r="A18" s="9"/>
    </row>
    <row r="19" spans="1:1">
      <c r="A19" s="10" t="s">
        <v>60</v>
      </c>
    </row>
    <row r="20" spans="1:1">
      <c r="A20" s="11" t="s">
        <v>68</v>
      </c>
    </row>
    <row r="21" spans="1:1">
      <c r="A21" s="10" t="s">
        <v>69</v>
      </c>
    </row>
    <row r="22" spans="1:1">
      <c r="A22" s="10" t="s">
        <v>70</v>
      </c>
    </row>
    <row r="23" spans="1:1">
      <c r="A23" s="9"/>
    </row>
    <row r="24" spans="1:1">
      <c r="A24" s="1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README</vt:lpstr>
      <vt:lpstr>Graphs_results</vt:lpstr>
      <vt:lpstr>Results</vt:lpstr>
      <vt:lpstr>Demand</vt:lpstr>
      <vt:lpstr>Env_LCA</vt:lpstr>
      <vt:lpstr>Social_eco_LCA</vt:lpstr>
      <vt:lpstr>Prices</vt:lpstr>
      <vt:lpstr>E-LCI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2015-06-05T18:19:34Z</dcterms:created>
  <dcterms:modified xsi:type="dcterms:W3CDTF">2026-09-08T05:40:30Z</dcterms:modified>
</cp:coreProperties>
</file>